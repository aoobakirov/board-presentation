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auba\Downloads\"/>
    </mc:Choice>
  </mc:AlternateContent>
  <xr:revisionPtr revIDLastSave="0" documentId="13_ncr:1_{90D55F54-E621-4710-B2D3-F1FE4358F0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Амортизация" sheetId="2" r:id="rId1"/>
    <sheet name="Справочник" sheetId="3" r:id="rId2"/>
    <sheet name="Комплектация" sheetId="1" r:id="rId3"/>
  </sheets>
  <definedNames>
    <definedName name="_xlnm._FilterDatabase" localSheetId="0" hidden="1">Амортизация!$A$15:$Z$15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3" l="1"/>
  <c r="Y181" i="2"/>
  <c r="X181" i="2"/>
  <c r="S181" i="2"/>
  <c r="T181" i="2" s="1"/>
  <c r="R181" i="2"/>
  <c r="U181" i="2" s="1"/>
  <c r="V181" i="2" s="1"/>
  <c r="Q181" i="2"/>
  <c r="J181" i="2"/>
  <c r="W181" i="2" s="1"/>
  <c r="I181" i="2"/>
  <c r="H181" i="2"/>
  <c r="L181" i="2" s="1"/>
  <c r="G181" i="2"/>
  <c r="F181" i="2"/>
  <c r="D181" i="2"/>
  <c r="E181" i="2" s="1"/>
  <c r="C181" i="2"/>
  <c r="B181" i="2"/>
  <c r="A181" i="2"/>
  <c r="Y180" i="2"/>
  <c r="X180" i="2"/>
  <c r="T180" i="2"/>
  <c r="S180" i="2"/>
  <c r="R180" i="2"/>
  <c r="U180" i="2" s="1"/>
  <c r="V180" i="2" s="1"/>
  <c r="Q180" i="2"/>
  <c r="J180" i="2"/>
  <c r="W180" i="2" s="1"/>
  <c r="I180" i="2"/>
  <c r="H180" i="2"/>
  <c r="L180" i="2" s="1"/>
  <c r="G180" i="2"/>
  <c r="F180" i="2"/>
  <c r="C180" i="2"/>
  <c r="D180" i="2" s="1"/>
  <c r="E180" i="2" s="1"/>
  <c r="B180" i="2"/>
  <c r="A180" i="2"/>
  <c r="Y179" i="2"/>
  <c r="X179" i="2"/>
  <c r="S179" i="2"/>
  <c r="T179" i="2" s="1"/>
  <c r="R179" i="2"/>
  <c r="U179" i="2" s="1"/>
  <c r="V179" i="2" s="1"/>
  <c r="Q179" i="2"/>
  <c r="J179" i="2"/>
  <c r="W179" i="2" s="1"/>
  <c r="I179" i="2"/>
  <c r="G179" i="2"/>
  <c r="H179" i="2" s="1"/>
  <c r="L179" i="2" s="1"/>
  <c r="F179" i="2"/>
  <c r="D179" i="2"/>
  <c r="E179" i="2" s="1"/>
  <c r="C179" i="2"/>
  <c r="B179" i="2"/>
  <c r="A179" i="2"/>
  <c r="Y178" i="2"/>
  <c r="X178" i="2"/>
  <c r="S178" i="2"/>
  <c r="T178" i="2" s="1"/>
  <c r="R178" i="2"/>
  <c r="Q178" i="2"/>
  <c r="J178" i="2"/>
  <c r="W178" i="2" s="1"/>
  <c r="I178" i="2"/>
  <c r="G178" i="2"/>
  <c r="H178" i="2" s="1"/>
  <c r="L178" i="2" s="1"/>
  <c r="F178" i="2"/>
  <c r="C178" i="2"/>
  <c r="D178" i="2" s="1"/>
  <c r="E178" i="2" s="1"/>
  <c r="B178" i="2"/>
  <c r="A178" i="2"/>
  <c r="Y177" i="2"/>
  <c r="X177" i="2"/>
  <c r="U177" i="2"/>
  <c r="V177" i="2" s="1"/>
  <c r="T177" i="2"/>
  <c r="S177" i="2"/>
  <c r="R177" i="2"/>
  <c r="Q177" i="2"/>
  <c r="J177" i="2"/>
  <c r="W177" i="2" s="1"/>
  <c r="I177" i="2"/>
  <c r="H177" i="2"/>
  <c r="L177" i="2" s="1"/>
  <c r="G177" i="2"/>
  <c r="F177" i="2"/>
  <c r="C177" i="2"/>
  <c r="D177" i="2" s="1"/>
  <c r="E177" i="2" s="1"/>
  <c r="B177" i="2"/>
  <c r="A177" i="2"/>
  <c r="Y176" i="2"/>
  <c r="X176" i="2"/>
  <c r="S176" i="2"/>
  <c r="T176" i="2" s="1"/>
  <c r="R176" i="2"/>
  <c r="U176" i="2" s="1"/>
  <c r="V176" i="2" s="1"/>
  <c r="Q176" i="2"/>
  <c r="J176" i="2"/>
  <c r="W176" i="2" s="1"/>
  <c r="I176" i="2"/>
  <c r="G176" i="2"/>
  <c r="H176" i="2" s="1"/>
  <c r="L176" i="2" s="1"/>
  <c r="F176" i="2"/>
  <c r="D176" i="2"/>
  <c r="E176" i="2" s="1"/>
  <c r="C176" i="2"/>
  <c r="B176" i="2"/>
  <c r="A176" i="2"/>
  <c r="Y175" i="2"/>
  <c r="X175" i="2"/>
  <c r="S175" i="2"/>
  <c r="R175" i="2"/>
  <c r="Q175" i="2"/>
  <c r="J175" i="2"/>
  <c r="W175" i="2" s="1"/>
  <c r="I175" i="2"/>
  <c r="H175" i="2"/>
  <c r="L175" i="2" s="1"/>
  <c r="G175" i="2"/>
  <c r="F175" i="2"/>
  <c r="C175" i="2"/>
  <c r="D175" i="2" s="1"/>
  <c r="E175" i="2" s="1"/>
  <c r="B175" i="2"/>
  <c r="A175" i="2"/>
  <c r="Y174" i="2"/>
  <c r="X174" i="2"/>
  <c r="T174" i="2"/>
  <c r="S174" i="2"/>
  <c r="R174" i="2"/>
  <c r="U174" i="2" s="1"/>
  <c r="V174" i="2" s="1"/>
  <c r="Q174" i="2"/>
  <c r="J174" i="2"/>
  <c r="W174" i="2" s="1"/>
  <c r="I174" i="2"/>
  <c r="G174" i="2"/>
  <c r="H174" i="2" s="1"/>
  <c r="L174" i="2" s="1"/>
  <c r="F174" i="2"/>
  <c r="C174" i="2"/>
  <c r="D174" i="2" s="1"/>
  <c r="E174" i="2" s="1"/>
  <c r="B174" i="2"/>
  <c r="A174" i="2"/>
  <c r="Y173" i="2"/>
  <c r="X173" i="2"/>
  <c r="U173" i="2"/>
  <c r="V173" i="2" s="1"/>
  <c r="S173" i="2"/>
  <c r="T173" i="2" s="1"/>
  <c r="R173" i="2"/>
  <c r="Q173" i="2"/>
  <c r="J173" i="2"/>
  <c r="W173" i="2" s="1"/>
  <c r="I173" i="2"/>
  <c r="G173" i="2"/>
  <c r="H173" i="2" s="1"/>
  <c r="L173" i="2" s="1"/>
  <c r="F173" i="2"/>
  <c r="D173" i="2"/>
  <c r="E173" i="2" s="1"/>
  <c r="C173" i="2"/>
  <c r="B173" i="2"/>
  <c r="A173" i="2"/>
  <c r="Y172" i="2"/>
  <c r="X172" i="2"/>
  <c r="S172" i="2"/>
  <c r="T172" i="2" s="1"/>
  <c r="R172" i="2"/>
  <c r="U172" i="2" s="1"/>
  <c r="V172" i="2" s="1"/>
  <c r="Q172" i="2"/>
  <c r="J172" i="2"/>
  <c r="W172" i="2" s="1"/>
  <c r="I172" i="2"/>
  <c r="H172" i="2"/>
  <c r="L172" i="2" s="1"/>
  <c r="G172" i="2"/>
  <c r="F172" i="2"/>
  <c r="E172" i="2"/>
  <c r="C172" i="2"/>
  <c r="D172" i="2" s="1"/>
  <c r="B172" i="2"/>
  <c r="A172" i="2"/>
  <c r="Y171" i="2"/>
  <c r="X171" i="2"/>
  <c r="S171" i="2"/>
  <c r="T171" i="2" s="1"/>
  <c r="R171" i="2"/>
  <c r="Q171" i="2"/>
  <c r="J171" i="2"/>
  <c r="W171" i="2" s="1"/>
  <c r="I171" i="2"/>
  <c r="G171" i="2"/>
  <c r="H171" i="2" s="1"/>
  <c r="L171" i="2" s="1"/>
  <c r="F171" i="2"/>
  <c r="C171" i="2"/>
  <c r="D171" i="2" s="1"/>
  <c r="E171" i="2" s="1"/>
  <c r="B171" i="2"/>
  <c r="A171" i="2"/>
  <c r="Y170" i="2"/>
  <c r="X170" i="2"/>
  <c r="T170" i="2"/>
  <c r="S170" i="2"/>
  <c r="U170" i="2" s="1"/>
  <c r="V170" i="2" s="1"/>
  <c r="R170" i="2"/>
  <c r="Q170" i="2"/>
  <c r="J170" i="2"/>
  <c r="W170" i="2" s="1"/>
  <c r="I170" i="2"/>
  <c r="G170" i="2"/>
  <c r="H170" i="2" s="1"/>
  <c r="L170" i="2" s="1"/>
  <c r="F170" i="2"/>
  <c r="C170" i="2"/>
  <c r="D170" i="2" s="1"/>
  <c r="E170" i="2" s="1"/>
  <c r="B170" i="2"/>
  <c r="A170" i="2"/>
  <c r="Y169" i="2"/>
  <c r="X169" i="2"/>
  <c r="U169" i="2"/>
  <c r="V169" i="2" s="1"/>
  <c r="T169" i="2"/>
  <c r="S169" i="2"/>
  <c r="R169" i="2"/>
  <c r="Q169" i="2"/>
  <c r="J169" i="2"/>
  <c r="W169" i="2" s="1"/>
  <c r="I169" i="2"/>
  <c r="H169" i="2"/>
  <c r="L169" i="2" s="1"/>
  <c r="G169" i="2"/>
  <c r="F169" i="2"/>
  <c r="C169" i="2"/>
  <c r="D169" i="2" s="1"/>
  <c r="E169" i="2" s="1"/>
  <c r="B169" i="2"/>
  <c r="A169" i="2"/>
  <c r="Y168" i="2"/>
  <c r="X168" i="2"/>
  <c r="S168" i="2"/>
  <c r="T168" i="2" s="1"/>
  <c r="R168" i="2"/>
  <c r="U168" i="2" s="1"/>
  <c r="V168" i="2" s="1"/>
  <c r="Q168" i="2"/>
  <c r="J168" i="2"/>
  <c r="W168" i="2" s="1"/>
  <c r="I168" i="2"/>
  <c r="G168" i="2"/>
  <c r="H168" i="2" s="1"/>
  <c r="L168" i="2" s="1"/>
  <c r="F168" i="2"/>
  <c r="D168" i="2"/>
  <c r="E168" i="2" s="1"/>
  <c r="C168" i="2"/>
  <c r="B168" i="2"/>
  <c r="A168" i="2"/>
  <c r="Y167" i="2"/>
  <c r="X167" i="2"/>
  <c r="S167" i="2"/>
  <c r="R167" i="2"/>
  <c r="Q167" i="2"/>
  <c r="J167" i="2"/>
  <c r="W167" i="2" s="1"/>
  <c r="I167" i="2"/>
  <c r="G167" i="2"/>
  <c r="H167" i="2" s="1"/>
  <c r="L167" i="2" s="1"/>
  <c r="F167" i="2"/>
  <c r="C167" i="2"/>
  <c r="D167" i="2" s="1"/>
  <c r="E167" i="2" s="1"/>
  <c r="B167" i="2"/>
  <c r="A167" i="2"/>
  <c r="Y166" i="2"/>
  <c r="X166" i="2"/>
  <c r="T166" i="2"/>
  <c r="S166" i="2"/>
  <c r="R166" i="2"/>
  <c r="U166" i="2" s="1"/>
  <c r="V166" i="2" s="1"/>
  <c r="Q166" i="2"/>
  <c r="J166" i="2"/>
  <c r="I166" i="2"/>
  <c r="G166" i="2"/>
  <c r="H166" i="2" s="1"/>
  <c r="L166" i="2" s="1"/>
  <c r="F166" i="2"/>
  <c r="C166" i="2"/>
  <c r="D166" i="2" s="1"/>
  <c r="E166" i="2" s="1"/>
  <c r="B166" i="2"/>
  <c r="A166" i="2"/>
  <c r="Y165" i="2"/>
  <c r="X165" i="2"/>
  <c r="U165" i="2"/>
  <c r="V165" i="2" s="1"/>
  <c r="S165" i="2"/>
  <c r="T165" i="2" s="1"/>
  <c r="R165" i="2"/>
  <c r="Q165" i="2"/>
  <c r="J165" i="2"/>
  <c r="W165" i="2" s="1"/>
  <c r="I165" i="2"/>
  <c r="H165" i="2"/>
  <c r="L165" i="2" s="1"/>
  <c r="G165" i="2"/>
  <c r="F165" i="2"/>
  <c r="D165" i="2"/>
  <c r="E165" i="2" s="1"/>
  <c r="C165" i="2"/>
  <c r="B165" i="2"/>
  <c r="A165" i="2"/>
  <c r="Y164" i="2"/>
  <c r="X164" i="2"/>
  <c r="S164" i="2"/>
  <c r="T164" i="2" s="1"/>
  <c r="R164" i="2"/>
  <c r="U164" i="2" s="1"/>
  <c r="V164" i="2" s="1"/>
  <c r="Q164" i="2"/>
  <c r="J164" i="2"/>
  <c r="W164" i="2" s="1"/>
  <c r="I164" i="2"/>
  <c r="H164" i="2"/>
  <c r="L164" i="2" s="1"/>
  <c r="G164" i="2"/>
  <c r="F164" i="2"/>
  <c r="C164" i="2"/>
  <c r="D164" i="2" s="1"/>
  <c r="E164" i="2" s="1"/>
  <c r="B164" i="2"/>
  <c r="A164" i="2"/>
  <c r="Y163" i="2"/>
  <c r="X163" i="2"/>
  <c r="S163" i="2"/>
  <c r="T163" i="2" s="1"/>
  <c r="R163" i="2"/>
  <c r="U163" i="2" s="1"/>
  <c r="V163" i="2" s="1"/>
  <c r="Q163" i="2"/>
  <c r="J163" i="2"/>
  <c r="W163" i="2" s="1"/>
  <c r="I163" i="2"/>
  <c r="H163" i="2"/>
  <c r="L163" i="2" s="1"/>
  <c r="G163" i="2"/>
  <c r="F163" i="2"/>
  <c r="C163" i="2"/>
  <c r="D163" i="2" s="1"/>
  <c r="E163" i="2" s="1"/>
  <c r="B163" i="2"/>
  <c r="A163" i="2"/>
  <c r="Y162" i="2"/>
  <c r="X162" i="2"/>
  <c r="S162" i="2"/>
  <c r="U162" i="2" s="1"/>
  <c r="V162" i="2" s="1"/>
  <c r="R162" i="2"/>
  <c r="Q162" i="2"/>
  <c r="J162" i="2"/>
  <c r="W162" i="2" s="1"/>
  <c r="I162" i="2"/>
  <c r="G162" i="2"/>
  <c r="H162" i="2" s="1"/>
  <c r="L162" i="2" s="1"/>
  <c r="F162" i="2"/>
  <c r="C162" i="2"/>
  <c r="D162" i="2" s="1"/>
  <c r="E162" i="2" s="1"/>
  <c r="B162" i="2"/>
  <c r="A162" i="2"/>
  <c r="Y161" i="2"/>
  <c r="X161" i="2"/>
  <c r="U161" i="2"/>
  <c r="V161" i="2" s="1"/>
  <c r="T161" i="2"/>
  <c r="S161" i="2"/>
  <c r="R161" i="2"/>
  <c r="Q161" i="2"/>
  <c r="J161" i="2"/>
  <c r="W161" i="2" s="1"/>
  <c r="I161" i="2"/>
  <c r="H161" i="2"/>
  <c r="L161" i="2" s="1"/>
  <c r="G161" i="2"/>
  <c r="F161" i="2"/>
  <c r="C161" i="2"/>
  <c r="D161" i="2" s="1"/>
  <c r="E161" i="2" s="1"/>
  <c r="B161" i="2"/>
  <c r="A161" i="2"/>
  <c r="Y160" i="2"/>
  <c r="X160" i="2"/>
  <c r="U160" i="2"/>
  <c r="V160" i="2" s="1"/>
  <c r="T160" i="2"/>
  <c r="S160" i="2"/>
  <c r="R160" i="2"/>
  <c r="Q160" i="2"/>
  <c r="L160" i="2"/>
  <c r="J160" i="2"/>
  <c r="W160" i="2" s="1"/>
  <c r="I160" i="2"/>
  <c r="H160" i="2"/>
  <c r="G160" i="2"/>
  <c r="F160" i="2"/>
  <c r="D160" i="2"/>
  <c r="E160" i="2" s="1"/>
  <c r="C160" i="2"/>
  <c r="B160" i="2"/>
  <c r="A160" i="2"/>
  <c r="Y159" i="2"/>
  <c r="X159" i="2"/>
  <c r="S159" i="2"/>
  <c r="R159" i="2"/>
  <c r="Q159" i="2"/>
  <c r="J159" i="2"/>
  <c r="W159" i="2" s="1"/>
  <c r="I159" i="2"/>
  <c r="G159" i="2"/>
  <c r="H159" i="2" s="1"/>
  <c r="L159" i="2" s="1"/>
  <c r="F159" i="2"/>
  <c r="E159" i="2"/>
  <c r="D159" i="2"/>
  <c r="C159" i="2"/>
  <c r="B159" i="2"/>
  <c r="A159" i="2"/>
  <c r="Y158" i="2"/>
  <c r="X158" i="2"/>
  <c r="T158" i="2"/>
  <c r="S158" i="2"/>
  <c r="R158" i="2"/>
  <c r="U158" i="2" s="1"/>
  <c r="V158" i="2" s="1"/>
  <c r="Q158" i="2"/>
  <c r="J158" i="2"/>
  <c r="W158" i="2" s="1"/>
  <c r="I158" i="2"/>
  <c r="G158" i="2"/>
  <c r="H158" i="2" s="1"/>
  <c r="L158" i="2" s="1"/>
  <c r="F158" i="2"/>
  <c r="C158" i="2"/>
  <c r="D158" i="2" s="1"/>
  <c r="E158" i="2" s="1"/>
  <c r="B158" i="2"/>
  <c r="A158" i="2"/>
  <c r="Y157" i="2"/>
  <c r="X157" i="2"/>
  <c r="U157" i="2"/>
  <c r="V157" i="2" s="1"/>
  <c r="T157" i="2"/>
  <c r="S157" i="2"/>
  <c r="R157" i="2"/>
  <c r="Q157" i="2"/>
  <c r="J157" i="2"/>
  <c r="W157" i="2" s="1"/>
  <c r="I157" i="2"/>
  <c r="G157" i="2"/>
  <c r="H157" i="2" s="1"/>
  <c r="L157" i="2" s="1"/>
  <c r="F157" i="2"/>
  <c r="D157" i="2"/>
  <c r="E157" i="2" s="1"/>
  <c r="C157" i="2"/>
  <c r="B157" i="2"/>
  <c r="A157" i="2"/>
  <c r="Y156" i="2"/>
  <c r="X156" i="2"/>
  <c r="S156" i="2"/>
  <c r="T156" i="2" s="1"/>
  <c r="R156" i="2"/>
  <c r="U156" i="2" s="1"/>
  <c r="V156" i="2" s="1"/>
  <c r="Q156" i="2"/>
  <c r="J156" i="2"/>
  <c r="W156" i="2" s="1"/>
  <c r="I156" i="2"/>
  <c r="H156" i="2"/>
  <c r="L156" i="2" s="1"/>
  <c r="G156" i="2"/>
  <c r="F156" i="2"/>
  <c r="E156" i="2"/>
  <c r="D156" i="2"/>
  <c r="C156" i="2"/>
  <c r="B156" i="2"/>
  <c r="A156" i="2"/>
  <c r="Y155" i="2"/>
  <c r="X155" i="2"/>
  <c r="S155" i="2"/>
  <c r="T155" i="2" s="1"/>
  <c r="R155" i="2"/>
  <c r="Q155" i="2"/>
  <c r="J155" i="2"/>
  <c r="W155" i="2" s="1"/>
  <c r="I155" i="2"/>
  <c r="H155" i="2"/>
  <c r="L155" i="2" s="1"/>
  <c r="G155" i="2"/>
  <c r="F155" i="2"/>
  <c r="C155" i="2"/>
  <c r="D155" i="2" s="1"/>
  <c r="E155" i="2" s="1"/>
  <c r="B155" i="2"/>
  <c r="A155" i="2"/>
  <c r="Y154" i="2"/>
  <c r="X154" i="2"/>
  <c r="S154" i="2"/>
  <c r="U154" i="2" s="1"/>
  <c r="V154" i="2" s="1"/>
  <c r="R154" i="2"/>
  <c r="Q154" i="2"/>
  <c r="J154" i="2"/>
  <c r="W154" i="2" s="1"/>
  <c r="I154" i="2"/>
  <c r="G154" i="2"/>
  <c r="H154" i="2" s="1"/>
  <c r="L154" i="2" s="1"/>
  <c r="F154" i="2"/>
  <c r="C154" i="2"/>
  <c r="D154" i="2" s="1"/>
  <c r="E154" i="2" s="1"/>
  <c r="B154" i="2"/>
  <c r="A154" i="2"/>
  <c r="Y153" i="2"/>
  <c r="X153" i="2"/>
  <c r="U153" i="2"/>
  <c r="V153" i="2" s="1"/>
  <c r="T153" i="2"/>
  <c r="S153" i="2"/>
  <c r="R153" i="2"/>
  <c r="Q153" i="2"/>
  <c r="J153" i="2"/>
  <c r="W153" i="2" s="1"/>
  <c r="I153" i="2"/>
  <c r="H153" i="2"/>
  <c r="L153" i="2" s="1"/>
  <c r="G153" i="2"/>
  <c r="F153" i="2"/>
  <c r="C153" i="2"/>
  <c r="D153" i="2" s="1"/>
  <c r="E153" i="2" s="1"/>
  <c r="B153" i="2"/>
  <c r="A153" i="2"/>
  <c r="Y152" i="2"/>
  <c r="X152" i="2"/>
  <c r="T152" i="2"/>
  <c r="S152" i="2"/>
  <c r="R152" i="2"/>
  <c r="U152" i="2" s="1"/>
  <c r="V152" i="2" s="1"/>
  <c r="Q152" i="2"/>
  <c r="L152" i="2"/>
  <c r="J152" i="2"/>
  <c r="W152" i="2" s="1"/>
  <c r="I152" i="2"/>
  <c r="H152" i="2"/>
  <c r="G152" i="2"/>
  <c r="F152" i="2"/>
  <c r="D152" i="2"/>
  <c r="E152" i="2" s="1"/>
  <c r="C152" i="2"/>
  <c r="B152" i="2"/>
  <c r="A152" i="2"/>
  <c r="Y151" i="2"/>
  <c r="X151" i="2"/>
  <c r="S151" i="2"/>
  <c r="T151" i="2" s="1"/>
  <c r="R151" i="2"/>
  <c r="U151" i="2" s="1"/>
  <c r="V151" i="2" s="1"/>
  <c r="Q151" i="2"/>
  <c r="J151" i="2"/>
  <c r="W151" i="2" s="1"/>
  <c r="I151" i="2"/>
  <c r="G151" i="2"/>
  <c r="H151" i="2" s="1"/>
  <c r="L151" i="2" s="1"/>
  <c r="F151" i="2"/>
  <c r="E151" i="2"/>
  <c r="D151" i="2"/>
  <c r="C151" i="2"/>
  <c r="B151" i="2"/>
  <c r="A151" i="2"/>
  <c r="Y150" i="2"/>
  <c r="X150" i="2"/>
  <c r="T150" i="2"/>
  <c r="S150" i="2"/>
  <c r="R150" i="2"/>
  <c r="U150" i="2" s="1"/>
  <c r="V150" i="2" s="1"/>
  <c r="Q150" i="2"/>
  <c r="J150" i="2"/>
  <c r="W150" i="2" s="1"/>
  <c r="I150" i="2"/>
  <c r="G150" i="2"/>
  <c r="H150" i="2" s="1"/>
  <c r="L150" i="2" s="1"/>
  <c r="F150" i="2"/>
  <c r="C150" i="2"/>
  <c r="D150" i="2" s="1"/>
  <c r="E150" i="2" s="1"/>
  <c r="B150" i="2"/>
  <c r="A150" i="2"/>
  <c r="Y149" i="2"/>
  <c r="X149" i="2"/>
  <c r="U149" i="2"/>
  <c r="V149" i="2" s="1"/>
  <c r="T149" i="2"/>
  <c r="S149" i="2"/>
  <c r="R149" i="2"/>
  <c r="Q149" i="2"/>
  <c r="J149" i="2"/>
  <c r="W149" i="2" s="1"/>
  <c r="I149" i="2"/>
  <c r="H149" i="2"/>
  <c r="L149" i="2" s="1"/>
  <c r="G149" i="2"/>
  <c r="F149" i="2"/>
  <c r="D149" i="2"/>
  <c r="E149" i="2" s="1"/>
  <c r="C149" i="2"/>
  <c r="B149" i="2"/>
  <c r="A149" i="2"/>
  <c r="Y148" i="2"/>
  <c r="X148" i="2"/>
  <c r="S148" i="2"/>
  <c r="T148" i="2" s="1"/>
  <c r="R148" i="2"/>
  <c r="Q148" i="2"/>
  <c r="J148" i="2"/>
  <c r="W148" i="2" s="1"/>
  <c r="I148" i="2"/>
  <c r="G148" i="2"/>
  <c r="H148" i="2" s="1"/>
  <c r="L148" i="2" s="1"/>
  <c r="F148" i="2"/>
  <c r="D148" i="2"/>
  <c r="E148" i="2" s="1"/>
  <c r="C148" i="2"/>
  <c r="B148" i="2"/>
  <c r="A148" i="2"/>
  <c r="Y147" i="2"/>
  <c r="X147" i="2"/>
  <c r="S147" i="2"/>
  <c r="T147" i="2" s="1"/>
  <c r="R147" i="2"/>
  <c r="Q147" i="2"/>
  <c r="J147" i="2"/>
  <c r="W147" i="2" s="1"/>
  <c r="I147" i="2"/>
  <c r="H147" i="2"/>
  <c r="L147" i="2" s="1"/>
  <c r="G147" i="2"/>
  <c r="F147" i="2"/>
  <c r="E147" i="2"/>
  <c r="C147" i="2"/>
  <c r="D147" i="2" s="1"/>
  <c r="B147" i="2"/>
  <c r="A147" i="2"/>
  <c r="Y146" i="2"/>
  <c r="X146" i="2"/>
  <c r="S146" i="2"/>
  <c r="T146" i="2" s="1"/>
  <c r="R146" i="2"/>
  <c r="U146" i="2" s="1"/>
  <c r="V146" i="2" s="1"/>
  <c r="Q146" i="2"/>
  <c r="J146" i="2"/>
  <c r="W146" i="2" s="1"/>
  <c r="I146" i="2"/>
  <c r="G146" i="2"/>
  <c r="H146" i="2" s="1"/>
  <c r="L146" i="2" s="1"/>
  <c r="F146" i="2"/>
  <c r="D146" i="2"/>
  <c r="E146" i="2" s="1"/>
  <c r="C146" i="2"/>
  <c r="B146" i="2"/>
  <c r="A146" i="2"/>
  <c r="Y145" i="2"/>
  <c r="X145" i="2"/>
  <c r="V145" i="2"/>
  <c r="U145" i="2"/>
  <c r="T145" i="2"/>
  <c r="S145" i="2"/>
  <c r="R145" i="2"/>
  <c r="Q145" i="2"/>
  <c r="J145" i="2"/>
  <c r="W145" i="2" s="1"/>
  <c r="I145" i="2"/>
  <c r="G145" i="2"/>
  <c r="H145" i="2" s="1"/>
  <c r="L145" i="2" s="1"/>
  <c r="F145" i="2"/>
  <c r="D145" i="2"/>
  <c r="E145" i="2" s="1"/>
  <c r="C145" i="2"/>
  <c r="B145" i="2"/>
  <c r="A145" i="2"/>
  <c r="Y144" i="2"/>
  <c r="X144" i="2"/>
  <c r="U144" i="2"/>
  <c r="V144" i="2" s="1"/>
  <c r="T144" i="2"/>
  <c r="S144" i="2"/>
  <c r="R144" i="2"/>
  <c r="Q144" i="2"/>
  <c r="L144" i="2"/>
  <c r="J144" i="2"/>
  <c r="W144" i="2" s="1"/>
  <c r="I144" i="2"/>
  <c r="H144" i="2"/>
  <c r="G144" i="2"/>
  <c r="F144" i="2"/>
  <c r="D144" i="2"/>
  <c r="E144" i="2" s="1"/>
  <c r="C144" i="2"/>
  <c r="B144" i="2"/>
  <c r="A144" i="2"/>
  <c r="Y143" i="2"/>
  <c r="X143" i="2"/>
  <c r="S143" i="2"/>
  <c r="T143" i="2" s="1"/>
  <c r="R143" i="2"/>
  <c r="Q143" i="2"/>
  <c r="J143" i="2"/>
  <c r="W143" i="2" s="1"/>
  <c r="I143" i="2"/>
  <c r="G143" i="2"/>
  <c r="H143" i="2" s="1"/>
  <c r="L143" i="2" s="1"/>
  <c r="F143" i="2"/>
  <c r="D143" i="2"/>
  <c r="E143" i="2" s="1"/>
  <c r="C143" i="2"/>
  <c r="B143" i="2"/>
  <c r="A143" i="2"/>
  <c r="Y142" i="2"/>
  <c r="X142" i="2"/>
  <c r="T142" i="2"/>
  <c r="S142" i="2"/>
  <c r="R142" i="2"/>
  <c r="U142" i="2" s="1"/>
  <c r="V142" i="2" s="1"/>
  <c r="Q142" i="2"/>
  <c r="J142" i="2"/>
  <c r="W142" i="2" s="1"/>
  <c r="I142" i="2"/>
  <c r="H142" i="2"/>
  <c r="L142" i="2" s="1"/>
  <c r="G142" i="2"/>
  <c r="F142" i="2"/>
  <c r="C142" i="2"/>
  <c r="D142" i="2" s="1"/>
  <c r="E142" i="2" s="1"/>
  <c r="B142" i="2"/>
  <c r="A142" i="2"/>
  <c r="Y141" i="2"/>
  <c r="X141" i="2"/>
  <c r="U141" i="2"/>
  <c r="V141" i="2" s="1"/>
  <c r="T141" i="2"/>
  <c r="S141" i="2"/>
  <c r="R141" i="2"/>
  <c r="Q141" i="2"/>
  <c r="L141" i="2"/>
  <c r="J141" i="2"/>
  <c r="W141" i="2" s="1"/>
  <c r="I141" i="2"/>
  <c r="H141" i="2"/>
  <c r="G141" i="2"/>
  <c r="F141" i="2"/>
  <c r="C141" i="2"/>
  <c r="D141" i="2" s="1"/>
  <c r="E141" i="2" s="1"/>
  <c r="B141" i="2"/>
  <c r="A141" i="2"/>
  <c r="Y140" i="2"/>
  <c r="X140" i="2"/>
  <c r="U140" i="2"/>
  <c r="V140" i="2" s="1"/>
  <c r="S140" i="2"/>
  <c r="T140" i="2" s="1"/>
  <c r="R140" i="2"/>
  <c r="Q140" i="2"/>
  <c r="J140" i="2"/>
  <c r="W140" i="2" s="1"/>
  <c r="I140" i="2"/>
  <c r="H140" i="2"/>
  <c r="L140" i="2" s="1"/>
  <c r="G140" i="2"/>
  <c r="F140" i="2"/>
  <c r="D140" i="2"/>
  <c r="E140" i="2" s="1"/>
  <c r="C140" i="2"/>
  <c r="B140" i="2"/>
  <c r="A140" i="2"/>
  <c r="Y139" i="2"/>
  <c r="X139" i="2"/>
  <c r="S139" i="2"/>
  <c r="T139" i="2" s="1"/>
  <c r="R139" i="2"/>
  <c r="U139" i="2" s="1"/>
  <c r="V139" i="2" s="1"/>
  <c r="Q139" i="2"/>
  <c r="J139" i="2"/>
  <c r="W139" i="2" s="1"/>
  <c r="I139" i="2"/>
  <c r="H139" i="2"/>
  <c r="L139" i="2" s="1"/>
  <c r="G139" i="2"/>
  <c r="F139" i="2"/>
  <c r="C139" i="2"/>
  <c r="D139" i="2" s="1"/>
  <c r="E139" i="2" s="1"/>
  <c r="B139" i="2"/>
  <c r="A139" i="2"/>
  <c r="Y138" i="2"/>
  <c r="X138" i="2"/>
  <c r="S138" i="2"/>
  <c r="U138" i="2" s="1"/>
  <c r="V138" i="2" s="1"/>
  <c r="R138" i="2"/>
  <c r="Q138" i="2"/>
  <c r="L138" i="2"/>
  <c r="J138" i="2"/>
  <c r="W138" i="2" s="1"/>
  <c r="I138" i="2"/>
  <c r="G138" i="2"/>
  <c r="H138" i="2" s="1"/>
  <c r="F138" i="2"/>
  <c r="C138" i="2"/>
  <c r="D138" i="2" s="1"/>
  <c r="E138" i="2" s="1"/>
  <c r="B138" i="2"/>
  <c r="A138" i="2"/>
  <c r="Y137" i="2"/>
  <c r="X137" i="2"/>
  <c r="T137" i="2"/>
  <c r="S137" i="2"/>
  <c r="U137" i="2" s="1"/>
  <c r="V137" i="2" s="1"/>
  <c r="R137" i="2"/>
  <c r="Q137" i="2"/>
  <c r="J137" i="2"/>
  <c r="W137" i="2" s="1"/>
  <c r="I137" i="2"/>
  <c r="H137" i="2"/>
  <c r="L137" i="2" s="1"/>
  <c r="G137" i="2"/>
  <c r="F137" i="2"/>
  <c r="D137" i="2"/>
  <c r="E137" i="2" s="1"/>
  <c r="C137" i="2"/>
  <c r="B137" i="2"/>
  <c r="A137" i="2"/>
  <c r="Y136" i="2"/>
  <c r="X136" i="2"/>
  <c r="T136" i="2"/>
  <c r="S136" i="2"/>
  <c r="R136" i="2"/>
  <c r="U136" i="2" s="1"/>
  <c r="V136" i="2" s="1"/>
  <c r="Q136" i="2"/>
  <c r="J136" i="2"/>
  <c r="W136" i="2" s="1"/>
  <c r="I136" i="2"/>
  <c r="G136" i="2"/>
  <c r="H136" i="2" s="1"/>
  <c r="L136" i="2" s="1"/>
  <c r="F136" i="2"/>
  <c r="C136" i="2"/>
  <c r="D136" i="2" s="1"/>
  <c r="E136" i="2" s="1"/>
  <c r="B136" i="2"/>
  <c r="A136" i="2"/>
  <c r="Y135" i="2"/>
  <c r="X135" i="2"/>
  <c r="S135" i="2"/>
  <c r="T135" i="2" s="1"/>
  <c r="R135" i="2"/>
  <c r="U135" i="2" s="1"/>
  <c r="V135" i="2" s="1"/>
  <c r="Q135" i="2"/>
  <c r="J135" i="2"/>
  <c r="W135" i="2" s="1"/>
  <c r="I135" i="2"/>
  <c r="H135" i="2"/>
  <c r="L135" i="2" s="1"/>
  <c r="G135" i="2"/>
  <c r="F135" i="2"/>
  <c r="E135" i="2"/>
  <c r="D135" i="2"/>
  <c r="C135" i="2"/>
  <c r="B135" i="2"/>
  <c r="A135" i="2"/>
  <c r="Y134" i="2"/>
  <c r="X134" i="2"/>
  <c r="S134" i="2"/>
  <c r="T134" i="2" s="1"/>
  <c r="R134" i="2"/>
  <c r="Q134" i="2"/>
  <c r="J134" i="2"/>
  <c r="W134" i="2" s="1"/>
  <c r="I134" i="2"/>
  <c r="G134" i="2"/>
  <c r="H134" i="2" s="1"/>
  <c r="L134" i="2" s="1"/>
  <c r="F134" i="2"/>
  <c r="C134" i="2"/>
  <c r="D134" i="2" s="1"/>
  <c r="E134" i="2" s="1"/>
  <c r="B134" i="2"/>
  <c r="A134" i="2"/>
  <c r="Y133" i="2"/>
  <c r="X133" i="2"/>
  <c r="U133" i="2"/>
  <c r="V133" i="2" s="1"/>
  <c r="T133" i="2"/>
  <c r="S133" i="2"/>
  <c r="R133" i="2"/>
  <c r="Q133" i="2"/>
  <c r="J133" i="2"/>
  <c r="W133" i="2" s="1"/>
  <c r="I133" i="2"/>
  <c r="G133" i="2"/>
  <c r="H133" i="2" s="1"/>
  <c r="L133" i="2" s="1"/>
  <c r="F133" i="2"/>
  <c r="D133" i="2"/>
  <c r="E133" i="2" s="1"/>
  <c r="C133" i="2"/>
  <c r="B133" i="2"/>
  <c r="A133" i="2"/>
  <c r="Y132" i="2"/>
  <c r="X132" i="2"/>
  <c r="U132" i="2"/>
  <c r="V132" i="2" s="1"/>
  <c r="S132" i="2"/>
  <c r="T132" i="2" s="1"/>
  <c r="R132" i="2"/>
  <c r="Q132" i="2"/>
  <c r="J132" i="2"/>
  <c r="W132" i="2" s="1"/>
  <c r="I132" i="2"/>
  <c r="H132" i="2"/>
  <c r="L132" i="2" s="1"/>
  <c r="G132" i="2"/>
  <c r="F132" i="2"/>
  <c r="C132" i="2"/>
  <c r="D132" i="2" s="1"/>
  <c r="E132" i="2" s="1"/>
  <c r="B132" i="2"/>
  <c r="A132" i="2"/>
  <c r="Y131" i="2"/>
  <c r="X131" i="2"/>
  <c r="S131" i="2"/>
  <c r="R131" i="2"/>
  <c r="Q131" i="2"/>
  <c r="J131" i="2"/>
  <c r="W131" i="2" s="1"/>
  <c r="I131" i="2"/>
  <c r="H131" i="2"/>
  <c r="L131" i="2" s="1"/>
  <c r="G131" i="2"/>
  <c r="F131" i="2"/>
  <c r="D131" i="2"/>
  <c r="E131" i="2" s="1"/>
  <c r="C131" i="2"/>
  <c r="B131" i="2"/>
  <c r="A131" i="2"/>
  <c r="Y130" i="2"/>
  <c r="X130" i="2"/>
  <c r="T130" i="2"/>
  <c r="S130" i="2"/>
  <c r="R130" i="2"/>
  <c r="U130" i="2" s="1"/>
  <c r="V130" i="2" s="1"/>
  <c r="Q130" i="2"/>
  <c r="J130" i="2"/>
  <c r="W130" i="2" s="1"/>
  <c r="I130" i="2"/>
  <c r="G130" i="2"/>
  <c r="H130" i="2" s="1"/>
  <c r="L130" i="2" s="1"/>
  <c r="F130" i="2"/>
  <c r="D130" i="2"/>
  <c r="E130" i="2" s="1"/>
  <c r="C130" i="2"/>
  <c r="B130" i="2"/>
  <c r="A130" i="2"/>
  <c r="Y129" i="2"/>
  <c r="X129" i="2"/>
  <c r="U129" i="2"/>
  <c r="V129" i="2" s="1"/>
  <c r="T129" i="2"/>
  <c r="S129" i="2"/>
  <c r="R129" i="2"/>
  <c r="Q129" i="2"/>
  <c r="L129" i="2"/>
  <c r="J129" i="2"/>
  <c r="W129" i="2" s="1"/>
  <c r="I129" i="2"/>
  <c r="G129" i="2"/>
  <c r="H129" i="2" s="1"/>
  <c r="F129" i="2"/>
  <c r="C129" i="2"/>
  <c r="D129" i="2" s="1"/>
  <c r="E129" i="2" s="1"/>
  <c r="B129" i="2"/>
  <c r="A129" i="2"/>
  <c r="Y128" i="2"/>
  <c r="X128" i="2"/>
  <c r="U128" i="2"/>
  <c r="V128" i="2" s="1"/>
  <c r="T128" i="2"/>
  <c r="S128" i="2"/>
  <c r="R128" i="2"/>
  <c r="Q128" i="2"/>
  <c r="J128" i="2"/>
  <c r="W128" i="2" s="1"/>
  <c r="I128" i="2"/>
  <c r="G128" i="2"/>
  <c r="H128" i="2" s="1"/>
  <c r="L128" i="2" s="1"/>
  <c r="F128" i="2"/>
  <c r="D128" i="2"/>
  <c r="E128" i="2" s="1"/>
  <c r="C128" i="2"/>
  <c r="B128" i="2"/>
  <c r="A128" i="2"/>
  <c r="Y127" i="2"/>
  <c r="X127" i="2"/>
  <c r="U127" i="2"/>
  <c r="V127" i="2" s="1"/>
  <c r="S127" i="2"/>
  <c r="T127" i="2" s="1"/>
  <c r="R127" i="2"/>
  <c r="Q127" i="2"/>
  <c r="J127" i="2"/>
  <c r="W127" i="2" s="1"/>
  <c r="I127" i="2"/>
  <c r="G127" i="2"/>
  <c r="H127" i="2" s="1"/>
  <c r="L127" i="2" s="1"/>
  <c r="F127" i="2"/>
  <c r="D127" i="2"/>
  <c r="E127" i="2" s="1"/>
  <c r="C127" i="2"/>
  <c r="B127" i="2"/>
  <c r="A127" i="2"/>
  <c r="Y126" i="2"/>
  <c r="X126" i="2"/>
  <c r="S126" i="2"/>
  <c r="T126" i="2" s="1"/>
  <c r="R126" i="2"/>
  <c r="Q126" i="2"/>
  <c r="J126" i="2"/>
  <c r="W126" i="2" s="1"/>
  <c r="I126" i="2"/>
  <c r="G126" i="2"/>
  <c r="H126" i="2" s="1"/>
  <c r="L126" i="2" s="1"/>
  <c r="F126" i="2"/>
  <c r="C126" i="2"/>
  <c r="D126" i="2" s="1"/>
  <c r="E126" i="2" s="1"/>
  <c r="B126" i="2"/>
  <c r="A126" i="2"/>
  <c r="Y125" i="2"/>
  <c r="X125" i="2"/>
  <c r="S125" i="2"/>
  <c r="T125" i="2" s="1"/>
  <c r="R125" i="2"/>
  <c r="U125" i="2" s="1"/>
  <c r="V125" i="2" s="1"/>
  <c r="Q125" i="2"/>
  <c r="J125" i="2"/>
  <c r="W125" i="2" s="1"/>
  <c r="I125" i="2"/>
  <c r="G125" i="2"/>
  <c r="H125" i="2" s="1"/>
  <c r="L125" i="2" s="1"/>
  <c r="F125" i="2"/>
  <c r="C125" i="2"/>
  <c r="D125" i="2" s="1"/>
  <c r="E125" i="2" s="1"/>
  <c r="B125" i="2"/>
  <c r="A125" i="2"/>
  <c r="Y124" i="2"/>
  <c r="X124" i="2"/>
  <c r="U124" i="2"/>
  <c r="V124" i="2" s="1"/>
  <c r="T124" i="2"/>
  <c r="S124" i="2"/>
  <c r="R124" i="2"/>
  <c r="Q124" i="2"/>
  <c r="J124" i="2"/>
  <c r="W124" i="2" s="1"/>
  <c r="I124" i="2"/>
  <c r="G124" i="2"/>
  <c r="H124" i="2" s="1"/>
  <c r="L124" i="2" s="1"/>
  <c r="F124" i="2"/>
  <c r="D124" i="2"/>
  <c r="E124" i="2" s="1"/>
  <c r="C124" i="2"/>
  <c r="B124" i="2"/>
  <c r="A124" i="2"/>
  <c r="Y123" i="2"/>
  <c r="X123" i="2"/>
  <c r="S123" i="2"/>
  <c r="T123" i="2" s="1"/>
  <c r="R123" i="2"/>
  <c r="U123" i="2" s="1"/>
  <c r="V123" i="2" s="1"/>
  <c r="Q123" i="2"/>
  <c r="L123" i="2"/>
  <c r="J123" i="2"/>
  <c r="W123" i="2" s="1"/>
  <c r="I123" i="2"/>
  <c r="H123" i="2"/>
  <c r="G123" i="2"/>
  <c r="F123" i="2"/>
  <c r="C123" i="2"/>
  <c r="D123" i="2" s="1"/>
  <c r="E123" i="2" s="1"/>
  <c r="B123" i="2"/>
  <c r="A123" i="2"/>
  <c r="Y122" i="2"/>
  <c r="X122" i="2"/>
  <c r="V122" i="2"/>
  <c r="U122" i="2"/>
  <c r="T122" i="2"/>
  <c r="S122" i="2"/>
  <c r="R122" i="2"/>
  <c r="Q122" i="2"/>
  <c r="L122" i="2"/>
  <c r="J122" i="2"/>
  <c r="W122" i="2" s="1"/>
  <c r="I122" i="2"/>
  <c r="G122" i="2"/>
  <c r="H122" i="2" s="1"/>
  <c r="F122" i="2"/>
  <c r="C122" i="2"/>
  <c r="D122" i="2" s="1"/>
  <c r="E122" i="2" s="1"/>
  <c r="B122" i="2"/>
  <c r="A122" i="2"/>
  <c r="Y121" i="2"/>
  <c r="X121" i="2"/>
  <c r="S121" i="2"/>
  <c r="U121" i="2" s="1"/>
  <c r="V121" i="2" s="1"/>
  <c r="R121" i="2"/>
  <c r="Q121" i="2"/>
  <c r="J121" i="2"/>
  <c r="W121" i="2" s="1"/>
  <c r="I121" i="2"/>
  <c r="G121" i="2"/>
  <c r="H121" i="2" s="1"/>
  <c r="L121" i="2" s="1"/>
  <c r="F121" i="2"/>
  <c r="D121" i="2"/>
  <c r="E121" i="2" s="1"/>
  <c r="C121" i="2"/>
  <c r="B121" i="2"/>
  <c r="A121" i="2"/>
  <c r="Y120" i="2"/>
  <c r="X120" i="2"/>
  <c r="U120" i="2"/>
  <c r="V120" i="2" s="1"/>
  <c r="T120" i="2"/>
  <c r="S120" i="2"/>
  <c r="R120" i="2"/>
  <c r="Q120" i="2"/>
  <c r="J120" i="2"/>
  <c r="W120" i="2" s="1"/>
  <c r="I120" i="2"/>
  <c r="H120" i="2"/>
  <c r="L120" i="2" s="1"/>
  <c r="G120" i="2"/>
  <c r="F120" i="2"/>
  <c r="D120" i="2"/>
  <c r="E120" i="2" s="1"/>
  <c r="C120" i="2"/>
  <c r="B120" i="2"/>
  <c r="A120" i="2"/>
  <c r="Y119" i="2"/>
  <c r="X119" i="2"/>
  <c r="S119" i="2"/>
  <c r="T119" i="2" s="1"/>
  <c r="R119" i="2"/>
  <c r="U119" i="2" s="1"/>
  <c r="V119" i="2" s="1"/>
  <c r="Q119" i="2"/>
  <c r="J119" i="2"/>
  <c r="W119" i="2" s="1"/>
  <c r="I119" i="2"/>
  <c r="H119" i="2"/>
  <c r="L119" i="2" s="1"/>
  <c r="G119" i="2"/>
  <c r="F119" i="2"/>
  <c r="D119" i="2"/>
  <c r="E119" i="2" s="1"/>
  <c r="C119" i="2"/>
  <c r="B119" i="2"/>
  <c r="A119" i="2"/>
  <c r="Y118" i="2"/>
  <c r="X118" i="2"/>
  <c r="S118" i="2"/>
  <c r="T118" i="2" s="1"/>
  <c r="R118" i="2"/>
  <c r="Q118" i="2"/>
  <c r="J118" i="2"/>
  <c r="W118" i="2" s="1"/>
  <c r="I118" i="2"/>
  <c r="H118" i="2"/>
  <c r="L118" i="2" s="1"/>
  <c r="G118" i="2"/>
  <c r="F118" i="2"/>
  <c r="C118" i="2"/>
  <c r="D118" i="2" s="1"/>
  <c r="E118" i="2" s="1"/>
  <c r="B118" i="2"/>
  <c r="A118" i="2"/>
  <c r="Y117" i="2"/>
  <c r="X117" i="2"/>
  <c r="S117" i="2"/>
  <c r="T117" i="2" s="1"/>
  <c r="R117" i="2"/>
  <c r="Q117" i="2"/>
  <c r="J117" i="2"/>
  <c r="W117" i="2" s="1"/>
  <c r="I117" i="2"/>
  <c r="H117" i="2"/>
  <c r="L117" i="2" s="1"/>
  <c r="G117" i="2"/>
  <c r="F117" i="2"/>
  <c r="C117" i="2"/>
  <c r="D117" i="2" s="1"/>
  <c r="E117" i="2" s="1"/>
  <c r="B117" i="2"/>
  <c r="A117" i="2"/>
  <c r="Y116" i="2"/>
  <c r="X116" i="2"/>
  <c r="T116" i="2"/>
  <c r="S116" i="2"/>
  <c r="R116" i="2"/>
  <c r="U116" i="2" s="1"/>
  <c r="V116" i="2" s="1"/>
  <c r="Q116" i="2"/>
  <c r="L116" i="2"/>
  <c r="J116" i="2"/>
  <c r="W116" i="2" s="1"/>
  <c r="I116" i="2"/>
  <c r="G116" i="2"/>
  <c r="H116" i="2" s="1"/>
  <c r="F116" i="2"/>
  <c r="C116" i="2"/>
  <c r="D116" i="2" s="1"/>
  <c r="E116" i="2" s="1"/>
  <c r="B116" i="2"/>
  <c r="A116" i="2"/>
  <c r="Y115" i="2"/>
  <c r="X115" i="2"/>
  <c r="T115" i="2"/>
  <c r="S115" i="2"/>
  <c r="U115" i="2" s="1"/>
  <c r="V115" i="2" s="1"/>
  <c r="R115" i="2"/>
  <c r="Q115" i="2"/>
  <c r="J115" i="2"/>
  <c r="W115" i="2" s="1"/>
  <c r="I115" i="2"/>
  <c r="H115" i="2"/>
  <c r="L115" i="2" s="1"/>
  <c r="G115" i="2"/>
  <c r="F115" i="2"/>
  <c r="D115" i="2"/>
  <c r="E115" i="2" s="1"/>
  <c r="C115" i="2"/>
  <c r="B115" i="2"/>
  <c r="A115" i="2"/>
  <c r="Y114" i="2"/>
  <c r="X114" i="2"/>
  <c r="S114" i="2"/>
  <c r="T114" i="2" s="1"/>
  <c r="R114" i="2"/>
  <c r="U114" i="2" s="1"/>
  <c r="V114" i="2" s="1"/>
  <c r="Q114" i="2"/>
  <c r="J114" i="2"/>
  <c r="W114" i="2" s="1"/>
  <c r="I114" i="2"/>
  <c r="G114" i="2"/>
  <c r="H114" i="2" s="1"/>
  <c r="L114" i="2" s="1"/>
  <c r="F114" i="2"/>
  <c r="C114" i="2"/>
  <c r="D114" i="2" s="1"/>
  <c r="E114" i="2" s="1"/>
  <c r="B114" i="2"/>
  <c r="A114" i="2"/>
  <c r="Y113" i="2"/>
  <c r="X113" i="2"/>
  <c r="U113" i="2"/>
  <c r="V113" i="2" s="1"/>
  <c r="T113" i="2"/>
  <c r="S113" i="2"/>
  <c r="R113" i="2"/>
  <c r="Q113" i="2"/>
  <c r="L113" i="2"/>
  <c r="J113" i="2"/>
  <c r="W113" i="2" s="1"/>
  <c r="I113" i="2"/>
  <c r="G113" i="2"/>
  <c r="H113" i="2" s="1"/>
  <c r="F113" i="2"/>
  <c r="C113" i="2"/>
  <c r="D113" i="2" s="1"/>
  <c r="E113" i="2" s="1"/>
  <c r="B113" i="2"/>
  <c r="A113" i="2"/>
  <c r="Y112" i="2"/>
  <c r="X112" i="2"/>
  <c r="S112" i="2"/>
  <c r="U112" i="2" s="1"/>
  <c r="V112" i="2" s="1"/>
  <c r="R112" i="2"/>
  <c r="Q112" i="2"/>
  <c r="J112" i="2"/>
  <c r="W112" i="2" s="1"/>
  <c r="I112" i="2"/>
  <c r="G112" i="2"/>
  <c r="H112" i="2" s="1"/>
  <c r="L112" i="2" s="1"/>
  <c r="F112" i="2"/>
  <c r="D112" i="2"/>
  <c r="E112" i="2" s="1"/>
  <c r="C112" i="2"/>
  <c r="B112" i="2"/>
  <c r="A112" i="2"/>
  <c r="Y111" i="2"/>
  <c r="X111" i="2"/>
  <c r="T111" i="2"/>
  <c r="S111" i="2"/>
  <c r="R111" i="2"/>
  <c r="U111" i="2" s="1"/>
  <c r="V111" i="2" s="1"/>
  <c r="Q111" i="2"/>
  <c r="J111" i="2"/>
  <c r="W111" i="2" s="1"/>
  <c r="I111" i="2"/>
  <c r="G111" i="2"/>
  <c r="H111" i="2" s="1"/>
  <c r="L111" i="2" s="1"/>
  <c r="F111" i="2"/>
  <c r="D111" i="2"/>
  <c r="E111" i="2" s="1"/>
  <c r="C111" i="2"/>
  <c r="B111" i="2"/>
  <c r="A111" i="2"/>
  <c r="Y110" i="2"/>
  <c r="X110" i="2"/>
  <c r="S110" i="2"/>
  <c r="T110" i="2" s="1"/>
  <c r="R110" i="2"/>
  <c r="U110" i="2" s="1"/>
  <c r="V110" i="2" s="1"/>
  <c r="Q110" i="2"/>
  <c r="J110" i="2"/>
  <c r="W110" i="2" s="1"/>
  <c r="I110" i="2"/>
  <c r="H110" i="2"/>
  <c r="L110" i="2" s="1"/>
  <c r="G110" i="2"/>
  <c r="F110" i="2"/>
  <c r="D110" i="2"/>
  <c r="E110" i="2" s="1"/>
  <c r="C110" i="2"/>
  <c r="B110" i="2"/>
  <c r="A110" i="2"/>
  <c r="Y109" i="2"/>
  <c r="X109" i="2"/>
  <c r="S109" i="2"/>
  <c r="T109" i="2" s="1"/>
  <c r="R109" i="2"/>
  <c r="Q109" i="2"/>
  <c r="J109" i="2"/>
  <c r="W109" i="2" s="1"/>
  <c r="I109" i="2"/>
  <c r="G109" i="2"/>
  <c r="H109" i="2" s="1"/>
  <c r="L109" i="2" s="1"/>
  <c r="F109" i="2"/>
  <c r="E109" i="2"/>
  <c r="C109" i="2"/>
  <c r="D109" i="2" s="1"/>
  <c r="B109" i="2"/>
  <c r="A109" i="2"/>
  <c r="Y108" i="2"/>
  <c r="X108" i="2"/>
  <c r="U108" i="2"/>
  <c r="V108" i="2" s="1"/>
  <c r="S108" i="2"/>
  <c r="T108" i="2" s="1"/>
  <c r="R108" i="2"/>
  <c r="Q108" i="2"/>
  <c r="J108" i="2"/>
  <c r="I108" i="2"/>
  <c r="G108" i="2"/>
  <c r="H108" i="2" s="1"/>
  <c r="L108" i="2" s="1"/>
  <c r="F108" i="2"/>
  <c r="D108" i="2"/>
  <c r="E108" i="2" s="1"/>
  <c r="C108" i="2"/>
  <c r="B108" i="2"/>
  <c r="A108" i="2"/>
  <c r="Y107" i="2"/>
  <c r="X107" i="2"/>
  <c r="S107" i="2"/>
  <c r="T107" i="2" s="1"/>
  <c r="R107" i="2"/>
  <c r="Q107" i="2"/>
  <c r="J107" i="2"/>
  <c r="W107" i="2" s="1"/>
  <c r="I107" i="2"/>
  <c r="H107" i="2"/>
  <c r="L107" i="2" s="1"/>
  <c r="G107" i="2"/>
  <c r="F107" i="2"/>
  <c r="D107" i="2"/>
  <c r="E107" i="2" s="1"/>
  <c r="C107" i="2"/>
  <c r="B107" i="2"/>
  <c r="A107" i="2"/>
  <c r="Y106" i="2"/>
  <c r="X106" i="2"/>
  <c r="S106" i="2"/>
  <c r="T106" i="2" s="1"/>
  <c r="R106" i="2"/>
  <c r="Q106" i="2"/>
  <c r="J106" i="2"/>
  <c r="W106" i="2" s="1"/>
  <c r="I106" i="2"/>
  <c r="G106" i="2"/>
  <c r="H106" i="2" s="1"/>
  <c r="L106" i="2" s="1"/>
  <c r="F106" i="2"/>
  <c r="C106" i="2"/>
  <c r="D106" i="2" s="1"/>
  <c r="E106" i="2" s="1"/>
  <c r="B106" i="2"/>
  <c r="A106" i="2"/>
  <c r="Y105" i="2"/>
  <c r="X105" i="2"/>
  <c r="U105" i="2"/>
  <c r="V105" i="2" s="1"/>
  <c r="T105" i="2"/>
  <c r="S105" i="2"/>
  <c r="R105" i="2"/>
  <c r="Q105" i="2"/>
  <c r="L105" i="2"/>
  <c r="J105" i="2"/>
  <c r="W105" i="2" s="1"/>
  <c r="I105" i="2"/>
  <c r="H105" i="2"/>
  <c r="G105" i="2"/>
  <c r="F105" i="2"/>
  <c r="D105" i="2"/>
  <c r="E105" i="2" s="1"/>
  <c r="C105" i="2"/>
  <c r="B105" i="2"/>
  <c r="A105" i="2"/>
  <c r="Y104" i="2"/>
  <c r="X104" i="2"/>
  <c r="U104" i="2"/>
  <c r="V104" i="2" s="1"/>
  <c r="T104" i="2"/>
  <c r="S104" i="2"/>
  <c r="R104" i="2"/>
  <c r="Q104" i="2"/>
  <c r="J104" i="2"/>
  <c r="W104" i="2" s="1"/>
  <c r="I104" i="2"/>
  <c r="H104" i="2"/>
  <c r="L104" i="2" s="1"/>
  <c r="G104" i="2"/>
  <c r="F104" i="2"/>
  <c r="C104" i="2"/>
  <c r="D104" i="2" s="1"/>
  <c r="E104" i="2" s="1"/>
  <c r="B104" i="2"/>
  <c r="A104" i="2"/>
  <c r="Y103" i="2"/>
  <c r="X103" i="2"/>
  <c r="S103" i="2"/>
  <c r="R103" i="2"/>
  <c r="Q103" i="2"/>
  <c r="J103" i="2"/>
  <c r="W103" i="2" s="1"/>
  <c r="I103" i="2"/>
  <c r="H103" i="2"/>
  <c r="L103" i="2" s="1"/>
  <c r="G103" i="2"/>
  <c r="F103" i="2"/>
  <c r="D103" i="2"/>
  <c r="E103" i="2" s="1"/>
  <c r="C103" i="2"/>
  <c r="B103" i="2"/>
  <c r="A103" i="2"/>
  <c r="Y102" i="2"/>
  <c r="X102" i="2"/>
  <c r="S102" i="2"/>
  <c r="T102" i="2" s="1"/>
  <c r="R102" i="2"/>
  <c r="U102" i="2" s="1"/>
  <c r="V102" i="2" s="1"/>
  <c r="Q102" i="2"/>
  <c r="J102" i="2"/>
  <c r="W102" i="2" s="1"/>
  <c r="I102" i="2"/>
  <c r="G102" i="2"/>
  <c r="H102" i="2" s="1"/>
  <c r="L102" i="2" s="1"/>
  <c r="F102" i="2"/>
  <c r="E102" i="2"/>
  <c r="C102" i="2"/>
  <c r="D102" i="2" s="1"/>
  <c r="B102" i="2"/>
  <c r="A102" i="2"/>
  <c r="Y101" i="2"/>
  <c r="X101" i="2"/>
  <c r="U101" i="2"/>
  <c r="V101" i="2" s="1"/>
  <c r="T101" i="2"/>
  <c r="S101" i="2"/>
  <c r="R101" i="2"/>
  <c r="Q101" i="2"/>
  <c r="J101" i="2"/>
  <c r="W101" i="2" s="1"/>
  <c r="I101" i="2"/>
  <c r="G101" i="2"/>
  <c r="H101" i="2" s="1"/>
  <c r="L101" i="2" s="1"/>
  <c r="F101" i="2"/>
  <c r="C101" i="2"/>
  <c r="D101" i="2" s="1"/>
  <c r="E101" i="2" s="1"/>
  <c r="B101" i="2"/>
  <c r="A101" i="2"/>
  <c r="Y100" i="2"/>
  <c r="X100" i="2"/>
  <c r="T100" i="2"/>
  <c r="S100" i="2"/>
  <c r="R100" i="2"/>
  <c r="U100" i="2" s="1"/>
  <c r="V100" i="2" s="1"/>
  <c r="Q100" i="2"/>
  <c r="J100" i="2"/>
  <c r="W100" i="2" s="1"/>
  <c r="I100" i="2"/>
  <c r="H100" i="2"/>
  <c r="L100" i="2" s="1"/>
  <c r="G100" i="2"/>
  <c r="F100" i="2"/>
  <c r="C100" i="2"/>
  <c r="D100" i="2" s="1"/>
  <c r="E100" i="2" s="1"/>
  <c r="B100" i="2"/>
  <c r="A100" i="2"/>
  <c r="Y99" i="2"/>
  <c r="X99" i="2"/>
  <c r="S99" i="2"/>
  <c r="T99" i="2" s="1"/>
  <c r="R99" i="2"/>
  <c r="Q99" i="2"/>
  <c r="J99" i="2"/>
  <c r="W99" i="2" s="1"/>
  <c r="I99" i="2"/>
  <c r="H99" i="2"/>
  <c r="L99" i="2" s="1"/>
  <c r="G99" i="2"/>
  <c r="F99" i="2"/>
  <c r="E99" i="2"/>
  <c r="D99" i="2"/>
  <c r="C99" i="2"/>
  <c r="B99" i="2"/>
  <c r="A99" i="2"/>
  <c r="Y98" i="2"/>
  <c r="X98" i="2"/>
  <c r="T98" i="2"/>
  <c r="S98" i="2"/>
  <c r="R98" i="2"/>
  <c r="U98" i="2" s="1"/>
  <c r="V98" i="2" s="1"/>
  <c r="Q98" i="2"/>
  <c r="J98" i="2"/>
  <c r="W98" i="2" s="1"/>
  <c r="I98" i="2"/>
  <c r="G98" i="2"/>
  <c r="H98" i="2" s="1"/>
  <c r="L98" i="2" s="1"/>
  <c r="F98" i="2"/>
  <c r="C98" i="2"/>
  <c r="D98" i="2" s="1"/>
  <c r="E98" i="2" s="1"/>
  <c r="B98" i="2"/>
  <c r="A98" i="2"/>
  <c r="Y97" i="2"/>
  <c r="X97" i="2"/>
  <c r="U97" i="2"/>
  <c r="V97" i="2" s="1"/>
  <c r="T97" i="2"/>
  <c r="S97" i="2"/>
  <c r="R97" i="2"/>
  <c r="Q97" i="2"/>
  <c r="J97" i="2"/>
  <c r="I97" i="2"/>
  <c r="H97" i="2"/>
  <c r="L97" i="2" s="1"/>
  <c r="G97" i="2"/>
  <c r="F97" i="2"/>
  <c r="C97" i="2"/>
  <c r="D97" i="2" s="1"/>
  <c r="E97" i="2" s="1"/>
  <c r="B97" i="2"/>
  <c r="A97" i="2"/>
  <c r="Y96" i="2"/>
  <c r="X96" i="2"/>
  <c r="T96" i="2"/>
  <c r="S96" i="2"/>
  <c r="R96" i="2"/>
  <c r="U96" i="2" s="1"/>
  <c r="V96" i="2" s="1"/>
  <c r="Q96" i="2"/>
  <c r="J96" i="2"/>
  <c r="W96" i="2" s="1"/>
  <c r="I96" i="2"/>
  <c r="G96" i="2"/>
  <c r="H96" i="2" s="1"/>
  <c r="L96" i="2" s="1"/>
  <c r="F96" i="2"/>
  <c r="D96" i="2"/>
  <c r="E96" i="2" s="1"/>
  <c r="C96" i="2"/>
  <c r="B96" i="2"/>
  <c r="A96" i="2"/>
  <c r="Y95" i="2"/>
  <c r="X95" i="2"/>
  <c r="S95" i="2"/>
  <c r="T95" i="2" s="1"/>
  <c r="R95" i="2"/>
  <c r="U95" i="2" s="1"/>
  <c r="V95" i="2" s="1"/>
  <c r="Q95" i="2"/>
  <c r="J95" i="2"/>
  <c r="W95" i="2" s="1"/>
  <c r="I95" i="2"/>
  <c r="H95" i="2"/>
  <c r="L95" i="2" s="1"/>
  <c r="G95" i="2"/>
  <c r="F95" i="2"/>
  <c r="D95" i="2"/>
  <c r="E95" i="2" s="1"/>
  <c r="C95" i="2"/>
  <c r="B95" i="2"/>
  <c r="A95" i="2"/>
  <c r="Y94" i="2"/>
  <c r="X94" i="2"/>
  <c r="S94" i="2"/>
  <c r="T94" i="2" s="1"/>
  <c r="R94" i="2"/>
  <c r="Q94" i="2"/>
  <c r="J94" i="2"/>
  <c r="I94" i="2"/>
  <c r="G94" i="2"/>
  <c r="H94" i="2" s="1"/>
  <c r="L94" i="2" s="1"/>
  <c r="F94" i="2"/>
  <c r="C94" i="2"/>
  <c r="D94" i="2" s="1"/>
  <c r="E94" i="2" s="1"/>
  <c r="B94" i="2"/>
  <c r="A94" i="2"/>
  <c r="Y93" i="2"/>
  <c r="X93" i="2"/>
  <c r="S93" i="2"/>
  <c r="U93" i="2" s="1"/>
  <c r="V93" i="2" s="1"/>
  <c r="R93" i="2"/>
  <c r="Q93" i="2"/>
  <c r="J93" i="2"/>
  <c r="W93" i="2" s="1"/>
  <c r="I93" i="2"/>
  <c r="G93" i="2"/>
  <c r="H93" i="2" s="1"/>
  <c r="L93" i="2" s="1"/>
  <c r="F93" i="2"/>
  <c r="D93" i="2"/>
  <c r="E93" i="2" s="1"/>
  <c r="C93" i="2"/>
  <c r="B93" i="2"/>
  <c r="A93" i="2"/>
  <c r="Y92" i="2"/>
  <c r="X92" i="2"/>
  <c r="T92" i="2"/>
  <c r="S92" i="2"/>
  <c r="R92" i="2"/>
  <c r="U92" i="2" s="1"/>
  <c r="V92" i="2" s="1"/>
  <c r="Q92" i="2"/>
  <c r="J92" i="2"/>
  <c r="W92" i="2" s="1"/>
  <c r="I92" i="2"/>
  <c r="G92" i="2"/>
  <c r="H92" i="2" s="1"/>
  <c r="L92" i="2" s="1"/>
  <c r="F92" i="2"/>
  <c r="E92" i="2"/>
  <c r="C92" i="2"/>
  <c r="D92" i="2" s="1"/>
  <c r="B92" i="2"/>
  <c r="A92" i="2"/>
  <c r="Y91" i="2"/>
  <c r="X91" i="2"/>
  <c r="S91" i="2"/>
  <c r="T91" i="2" s="1"/>
  <c r="R91" i="2"/>
  <c r="U91" i="2" s="1"/>
  <c r="V91" i="2" s="1"/>
  <c r="Q91" i="2"/>
  <c r="J91" i="2"/>
  <c r="W91" i="2" s="1"/>
  <c r="I91" i="2"/>
  <c r="H91" i="2"/>
  <c r="L91" i="2" s="1"/>
  <c r="G91" i="2"/>
  <c r="F91" i="2"/>
  <c r="E91" i="2"/>
  <c r="D91" i="2"/>
  <c r="C91" i="2"/>
  <c r="B91" i="2"/>
  <c r="A91" i="2"/>
  <c r="Y90" i="2"/>
  <c r="X90" i="2"/>
  <c r="V90" i="2"/>
  <c r="T90" i="2"/>
  <c r="S90" i="2"/>
  <c r="R90" i="2"/>
  <c r="U90" i="2" s="1"/>
  <c r="Q90" i="2"/>
  <c r="J90" i="2"/>
  <c r="I90" i="2"/>
  <c r="G90" i="2"/>
  <c r="H90" i="2" s="1"/>
  <c r="L90" i="2" s="1"/>
  <c r="F90" i="2"/>
  <c r="C90" i="2"/>
  <c r="D90" i="2" s="1"/>
  <c r="E90" i="2" s="1"/>
  <c r="B90" i="2"/>
  <c r="A90" i="2"/>
  <c r="Y89" i="2"/>
  <c r="X89" i="2"/>
  <c r="S89" i="2"/>
  <c r="R89" i="2"/>
  <c r="Q89" i="2"/>
  <c r="J89" i="2"/>
  <c r="W89" i="2" s="1"/>
  <c r="I89" i="2"/>
  <c r="G89" i="2"/>
  <c r="H89" i="2" s="1"/>
  <c r="L89" i="2" s="1"/>
  <c r="F89" i="2"/>
  <c r="C89" i="2"/>
  <c r="D89" i="2" s="1"/>
  <c r="E89" i="2" s="1"/>
  <c r="B89" i="2"/>
  <c r="A89" i="2"/>
  <c r="Y88" i="2"/>
  <c r="X88" i="2"/>
  <c r="T88" i="2"/>
  <c r="S88" i="2"/>
  <c r="R88" i="2"/>
  <c r="U88" i="2" s="1"/>
  <c r="V88" i="2" s="1"/>
  <c r="Q88" i="2"/>
  <c r="L88" i="2"/>
  <c r="J88" i="2"/>
  <c r="W88" i="2" s="1"/>
  <c r="I88" i="2"/>
  <c r="G88" i="2"/>
  <c r="H88" i="2" s="1"/>
  <c r="F88" i="2"/>
  <c r="D88" i="2"/>
  <c r="E88" i="2" s="1"/>
  <c r="C88" i="2"/>
  <c r="B88" i="2"/>
  <c r="A88" i="2"/>
  <c r="Y87" i="2"/>
  <c r="X87" i="2"/>
  <c r="T87" i="2"/>
  <c r="S87" i="2"/>
  <c r="R87" i="2"/>
  <c r="U87" i="2" s="1"/>
  <c r="V87" i="2" s="1"/>
  <c r="Q87" i="2"/>
  <c r="L87" i="2"/>
  <c r="J87" i="2"/>
  <c r="W87" i="2" s="1"/>
  <c r="I87" i="2"/>
  <c r="H87" i="2"/>
  <c r="G87" i="2"/>
  <c r="F87" i="2"/>
  <c r="D87" i="2"/>
  <c r="E87" i="2" s="1"/>
  <c r="C87" i="2"/>
  <c r="B87" i="2"/>
  <c r="A87" i="2"/>
  <c r="Y86" i="2"/>
  <c r="X86" i="2"/>
  <c r="W86" i="2"/>
  <c r="T86" i="2"/>
  <c r="S86" i="2"/>
  <c r="R86" i="2"/>
  <c r="U86" i="2" s="1"/>
  <c r="V86" i="2" s="1"/>
  <c r="Q86" i="2"/>
  <c r="J86" i="2"/>
  <c r="I86" i="2"/>
  <c r="G86" i="2"/>
  <c r="H86" i="2" s="1"/>
  <c r="L86" i="2" s="1"/>
  <c r="F86" i="2"/>
  <c r="D86" i="2"/>
  <c r="E86" i="2" s="1"/>
  <c r="C86" i="2"/>
  <c r="B86" i="2"/>
  <c r="A86" i="2"/>
  <c r="Y85" i="2"/>
  <c r="X85" i="2"/>
  <c r="U85" i="2"/>
  <c r="V85" i="2" s="1"/>
  <c r="S85" i="2"/>
  <c r="T85" i="2" s="1"/>
  <c r="R85" i="2"/>
  <c r="Q85" i="2"/>
  <c r="J85" i="2"/>
  <c r="W85" i="2" s="1"/>
  <c r="I85" i="2"/>
  <c r="G85" i="2"/>
  <c r="H85" i="2" s="1"/>
  <c r="L85" i="2" s="1"/>
  <c r="F85" i="2"/>
  <c r="D85" i="2"/>
  <c r="E85" i="2" s="1"/>
  <c r="C85" i="2"/>
  <c r="B85" i="2"/>
  <c r="A85" i="2"/>
  <c r="Y84" i="2"/>
  <c r="X84" i="2"/>
  <c r="T84" i="2"/>
  <c r="S84" i="2"/>
  <c r="R84" i="2"/>
  <c r="U84" i="2" s="1"/>
  <c r="V84" i="2" s="1"/>
  <c r="Q84" i="2"/>
  <c r="J84" i="2"/>
  <c r="W84" i="2" s="1"/>
  <c r="I84" i="2"/>
  <c r="G84" i="2"/>
  <c r="H84" i="2" s="1"/>
  <c r="L84" i="2" s="1"/>
  <c r="F84" i="2"/>
  <c r="C84" i="2"/>
  <c r="D84" i="2" s="1"/>
  <c r="E84" i="2" s="1"/>
  <c r="B84" i="2"/>
  <c r="A84" i="2"/>
  <c r="Y83" i="2"/>
  <c r="X83" i="2"/>
  <c r="S83" i="2"/>
  <c r="T83" i="2" s="1"/>
  <c r="R83" i="2"/>
  <c r="U83" i="2" s="1"/>
  <c r="V83" i="2" s="1"/>
  <c r="Q83" i="2"/>
  <c r="J83" i="2"/>
  <c r="W83" i="2" s="1"/>
  <c r="I83" i="2"/>
  <c r="H83" i="2"/>
  <c r="L83" i="2" s="1"/>
  <c r="G83" i="2"/>
  <c r="F83" i="2"/>
  <c r="D83" i="2"/>
  <c r="E83" i="2" s="1"/>
  <c r="C83" i="2"/>
  <c r="B83" i="2"/>
  <c r="A83" i="2"/>
  <c r="Y82" i="2"/>
  <c r="X82" i="2"/>
  <c r="S82" i="2"/>
  <c r="T82" i="2" s="1"/>
  <c r="R82" i="2"/>
  <c r="Q82" i="2"/>
  <c r="J82" i="2"/>
  <c r="W82" i="2" s="1"/>
  <c r="I82" i="2"/>
  <c r="G82" i="2"/>
  <c r="H82" i="2" s="1"/>
  <c r="L82" i="2" s="1"/>
  <c r="F82" i="2"/>
  <c r="E82" i="2"/>
  <c r="C82" i="2"/>
  <c r="D82" i="2" s="1"/>
  <c r="B82" i="2"/>
  <c r="A82" i="2"/>
  <c r="Y81" i="2"/>
  <c r="X81" i="2"/>
  <c r="U81" i="2"/>
  <c r="V81" i="2" s="1"/>
  <c r="T81" i="2"/>
  <c r="S81" i="2"/>
  <c r="R81" i="2"/>
  <c r="Q81" i="2"/>
  <c r="L81" i="2"/>
  <c r="J81" i="2"/>
  <c r="W81" i="2" s="1"/>
  <c r="I81" i="2"/>
  <c r="G81" i="2"/>
  <c r="H81" i="2" s="1"/>
  <c r="F81" i="2"/>
  <c r="C81" i="2"/>
  <c r="D81" i="2" s="1"/>
  <c r="E81" i="2" s="1"/>
  <c r="B81" i="2"/>
  <c r="A81" i="2"/>
  <c r="Y80" i="2"/>
  <c r="X80" i="2"/>
  <c r="U80" i="2"/>
  <c r="V80" i="2" s="1"/>
  <c r="S80" i="2"/>
  <c r="T80" i="2" s="1"/>
  <c r="R80" i="2"/>
  <c r="Q80" i="2"/>
  <c r="L80" i="2"/>
  <c r="J80" i="2"/>
  <c r="W80" i="2" s="1"/>
  <c r="I80" i="2"/>
  <c r="G80" i="2"/>
  <c r="H80" i="2" s="1"/>
  <c r="F80" i="2"/>
  <c r="E80" i="2"/>
  <c r="D80" i="2"/>
  <c r="C80" i="2"/>
  <c r="B80" i="2"/>
  <c r="A80" i="2"/>
  <c r="Y79" i="2"/>
  <c r="X79" i="2"/>
  <c r="T79" i="2"/>
  <c r="S79" i="2"/>
  <c r="R79" i="2"/>
  <c r="U79" i="2" s="1"/>
  <c r="V79" i="2" s="1"/>
  <c r="Q79" i="2"/>
  <c r="J79" i="2"/>
  <c r="W79" i="2" s="1"/>
  <c r="I79" i="2"/>
  <c r="G79" i="2"/>
  <c r="H79" i="2" s="1"/>
  <c r="L79" i="2" s="1"/>
  <c r="F79" i="2"/>
  <c r="C79" i="2"/>
  <c r="D79" i="2" s="1"/>
  <c r="E79" i="2" s="1"/>
  <c r="B79" i="2"/>
  <c r="A79" i="2"/>
  <c r="Y78" i="2"/>
  <c r="X78" i="2"/>
  <c r="S78" i="2"/>
  <c r="T78" i="2" s="1"/>
  <c r="R78" i="2"/>
  <c r="U78" i="2" s="1"/>
  <c r="V78" i="2" s="1"/>
  <c r="Q78" i="2"/>
  <c r="J78" i="2"/>
  <c r="W78" i="2" s="1"/>
  <c r="I78" i="2"/>
  <c r="G78" i="2"/>
  <c r="H78" i="2" s="1"/>
  <c r="L78" i="2" s="1"/>
  <c r="F78" i="2"/>
  <c r="D78" i="2"/>
  <c r="E78" i="2" s="1"/>
  <c r="C78" i="2"/>
  <c r="B78" i="2"/>
  <c r="A78" i="2"/>
  <c r="Y77" i="2"/>
  <c r="X77" i="2"/>
  <c r="S77" i="2"/>
  <c r="T77" i="2" s="1"/>
  <c r="R77" i="2"/>
  <c r="Q77" i="2"/>
  <c r="J77" i="2"/>
  <c r="I77" i="2"/>
  <c r="G77" i="2"/>
  <c r="H77" i="2" s="1"/>
  <c r="L77" i="2" s="1"/>
  <c r="F77" i="2"/>
  <c r="C77" i="2"/>
  <c r="D77" i="2" s="1"/>
  <c r="E77" i="2" s="1"/>
  <c r="B77" i="2"/>
  <c r="A77" i="2"/>
  <c r="Y76" i="2"/>
  <c r="X76" i="2"/>
  <c r="S76" i="2"/>
  <c r="T76" i="2" s="1"/>
  <c r="R76" i="2"/>
  <c r="Q76" i="2"/>
  <c r="J76" i="2"/>
  <c r="W76" i="2" s="1"/>
  <c r="I76" i="2"/>
  <c r="H76" i="2"/>
  <c r="L76" i="2" s="1"/>
  <c r="G76" i="2"/>
  <c r="F76" i="2"/>
  <c r="D76" i="2"/>
  <c r="E76" i="2" s="1"/>
  <c r="C76" i="2"/>
  <c r="B76" i="2"/>
  <c r="A76" i="2"/>
  <c r="Y75" i="2"/>
  <c r="X75" i="2"/>
  <c r="V75" i="2"/>
  <c r="U75" i="2"/>
  <c r="S75" i="2"/>
  <c r="T75" i="2" s="1"/>
  <c r="R75" i="2"/>
  <c r="Q75" i="2"/>
  <c r="J75" i="2"/>
  <c r="W75" i="2" s="1"/>
  <c r="I75" i="2"/>
  <c r="G75" i="2"/>
  <c r="H75" i="2" s="1"/>
  <c r="L75" i="2" s="1"/>
  <c r="F75" i="2"/>
  <c r="C75" i="2"/>
  <c r="D75" i="2" s="1"/>
  <c r="E75" i="2" s="1"/>
  <c r="B75" i="2"/>
  <c r="A75" i="2"/>
  <c r="Y74" i="2"/>
  <c r="X74" i="2"/>
  <c r="T74" i="2"/>
  <c r="S74" i="2"/>
  <c r="U74" i="2" s="1"/>
  <c r="V74" i="2" s="1"/>
  <c r="R74" i="2"/>
  <c r="Q74" i="2"/>
  <c r="L74" i="2"/>
  <c r="J74" i="2"/>
  <c r="W74" i="2" s="1"/>
  <c r="I74" i="2"/>
  <c r="H74" i="2"/>
  <c r="G74" i="2"/>
  <c r="F74" i="2"/>
  <c r="D74" i="2"/>
  <c r="E74" i="2" s="1"/>
  <c r="C74" i="2"/>
  <c r="B74" i="2"/>
  <c r="A74" i="2"/>
  <c r="Y73" i="2"/>
  <c r="X73" i="2"/>
  <c r="U73" i="2"/>
  <c r="V73" i="2" s="1"/>
  <c r="T73" i="2"/>
  <c r="S73" i="2"/>
  <c r="R73" i="2"/>
  <c r="Q73" i="2"/>
  <c r="J73" i="2"/>
  <c r="W73" i="2" s="1"/>
  <c r="I73" i="2"/>
  <c r="G73" i="2"/>
  <c r="H73" i="2" s="1"/>
  <c r="L73" i="2" s="1"/>
  <c r="F73" i="2"/>
  <c r="C73" i="2"/>
  <c r="D73" i="2" s="1"/>
  <c r="E73" i="2" s="1"/>
  <c r="B73" i="2"/>
  <c r="A73" i="2"/>
  <c r="Y72" i="2"/>
  <c r="X72" i="2"/>
  <c r="U72" i="2"/>
  <c r="V72" i="2" s="1"/>
  <c r="S72" i="2"/>
  <c r="T72" i="2" s="1"/>
  <c r="R72" i="2"/>
  <c r="Q72" i="2"/>
  <c r="J72" i="2"/>
  <c r="W72" i="2" s="1"/>
  <c r="I72" i="2"/>
  <c r="G72" i="2"/>
  <c r="H72" i="2" s="1"/>
  <c r="L72" i="2" s="1"/>
  <c r="F72" i="2"/>
  <c r="E72" i="2"/>
  <c r="D72" i="2"/>
  <c r="C72" i="2"/>
  <c r="B72" i="2"/>
  <c r="A72" i="2"/>
  <c r="Y71" i="2"/>
  <c r="X71" i="2"/>
  <c r="T71" i="2"/>
  <c r="S71" i="2"/>
  <c r="R71" i="2"/>
  <c r="U71" i="2" s="1"/>
  <c r="V71" i="2" s="1"/>
  <c r="Q71" i="2"/>
  <c r="J71" i="2"/>
  <c r="W71" i="2" s="1"/>
  <c r="I71" i="2"/>
  <c r="G71" i="2"/>
  <c r="H71" i="2" s="1"/>
  <c r="L71" i="2" s="1"/>
  <c r="F71" i="2"/>
  <c r="C71" i="2"/>
  <c r="D71" i="2" s="1"/>
  <c r="E71" i="2" s="1"/>
  <c r="B71" i="2"/>
  <c r="A71" i="2"/>
  <c r="Y70" i="2"/>
  <c r="X70" i="2"/>
  <c r="S70" i="2"/>
  <c r="T70" i="2" s="1"/>
  <c r="R70" i="2"/>
  <c r="Q70" i="2"/>
  <c r="J70" i="2"/>
  <c r="W70" i="2" s="1"/>
  <c r="I70" i="2"/>
  <c r="G70" i="2"/>
  <c r="H70" i="2" s="1"/>
  <c r="L70" i="2" s="1"/>
  <c r="F70" i="2"/>
  <c r="D70" i="2"/>
  <c r="E70" i="2" s="1"/>
  <c r="C70" i="2"/>
  <c r="B70" i="2"/>
  <c r="A70" i="2"/>
  <c r="Y69" i="2"/>
  <c r="X69" i="2"/>
  <c r="T69" i="2"/>
  <c r="S69" i="2"/>
  <c r="R69" i="2"/>
  <c r="Q69" i="2"/>
  <c r="J69" i="2"/>
  <c r="W69" i="2" s="1"/>
  <c r="I69" i="2"/>
  <c r="G69" i="2"/>
  <c r="H69" i="2" s="1"/>
  <c r="L69" i="2" s="1"/>
  <c r="F69" i="2"/>
  <c r="C69" i="2"/>
  <c r="D69" i="2" s="1"/>
  <c r="E69" i="2" s="1"/>
  <c r="B69" i="2"/>
  <c r="A69" i="2"/>
  <c r="Y68" i="2"/>
  <c r="X68" i="2"/>
  <c r="U68" i="2"/>
  <c r="V68" i="2" s="1"/>
  <c r="S68" i="2"/>
  <c r="T68" i="2" s="1"/>
  <c r="R68" i="2"/>
  <c r="Q68" i="2"/>
  <c r="J68" i="2"/>
  <c r="W68" i="2" s="1"/>
  <c r="I68" i="2"/>
  <c r="H68" i="2"/>
  <c r="L68" i="2" s="1"/>
  <c r="G68" i="2"/>
  <c r="F68" i="2"/>
  <c r="D68" i="2"/>
  <c r="E68" i="2" s="1"/>
  <c r="C68" i="2"/>
  <c r="B68" i="2"/>
  <c r="A68" i="2"/>
  <c r="Y67" i="2"/>
  <c r="X67" i="2"/>
  <c r="S67" i="2"/>
  <c r="T67" i="2" s="1"/>
  <c r="R67" i="2"/>
  <c r="Q67" i="2"/>
  <c r="J67" i="2"/>
  <c r="W67" i="2" s="1"/>
  <c r="I67" i="2"/>
  <c r="G67" i="2"/>
  <c r="H67" i="2" s="1"/>
  <c r="L67" i="2" s="1"/>
  <c r="F67" i="2"/>
  <c r="C67" i="2"/>
  <c r="D67" i="2" s="1"/>
  <c r="E67" i="2" s="1"/>
  <c r="B67" i="2"/>
  <c r="A67" i="2"/>
  <c r="Y66" i="2"/>
  <c r="X66" i="2"/>
  <c r="S66" i="2"/>
  <c r="U66" i="2" s="1"/>
  <c r="V66" i="2" s="1"/>
  <c r="R66" i="2"/>
  <c r="Q66" i="2"/>
  <c r="L66" i="2"/>
  <c r="J66" i="2"/>
  <c r="W66" i="2" s="1"/>
  <c r="I66" i="2"/>
  <c r="H66" i="2"/>
  <c r="G66" i="2"/>
  <c r="F66" i="2"/>
  <c r="D66" i="2"/>
  <c r="E66" i="2" s="1"/>
  <c r="C66" i="2"/>
  <c r="B66" i="2"/>
  <c r="A66" i="2"/>
  <c r="Y65" i="2"/>
  <c r="X65" i="2"/>
  <c r="U65" i="2"/>
  <c r="V65" i="2" s="1"/>
  <c r="T65" i="2"/>
  <c r="S65" i="2"/>
  <c r="R65" i="2"/>
  <c r="Q65" i="2"/>
  <c r="J65" i="2"/>
  <c r="W65" i="2" s="1"/>
  <c r="I65" i="2"/>
  <c r="G65" i="2"/>
  <c r="H65" i="2" s="1"/>
  <c r="L65" i="2" s="1"/>
  <c r="F65" i="2"/>
  <c r="D65" i="2"/>
  <c r="E65" i="2" s="1"/>
  <c r="C65" i="2"/>
  <c r="B65" i="2"/>
  <c r="A65" i="2"/>
  <c r="Y64" i="2"/>
  <c r="X64" i="2"/>
  <c r="U64" i="2"/>
  <c r="V64" i="2" s="1"/>
  <c r="S64" i="2"/>
  <c r="T64" i="2" s="1"/>
  <c r="R64" i="2"/>
  <c r="Q64" i="2"/>
  <c r="J64" i="2"/>
  <c r="W64" i="2" s="1"/>
  <c r="I64" i="2"/>
  <c r="G64" i="2"/>
  <c r="H64" i="2" s="1"/>
  <c r="L64" i="2" s="1"/>
  <c r="F64" i="2"/>
  <c r="D64" i="2"/>
  <c r="E64" i="2" s="1"/>
  <c r="C64" i="2"/>
  <c r="B64" i="2"/>
  <c r="A64" i="2"/>
  <c r="Y63" i="2"/>
  <c r="X63" i="2"/>
  <c r="T63" i="2"/>
  <c r="S63" i="2"/>
  <c r="R63" i="2"/>
  <c r="U63" i="2" s="1"/>
  <c r="V63" i="2" s="1"/>
  <c r="Q63" i="2"/>
  <c r="J63" i="2"/>
  <c r="W63" i="2" s="1"/>
  <c r="I63" i="2"/>
  <c r="H63" i="2"/>
  <c r="L63" i="2" s="1"/>
  <c r="G63" i="2"/>
  <c r="F63" i="2"/>
  <c r="C63" i="2"/>
  <c r="D63" i="2" s="1"/>
  <c r="E63" i="2" s="1"/>
  <c r="B63" i="2"/>
  <c r="A63" i="2"/>
  <c r="Y62" i="2"/>
  <c r="X62" i="2"/>
  <c r="T62" i="2"/>
  <c r="S62" i="2"/>
  <c r="R62" i="2"/>
  <c r="U62" i="2" s="1"/>
  <c r="V62" i="2" s="1"/>
  <c r="Q62" i="2"/>
  <c r="J62" i="2"/>
  <c r="W62" i="2" s="1"/>
  <c r="I62" i="2"/>
  <c r="G62" i="2"/>
  <c r="H62" i="2" s="1"/>
  <c r="L62" i="2" s="1"/>
  <c r="F62" i="2"/>
  <c r="C62" i="2"/>
  <c r="D62" i="2" s="1"/>
  <c r="E62" i="2" s="1"/>
  <c r="B62" i="2"/>
  <c r="A62" i="2"/>
  <c r="Y61" i="2"/>
  <c r="X61" i="2"/>
  <c r="S61" i="2"/>
  <c r="T61" i="2" s="1"/>
  <c r="R61" i="2"/>
  <c r="U61" i="2" s="1"/>
  <c r="V61" i="2" s="1"/>
  <c r="Q61" i="2"/>
  <c r="J61" i="2"/>
  <c r="W61" i="2" s="1"/>
  <c r="I61" i="2"/>
  <c r="H61" i="2"/>
  <c r="L61" i="2" s="1"/>
  <c r="G61" i="2"/>
  <c r="F61" i="2"/>
  <c r="E61" i="2"/>
  <c r="D61" i="2"/>
  <c r="C61" i="2"/>
  <c r="B61" i="2"/>
  <c r="A61" i="2"/>
  <c r="Y60" i="2"/>
  <c r="X60" i="2"/>
  <c r="S60" i="2"/>
  <c r="T60" i="2" s="1"/>
  <c r="R60" i="2"/>
  <c r="U60" i="2" s="1"/>
  <c r="V60" i="2" s="1"/>
  <c r="Q60" i="2"/>
  <c r="L60" i="2"/>
  <c r="J60" i="2"/>
  <c r="W60" i="2" s="1"/>
  <c r="I60" i="2"/>
  <c r="H60" i="2"/>
  <c r="G60" i="2"/>
  <c r="F60" i="2"/>
  <c r="D60" i="2"/>
  <c r="E60" i="2" s="1"/>
  <c r="C60" i="2"/>
  <c r="B60" i="2"/>
  <c r="A60" i="2"/>
  <c r="Y59" i="2"/>
  <c r="X59" i="2"/>
  <c r="V59" i="2"/>
  <c r="S59" i="2"/>
  <c r="T59" i="2" s="1"/>
  <c r="R59" i="2"/>
  <c r="U59" i="2" s="1"/>
  <c r="Q59" i="2"/>
  <c r="J59" i="2"/>
  <c r="W59" i="2" s="1"/>
  <c r="I59" i="2"/>
  <c r="G59" i="2"/>
  <c r="H59" i="2" s="1"/>
  <c r="L59" i="2" s="1"/>
  <c r="F59" i="2"/>
  <c r="E59" i="2"/>
  <c r="D59" i="2"/>
  <c r="C59" i="2"/>
  <c r="B59" i="2"/>
  <c r="A59" i="2"/>
  <c r="Y58" i="2"/>
  <c r="X58" i="2"/>
  <c r="V58" i="2"/>
  <c r="U58" i="2"/>
  <c r="S58" i="2"/>
  <c r="T58" i="2" s="1"/>
  <c r="R58" i="2"/>
  <c r="Q58" i="2"/>
  <c r="J58" i="2"/>
  <c r="W58" i="2" s="1"/>
  <c r="I58" i="2"/>
  <c r="H58" i="2"/>
  <c r="L58" i="2" s="1"/>
  <c r="G58" i="2"/>
  <c r="F58" i="2"/>
  <c r="D58" i="2"/>
  <c r="E58" i="2" s="1"/>
  <c r="C58" i="2"/>
  <c r="B58" i="2"/>
  <c r="A58" i="2"/>
  <c r="Y57" i="2"/>
  <c r="X57" i="2"/>
  <c r="T57" i="2"/>
  <c r="S57" i="2"/>
  <c r="R57" i="2"/>
  <c r="U57" i="2" s="1"/>
  <c r="V57" i="2" s="1"/>
  <c r="Q57" i="2"/>
  <c r="J57" i="2"/>
  <c r="W57" i="2" s="1"/>
  <c r="I57" i="2"/>
  <c r="G57" i="2"/>
  <c r="H57" i="2" s="1"/>
  <c r="L57" i="2" s="1"/>
  <c r="F57" i="2"/>
  <c r="C57" i="2"/>
  <c r="D57" i="2" s="1"/>
  <c r="E57" i="2" s="1"/>
  <c r="B57" i="2"/>
  <c r="A57" i="2"/>
  <c r="Y56" i="2"/>
  <c r="X56" i="2"/>
  <c r="S56" i="2"/>
  <c r="T56" i="2" s="1"/>
  <c r="R56" i="2"/>
  <c r="U56" i="2" s="1"/>
  <c r="V56" i="2" s="1"/>
  <c r="Q56" i="2"/>
  <c r="J56" i="2"/>
  <c r="W56" i="2" s="1"/>
  <c r="I56" i="2"/>
  <c r="H56" i="2"/>
  <c r="L56" i="2" s="1"/>
  <c r="G56" i="2"/>
  <c r="F56" i="2"/>
  <c r="D56" i="2"/>
  <c r="E56" i="2" s="1"/>
  <c r="C56" i="2"/>
  <c r="B56" i="2"/>
  <c r="A56" i="2"/>
  <c r="Y55" i="2"/>
  <c r="X55" i="2"/>
  <c r="V55" i="2"/>
  <c r="S55" i="2"/>
  <c r="T55" i="2" s="1"/>
  <c r="R55" i="2"/>
  <c r="U55" i="2" s="1"/>
  <c r="Q55" i="2"/>
  <c r="J55" i="2"/>
  <c r="I55" i="2"/>
  <c r="G55" i="2"/>
  <c r="H55" i="2" s="1"/>
  <c r="L55" i="2" s="1"/>
  <c r="F55" i="2"/>
  <c r="C55" i="2"/>
  <c r="D55" i="2" s="1"/>
  <c r="E55" i="2" s="1"/>
  <c r="B55" i="2"/>
  <c r="A55" i="2"/>
  <c r="Y54" i="2"/>
  <c r="X54" i="2"/>
  <c r="U54" i="2"/>
  <c r="V54" i="2" s="1"/>
  <c r="T54" i="2"/>
  <c r="S54" i="2"/>
  <c r="R54" i="2"/>
  <c r="Q54" i="2"/>
  <c r="J54" i="2"/>
  <c r="I54" i="2"/>
  <c r="G54" i="2"/>
  <c r="H54" i="2" s="1"/>
  <c r="L54" i="2" s="1"/>
  <c r="F54" i="2"/>
  <c r="D54" i="2"/>
  <c r="E54" i="2" s="1"/>
  <c r="C54" i="2"/>
  <c r="B54" i="2"/>
  <c r="A54" i="2"/>
  <c r="Y53" i="2"/>
  <c r="X53" i="2"/>
  <c r="S53" i="2"/>
  <c r="T53" i="2" s="1"/>
  <c r="R53" i="2"/>
  <c r="U53" i="2" s="1"/>
  <c r="V53" i="2" s="1"/>
  <c r="Q53" i="2"/>
  <c r="J53" i="2"/>
  <c r="I53" i="2"/>
  <c r="H53" i="2"/>
  <c r="L53" i="2" s="1"/>
  <c r="G53" i="2"/>
  <c r="F53" i="2"/>
  <c r="C53" i="2"/>
  <c r="D53" i="2" s="1"/>
  <c r="E53" i="2" s="1"/>
  <c r="B53" i="2"/>
  <c r="A53" i="2"/>
  <c r="Y52" i="2"/>
  <c r="X52" i="2"/>
  <c r="S52" i="2"/>
  <c r="T52" i="2" s="1"/>
  <c r="R52" i="2"/>
  <c r="U52" i="2" s="1"/>
  <c r="V52" i="2" s="1"/>
  <c r="Q52" i="2"/>
  <c r="J52" i="2"/>
  <c r="I52" i="2"/>
  <c r="H52" i="2"/>
  <c r="L52" i="2" s="1"/>
  <c r="G52" i="2"/>
  <c r="F52" i="2"/>
  <c r="C52" i="2"/>
  <c r="D52" i="2" s="1"/>
  <c r="E52" i="2" s="1"/>
  <c r="B52" i="2"/>
  <c r="A52" i="2"/>
  <c r="Y51" i="2"/>
  <c r="X51" i="2"/>
  <c r="S51" i="2"/>
  <c r="T51" i="2" s="1"/>
  <c r="R51" i="2"/>
  <c r="U51" i="2" s="1"/>
  <c r="V51" i="2" s="1"/>
  <c r="Q51" i="2"/>
  <c r="L51" i="2"/>
  <c r="J51" i="2"/>
  <c r="W51" i="2" s="1"/>
  <c r="I51" i="2"/>
  <c r="G51" i="2"/>
  <c r="H51" i="2" s="1"/>
  <c r="F51" i="2"/>
  <c r="C51" i="2"/>
  <c r="D51" i="2" s="1"/>
  <c r="E51" i="2" s="1"/>
  <c r="B51" i="2"/>
  <c r="A51" i="2"/>
  <c r="Y50" i="2"/>
  <c r="X50" i="2"/>
  <c r="U50" i="2"/>
  <c r="V50" i="2" s="1"/>
  <c r="T50" i="2"/>
  <c r="S50" i="2"/>
  <c r="R50" i="2"/>
  <c r="Q50" i="2"/>
  <c r="J50" i="2"/>
  <c r="I50" i="2"/>
  <c r="H50" i="2"/>
  <c r="L50" i="2" s="1"/>
  <c r="G50" i="2"/>
  <c r="F50" i="2"/>
  <c r="C50" i="2"/>
  <c r="D50" i="2" s="1"/>
  <c r="E50" i="2" s="1"/>
  <c r="B50" i="2"/>
  <c r="A50" i="2"/>
  <c r="Y49" i="2"/>
  <c r="X49" i="2"/>
  <c r="T49" i="2"/>
  <c r="S49" i="2"/>
  <c r="R49" i="2"/>
  <c r="U49" i="2" s="1"/>
  <c r="V49" i="2" s="1"/>
  <c r="Q49" i="2"/>
  <c r="J49" i="2"/>
  <c r="W49" i="2" s="1"/>
  <c r="I49" i="2"/>
  <c r="H49" i="2"/>
  <c r="L49" i="2" s="1"/>
  <c r="G49" i="2"/>
  <c r="F49" i="2"/>
  <c r="D49" i="2"/>
  <c r="E49" i="2" s="1"/>
  <c r="C49" i="2"/>
  <c r="B49" i="2"/>
  <c r="A49" i="2"/>
  <c r="Y48" i="2"/>
  <c r="X48" i="2"/>
  <c r="S48" i="2"/>
  <c r="T48" i="2" s="1"/>
  <c r="R48" i="2"/>
  <c r="Q48" i="2"/>
  <c r="J48" i="2"/>
  <c r="W48" i="2" s="1"/>
  <c r="I48" i="2"/>
  <c r="G48" i="2"/>
  <c r="H48" i="2" s="1"/>
  <c r="L48" i="2" s="1"/>
  <c r="F48" i="2"/>
  <c r="D48" i="2"/>
  <c r="E48" i="2" s="1"/>
  <c r="C48" i="2"/>
  <c r="B48" i="2"/>
  <c r="A48" i="2"/>
  <c r="Y47" i="2"/>
  <c r="X47" i="2"/>
  <c r="T47" i="2"/>
  <c r="S47" i="2"/>
  <c r="R47" i="2"/>
  <c r="U47" i="2" s="1"/>
  <c r="V47" i="2" s="1"/>
  <c r="Q47" i="2"/>
  <c r="J47" i="2"/>
  <c r="W47" i="2" s="1"/>
  <c r="I47" i="2"/>
  <c r="H47" i="2"/>
  <c r="L47" i="2" s="1"/>
  <c r="G47" i="2"/>
  <c r="F47" i="2"/>
  <c r="C47" i="2"/>
  <c r="D47" i="2" s="1"/>
  <c r="E47" i="2" s="1"/>
  <c r="B47" i="2"/>
  <c r="A47" i="2"/>
  <c r="Y46" i="2"/>
  <c r="X46" i="2"/>
  <c r="S46" i="2"/>
  <c r="T46" i="2" s="1"/>
  <c r="R46" i="2"/>
  <c r="U46" i="2" s="1"/>
  <c r="V46" i="2" s="1"/>
  <c r="Q46" i="2"/>
  <c r="L46" i="2"/>
  <c r="J46" i="2"/>
  <c r="W46" i="2" s="1"/>
  <c r="I46" i="2"/>
  <c r="H46" i="2"/>
  <c r="G46" i="2"/>
  <c r="F46" i="2"/>
  <c r="C46" i="2"/>
  <c r="D46" i="2" s="1"/>
  <c r="E46" i="2" s="1"/>
  <c r="B46" i="2"/>
  <c r="A46" i="2"/>
  <c r="Y45" i="2"/>
  <c r="X45" i="2"/>
  <c r="U45" i="2"/>
  <c r="V45" i="2" s="1"/>
  <c r="T45" i="2"/>
  <c r="S45" i="2"/>
  <c r="R45" i="2"/>
  <c r="Q45" i="2"/>
  <c r="J45" i="2"/>
  <c r="W45" i="2" s="1"/>
  <c r="I45" i="2"/>
  <c r="G45" i="2"/>
  <c r="H45" i="2" s="1"/>
  <c r="L45" i="2" s="1"/>
  <c r="F45" i="2"/>
  <c r="C45" i="2"/>
  <c r="D45" i="2" s="1"/>
  <c r="E45" i="2" s="1"/>
  <c r="B45" i="2"/>
  <c r="A45" i="2"/>
  <c r="Y44" i="2"/>
  <c r="X44" i="2"/>
  <c r="U44" i="2"/>
  <c r="V44" i="2" s="1"/>
  <c r="T44" i="2"/>
  <c r="S44" i="2"/>
  <c r="R44" i="2"/>
  <c r="Q44" i="2"/>
  <c r="L44" i="2"/>
  <c r="J44" i="2"/>
  <c r="W44" i="2" s="1"/>
  <c r="I44" i="2"/>
  <c r="H44" i="2"/>
  <c r="G44" i="2"/>
  <c r="F44" i="2"/>
  <c r="D44" i="2"/>
  <c r="E44" i="2" s="1"/>
  <c r="C44" i="2"/>
  <c r="B44" i="2"/>
  <c r="A44" i="2"/>
  <c r="Y43" i="2"/>
  <c r="X43" i="2"/>
  <c r="V43" i="2"/>
  <c r="U43" i="2"/>
  <c r="T43" i="2"/>
  <c r="S43" i="2"/>
  <c r="R43" i="2"/>
  <c r="Q43" i="2"/>
  <c r="L43" i="2"/>
  <c r="J43" i="2"/>
  <c r="W43" i="2" s="1"/>
  <c r="I43" i="2"/>
  <c r="G43" i="2"/>
  <c r="H43" i="2" s="1"/>
  <c r="F43" i="2"/>
  <c r="D43" i="2"/>
  <c r="E43" i="2" s="1"/>
  <c r="C43" i="2"/>
  <c r="B43" i="2"/>
  <c r="A43" i="2"/>
  <c r="Y42" i="2"/>
  <c r="X42" i="2"/>
  <c r="U42" i="2"/>
  <c r="V42" i="2" s="1"/>
  <c r="T42" i="2"/>
  <c r="S42" i="2"/>
  <c r="R42" i="2"/>
  <c r="Q42" i="2"/>
  <c r="J42" i="2"/>
  <c r="W42" i="2" s="1"/>
  <c r="I42" i="2"/>
  <c r="G42" i="2"/>
  <c r="H42" i="2" s="1"/>
  <c r="L42" i="2" s="1"/>
  <c r="F42" i="2"/>
  <c r="D42" i="2"/>
  <c r="E42" i="2" s="1"/>
  <c r="C42" i="2"/>
  <c r="B42" i="2"/>
  <c r="A42" i="2"/>
  <c r="Y41" i="2"/>
  <c r="X41" i="2"/>
  <c r="U41" i="2"/>
  <c r="V41" i="2" s="1"/>
  <c r="T41" i="2"/>
  <c r="S41" i="2"/>
  <c r="R41" i="2"/>
  <c r="Q41" i="2"/>
  <c r="J41" i="2"/>
  <c r="W41" i="2" s="1"/>
  <c r="I41" i="2"/>
  <c r="G41" i="2"/>
  <c r="H41" i="2" s="1"/>
  <c r="L41" i="2" s="1"/>
  <c r="F41" i="2"/>
  <c r="E41" i="2"/>
  <c r="D41" i="2"/>
  <c r="C41" i="2"/>
  <c r="B41" i="2"/>
  <c r="A41" i="2"/>
  <c r="Y40" i="2"/>
  <c r="X40" i="2"/>
  <c r="U40" i="2"/>
  <c r="V40" i="2" s="1"/>
  <c r="S40" i="2"/>
  <c r="T40" i="2" s="1"/>
  <c r="R40" i="2"/>
  <c r="Q40" i="2"/>
  <c r="L40" i="2"/>
  <c r="J40" i="2"/>
  <c r="W40" i="2" s="1"/>
  <c r="I40" i="2"/>
  <c r="G40" i="2"/>
  <c r="H40" i="2" s="1"/>
  <c r="F40" i="2"/>
  <c r="D40" i="2"/>
  <c r="E40" i="2" s="1"/>
  <c r="C40" i="2"/>
  <c r="B40" i="2"/>
  <c r="A40" i="2"/>
  <c r="Y39" i="2"/>
  <c r="X39" i="2"/>
  <c r="T39" i="2"/>
  <c r="S39" i="2"/>
  <c r="R39" i="2"/>
  <c r="Q39" i="2"/>
  <c r="J39" i="2"/>
  <c r="I39" i="2"/>
  <c r="G39" i="2"/>
  <c r="H39" i="2" s="1"/>
  <c r="L39" i="2" s="1"/>
  <c r="F39" i="2"/>
  <c r="E39" i="2"/>
  <c r="C39" i="2"/>
  <c r="D39" i="2" s="1"/>
  <c r="B39" i="2"/>
  <c r="A39" i="2"/>
  <c r="Y38" i="2"/>
  <c r="X38" i="2"/>
  <c r="S38" i="2"/>
  <c r="T38" i="2" s="1"/>
  <c r="R38" i="2"/>
  <c r="U38" i="2" s="1"/>
  <c r="V38" i="2" s="1"/>
  <c r="Q38" i="2"/>
  <c r="J38" i="2"/>
  <c r="W38" i="2" s="1"/>
  <c r="I38" i="2"/>
  <c r="G38" i="2"/>
  <c r="H38" i="2" s="1"/>
  <c r="L38" i="2" s="1"/>
  <c r="F38" i="2"/>
  <c r="C38" i="2"/>
  <c r="D38" i="2" s="1"/>
  <c r="E38" i="2" s="1"/>
  <c r="B38" i="2"/>
  <c r="A38" i="2"/>
  <c r="Y37" i="2"/>
  <c r="X37" i="2"/>
  <c r="S37" i="2"/>
  <c r="R37" i="2"/>
  <c r="Q37" i="2"/>
  <c r="J37" i="2"/>
  <c r="W37" i="2" s="1"/>
  <c r="I37" i="2"/>
  <c r="G37" i="2"/>
  <c r="H37" i="2" s="1"/>
  <c r="L37" i="2" s="1"/>
  <c r="F37" i="2"/>
  <c r="C37" i="2"/>
  <c r="D37" i="2" s="1"/>
  <c r="E37" i="2" s="1"/>
  <c r="B37" i="2"/>
  <c r="A37" i="2"/>
  <c r="Y36" i="2"/>
  <c r="X36" i="2"/>
  <c r="S36" i="2"/>
  <c r="R36" i="2"/>
  <c r="Q36" i="2"/>
  <c r="J36" i="2"/>
  <c r="W36" i="2" s="1"/>
  <c r="I36" i="2"/>
  <c r="H36" i="2"/>
  <c r="L36" i="2" s="1"/>
  <c r="G36" i="2"/>
  <c r="F36" i="2"/>
  <c r="C36" i="2"/>
  <c r="D36" i="2" s="1"/>
  <c r="E36" i="2" s="1"/>
  <c r="B36" i="2"/>
  <c r="A36" i="2"/>
  <c r="Y35" i="2"/>
  <c r="X35" i="2"/>
  <c r="S35" i="2"/>
  <c r="R35" i="2"/>
  <c r="Q35" i="2"/>
  <c r="J35" i="2"/>
  <c r="W35" i="2" s="1"/>
  <c r="I35" i="2"/>
  <c r="G35" i="2"/>
  <c r="H35" i="2" s="1"/>
  <c r="L35" i="2" s="1"/>
  <c r="F35" i="2"/>
  <c r="C35" i="2"/>
  <c r="D35" i="2" s="1"/>
  <c r="E35" i="2" s="1"/>
  <c r="B35" i="2"/>
  <c r="A35" i="2"/>
  <c r="Y34" i="2"/>
  <c r="X34" i="2"/>
  <c r="S34" i="2"/>
  <c r="U34" i="2" s="1"/>
  <c r="V34" i="2" s="1"/>
  <c r="R34" i="2"/>
  <c r="Q34" i="2"/>
  <c r="J34" i="2"/>
  <c r="W34" i="2" s="1"/>
  <c r="I34" i="2"/>
  <c r="G34" i="2"/>
  <c r="H34" i="2" s="1"/>
  <c r="L34" i="2" s="1"/>
  <c r="F34" i="2"/>
  <c r="C34" i="2"/>
  <c r="D34" i="2" s="1"/>
  <c r="E34" i="2" s="1"/>
  <c r="B34" i="2"/>
  <c r="A34" i="2"/>
  <c r="Y33" i="2"/>
  <c r="X33" i="2"/>
  <c r="U33" i="2"/>
  <c r="V33" i="2" s="1"/>
  <c r="T33" i="2"/>
  <c r="S33" i="2"/>
  <c r="R33" i="2"/>
  <c r="Q33" i="2"/>
  <c r="J33" i="2"/>
  <c r="W33" i="2" s="1"/>
  <c r="I33" i="2"/>
  <c r="H33" i="2"/>
  <c r="L33" i="2" s="1"/>
  <c r="G33" i="2"/>
  <c r="F33" i="2"/>
  <c r="C33" i="2"/>
  <c r="D33" i="2" s="1"/>
  <c r="E33" i="2" s="1"/>
  <c r="B33" i="2"/>
  <c r="A33" i="2"/>
  <c r="Y32" i="2"/>
  <c r="X32" i="2"/>
  <c r="U32" i="2"/>
  <c r="V32" i="2" s="1"/>
  <c r="S32" i="2"/>
  <c r="T32" i="2" s="1"/>
  <c r="R32" i="2"/>
  <c r="Q32" i="2"/>
  <c r="J32" i="2"/>
  <c r="W32" i="2" s="1"/>
  <c r="I32" i="2"/>
  <c r="G32" i="2"/>
  <c r="H32" i="2" s="1"/>
  <c r="L32" i="2" s="1"/>
  <c r="F32" i="2"/>
  <c r="E32" i="2"/>
  <c r="D32" i="2"/>
  <c r="C32" i="2"/>
  <c r="B32" i="2"/>
  <c r="A32" i="2"/>
  <c r="Y31" i="2"/>
  <c r="X31" i="2"/>
  <c r="S31" i="2"/>
  <c r="T31" i="2" s="1"/>
  <c r="R31" i="2"/>
  <c r="U31" i="2" s="1"/>
  <c r="V31" i="2" s="1"/>
  <c r="Q31" i="2"/>
  <c r="J31" i="2"/>
  <c r="W31" i="2" s="1"/>
  <c r="I31" i="2"/>
  <c r="H31" i="2"/>
  <c r="L31" i="2" s="1"/>
  <c r="G31" i="2"/>
  <c r="F31" i="2"/>
  <c r="C31" i="2"/>
  <c r="D31" i="2" s="1"/>
  <c r="E31" i="2" s="1"/>
  <c r="B31" i="2"/>
  <c r="A31" i="2"/>
  <c r="Y30" i="2"/>
  <c r="X30" i="2"/>
  <c r="U30" i="2"/>
  <c r="V30" i="2" s="1"/>
  <c r="T30" i="2"/>
  <c r="S30" i="2"/>
  <c r="R30" i="2"/>
  <c r="Q30" i="2"/>
  <c r="J30" i="2"/>
  <c r="W30" i="2" s="1"/>
  <c r="I30" i="2"/>
  <c r="G30" i="2"/>
  <c r="H30" i="2" s="1"/>
  <c r="L30" i="2" s="1"/>
  <c r="F30" i="2"/>
  <c r="C30" i="2"/>
  <c r="D30" i="2" s="1"/>
  <c r="E30" i="2" s="1"/>
  <c r="B30" i="2"/>
  <c r="A30" i="2"/>
  <c r="Y29" i="2"/>
  <c r="X29" i="2"/>
  <c r="S29" i="2"/>
  <c r="T29" i="2" s="1"/>
  <c r="R29" i="2"/>
  <c r="Q29" i="2"/>
  <c r="L29" i="2"/>
  <c r="J29" i="2"/>
  <c r="W29" i="2" s="1"/>
  <c r="I29" i="2"/>
  <c r="H29" i="2"/>
  <c r="G29" i="2"/>
  <c r="F29" i="2"/>
  <c r="D29" i="2"/>
  <c r="E29" i="2" s="1"/>
  <c r="C29" i="2"/>
  <c r="B29" i="2"/>
  <c r="A29" i="2"/>
  <c r="Y28" i="2"/>
  <c r="X28" i="2"/>
  <c r="S28" i="2"/>
  <c r="T28" i="2" s="1"/>
  <c r="R28" i="2"/>
  <c r="U28" i="2" s="1"/>
  <c r="V28" i="2" s="1"/>
  <c r="Q28" i="2"/>
  <c r="J28" i="2"/>
  <c r="W28" i="2" s="1"/>
  <c r="I28" i="2"/>
  <c r="H28" i="2"/>
  <c r="L28" i="2" s="1"/>
  <c r="G28" i="2"/>
  <c r="F28" i="2"/>
  <c r="D28" i="2"/>
  <c r="E28" i="2" s="1"/>
  <c r="C28" i="2"/>
  <c r="B28" i="2"/>
  <c r="A28" i="2"/>
  <c r="Y27" i="2"/>
  <c r="X27" i="2"/>
  <c r="T27" i="2"/>
  <c r="S27" i="2"/>
  <c r="R27" i="2"/>
  <c r="U27" i="2" s="1"/>
  <c r="V27" i="2" s="1"/>
  <c r="Q27" i="2"/>
  <c r="L27" i="2"/>
  <c r="J27" i="2"/>
  <c r="I27" i="2"/>
  <c r="G27" i="2"/>
  <c r="H27" i="2" s="1"/>
  <c r="F27" i="2"/>
  <c r="D27" i="2"/>
  <c r="E27" i="2" s="1"/>
  <c r="C27" i="2"/>
  <c r="B27" i="2"/>
  <c r="A27" i="2"/>
  <c r="Y26" i="2"/>
  <c r="X26" i="2"/>
  <c r="S26" i="2"/>
  <c r="R26" i="2"/>
  <c r="Q26" i="2"/>
  <c r="J26" i="2"/>
  <c r="W26" i="2" s="1"/>
  <c r="I26" i="2"/>
  <c r="H26" i="2"/>
  <c r="L26" i="2" s="1"/>
  <c r="G26" i="2"/>
  <c r="F26" i="2"/>
  <c r="D26" i="2"/>
  <c r="E26" i="2" s="1"/>
  <c r="C26" i="2"/>
  <c r="B26" i="2"/>
  <c r="A26" i="2"/>
  <c r="Y25" i="2"/>
  <c r="X25" i="2"/>
  <c r="T25" i="2"/>
  <c r="S25" i="2"/>
  <c r="R25" i="2"/>
  <c r="U25" i="2" s="1"/>
  <c r="V25" i="2" s="1"/>
  <c r="Q25" i="2"/>
  <c r="J25" i="2"/>
  <c r="I25" i="2"/>
  <c r="G25" i="2"/>
  <c r="H25" i="2" s="1"/>
  <c r="L25" i="2" s="1"/>
  <c r="F25" i="2"/>
  <c r="C25" i="2"/>
  <c r="D25" i="2" s="1"/>
  <c r="E25" i="2" s="1"/>
  <c r="B25" i="2"/>
  <c r="A25" i="2"/>
  <c r="Y24" i="2"/>
  <c r="X24" i="2"/>
  <c r="S24" i="2"/>
  <c r="T24" i="2" s="1"/>
  <c r="R24" i="2"/>
  <c r="U24" i="2" s="1"/>
  <c r="V24" i="2" s="1"/>
  <c r="Q24" i="2"/>
  <c r="J24" i="2"/>
  <c r="W24" i="2" s="1"/>
  <c r="I24" i="2"/>
  <c r="H24" i="2"/>
  <c r="L24" i="2" s="1"/>
  <c r="G24" i="2"/>
  <c r="F24" i="2"/>
  <c r="D24" i="2"/>
  <c r="E24" i="2" s="1"/>
  <c r="C24" i="2"/>
  <c r="B24" i="2"/>
  <c r="A24" i="2"/>
  <c r="Y23" i="2"/>
  <c r="X23" i="2"/>
  <c r="S23" i="2"/>
  <c r="T23" i="2" s="1"/>
  <c r="R23" i="2"/>
  <c r="Q23" i="2"/>
  <c r="J23" i="2"/>
  <c r="I23" i="2"/>
  <c r="H23" i="2"/>
  <c r="L23" i="2" s="1"/>
  <c r="G23" i="2"/>
  <c r="F23" i="2"/>
  <c r="C23" i="2"/>
  <c r="D23" i="2" s="1"/>
  <c r="E23" i="2" s="1"/>
  <c r="B23" i="2"/>
  <c r="A23" i="2"/>
  <c r="Y22" i="2"/>
  <c r="X22" i="2"/>
  <c r="T22" i="2"/>
  <c r="S22" i="2"/>
  <c r="U22" i="2" s="1"/>
  <c r="V22" i="2" s="1"/>
  <c r="R22" i="2"/>
  <c r="Q22" i="2"/>
  <c r="J22" i="2"/>
  <c r="W22" i="2" s="1"/>
  <c r="I22" i="2"/>
  <c r="G22" i="2"/>
  <c r="H22" i="2" s="1"/>
  <c r="L22" i="2" s="1"/>
  <c r="F22" i="2"/>
  <c r="D22" i="2"/>
  <c r="E22" i="2" s="1"/>
  <c r="C22" i="2"/>
  <c r="B22" i="2"/>
  <c r="A22" i="2"/>
  <c r="Y21" i="2"/>
  <c r="X21" i="2"/>
  <c r="S21" i="2"/>
  <c r="T21" i="2" s="1"/>
  <c r="R21" i="2"/>
  <c r="U21" i="2" s="1"/>
  <c r="V21" i="2" s="1"/>
  <c r="Q21" i="2"/>
  <c r="J21" i="2"/>
  <c r="I21" i="2"/>
  <c r="G21" i="2"/>
  <c r="H21" i="2" s="1"/>
  <c r="L21" i="2" s="1"/>
  <c r="F21" i="2"/>
  <c r="D21" i="2"/>
  <c r="E21" i="2" s="1"/>
  <c r="C21" i="2"/>
  <c r="B21" i="2"/>
  <c r="A21" i="2"/>
  <c r="Y20" i="2"/>
  <c r="X20" i="2"/>
  <c r="V20" i="2"/>
  <c r="U20" i="2"/>
  <c r="S20" i="2"/>
  <c r="T20" i="2" s="1"/>
  <c r="R20" i="2"/>
  <c r="Q20" i="2"/>
  <c r="L20" i="2"/>
  <c r="J20" i="2"/>
  <c r="I20" i="2"/>
  <c r="H20" i="2"/>
  <c r="G20" i="2"/>
  <c r="F20" i="2"/>
  <c r="D20" i="2"/>
  <c r="E20" i="2" s="1"/>
  <c r="C20" i="2"/>
  <c r="B20" i="2"/>
  <c r="A20" i="2"/>
  <c r="Y19" i="2"/>
  <c r="X19" i="2"/>
  <c r="S19" i="2"/>
  <c r="T19" i="2" s="1"/>
  <c r="R19" i="2"/>
  <c r="U19" i="2" s="1"/>
  <c r="V19" i="2" s="1"/>
  <c r="Q19" i="2"/>
  <c r="J19" i="2"/>
  <c r="W19" i="2" s="1"/>
  <c r="I19" i="2"/>
  <c r="G19" i="2"/>
  <c r="H19" i="2" s="1"/>
  <c r="L19" i="2" s="1"/>
  <c r="F19" i="2"/>
  <c r="C19" i="2"/>
  <c r="D19" i="2" s="1"/>
  <c r="E19" i="2" s="1"/>
  <c r="B19" i="2"/>
  <c r="A19" i="2"/>
  <c r="Y18" i="2"/>
  <c r="X18" i="2"/>
  <c r="U18" i="2"/>
  <c r="V18" i="2" s="1"/>
  <c r="T18" i="2"/>
  <c r="S18" i="2"/>
  <c r="R18" i="2"/>
  <c r="Q18" i="2"/>
  <c r="J18" i="2"/>
  <c r="W18" i="2" s="1"/>
  <c r="I18" i="2"/>
  <c r="H18" i="2"/>
  <c r="L18" i="2" s="1"/>
  <c r="G18" i="2"/>
  <c r="F18" i="2"/>
  <c r="C18" i="2"/>
  <c r="D18" i="2" s="1"/>
  <c r="E18" i="2" s="1"/>
  <c r="B18" i="2"/>
  <c r="A18" i="2"/>
  <c r="Y17" i="2"/>
  <c r="X17" i="2"/>
  <c r="T17" i="2"/>
  <c r="S17" i="2"/>
  <c r="R17" i="2"/>
  <c r="U17" i="2" s="1"/>
  <c r="V17" i="2" s="1"/>
  <c r="Q17" i="2"/>
  <c r="J17" i="2"/>
  <c r="W17" i="2" s="1"/>
  <c r="I17" i="2"/>
  <c r="H17" i="2"/>
  <c r="L17" i="2" s="1"/>
  <c r="G17" i="2"/>
  <c r="F17" i="2"/>
  <c r="D17" i="2"/>
  <c r="E17" i="2" s="1"/>
  <c r="C17" i="2"/>
  <c r="B17" i="2"/>
  <c r="A17" i="2"/>
  <c r="Y16" i="2"/>
  <c r="Y182" i="2" s="1"/>
  <c r="X16" i="2"/>
  <c r="S16" i="2"/>
  <c r="T16" i="2" s="1"/>
  <c r="R16" i="2"/>
  <c r="U16" i="2" s="1"/>
  <c r="V16" i="2" s="1"/>
  <c r="Q16" i="2"/>
  <c r="J16" i="2"/>
  <c r="W16" i="2" s="1"/>
  <c r="I16" i="2"/>
  <c r="G16" i="2"/>
  <c r="H16" i="2" s="1"/>
  <c r="L16" i="2" s="1"/>
  <c r="F16" i="2"/>
  <c r="D16" i="2"/>
  <c r="E16" i="2" s="1"/>
  <c r="C16" i="2"/>
  <c r="B16" i="2"/>
  <c r="A16" i="2"/>
  <c r="B8" i="2"/>
  <c r="B7" i="2"/>
  <c r="W166" i="2" l="1"/>
  <c r="K166" i="2"/>
  <c r="W108" i="2"/>
  <c r="K108" i="2"/>
  <c r="W97" i="2"/>
  <c r="K97" i="2"/>
  <c r="K94" i="2"/>
  <c r="M94" i="2" s="1"/>
  <c r="W94" i="2"/>
  <c r="W90" i="2"/>
  <c r="K90" i="2"/>
  <c r="W77" i="2"/>
  <c r="K77" i="2"/>
  <c r="K55" i="2"/>
  <c r="W55" i="2"/>
  <c r="W53" i="2"/>
  <c r="K53" i="2"/>
  <c r="W52" i="2"/>
  <c r="K52" i="2"/>
  <c r="W50" i="2"/>
  <c r="K50" i="2"/>
  <c r="W39" i="2"/>
  <c r="K39" i="2"/>
  <c r="W27" i="2"/>
  <c r="K27" i="2"/>
  <c r="M27" i="2" s="1"/>
  <c r="N27" i="2" s="1"/>
  <c r="O27" i="2" s="1"/>
  <c r="Z27" i="2" s="1"/>
  <c r="W25" i="2"/>
  <c r="K25" i="2"/>
  <c r="M25" i="2" s="1"/>
  <c r="N25" i="2" s="1"/>
  <c r="O25" i="2" s="1"/>
  <c r="Z25" i="2" s="1"/>
  <c r="W23" i="2"/>
  <c r="K23" i="2"/>
  <c r="M23" i="2" s="1"/>
  <c r="W21" i="2"/>
  <c r="K21" i="2"/>
  <c r="W20" i="2"/>
  <c r="K20" i="2"/>
  <c r="M20" i="2" s="1"/>
  <c r="N20" i="2"/>
  <c r="O20" i="2" s="1"/>
  <c r="Z20" i="2" s="1"/>
  <c r="M21" i="2"/>
  <c r="N21" i="2" s="1"/>
  <c r="O21" i="2" s="1"/>
  <c r="Z21" i="2" s="1"/>
  <c r="M90" i="2"/>
  <c r="N90" i="2" s="1"/>
  <c r="O90" i="2" s="1"/>
  <c r="Z90" i="2" s="1"/>
  <c r="M108" i="2"/>
  <c r="N108" i="2" s="1"/>
  <c r="O108" i="2" s="1"/>
  <c r="Z108" i="2" s="1"/>
  <c r="M55" i="2"/>
  <c r="N55" i="2" s="1"/>
  <c r="O55" i="2" s="1"/>
  <c r="Z55" i="2" s="1"/>
  <c r="T103" i="2"/>
  <c r="U103" i="2"/>
  <c r="V103" i="2" s="1"/>
  <c r="T26" i="2"/>
  <c r="U26" i="2"/>
  <c r="V26" i="2" s="1"/>
  <c r="W54" i="2"/>
  <c r="K54" i="2"/>
  <c r="M54" i="2" s="1"/>
  <c r="N54" i="2" s="1"/>
  <c r="O54" i="2" s="1"/>
  <c r="Z54" i="2" s="1"/>
  <c r="K30" i="2"/>
  <c r="K121" i="2"/>
  <c r="M121" i="2" s="1"/>
  <c r="N121" i="2" s="1"/>
  <c r="O121" i="2" s="1"/>
  <c r="Z121" i="2" s="1"/>
  <c r="K176" i="2"/>
  <c r="M176" i="2" s="1"/>
  <c r="N176" i="2" s="1"/>
  <c r="O176" i="2" s="1"/>
  <c r="Z176" i="2" s="1"/>
  <c r="K168" i="2"/>
  <c r="M168" i="2" s="1"/>
  <c r="N168" i="2" s="1"/>
  <c r="O168" i="2" s="1"/>
  <c r="Z168" i="2" s="1"/>
  <c r="K160" i="2"/>
  <c r="M160" i="2" s="1"/>
  <c r="N160" i="2" s="1"/>
  <c r="O160" i="2" s="1"/>
  <c r="Z160" i="2" s="1"/>
  <c r="K152" i="2"/>
  <c r="M152" i="2" s="1"/>
  <c r="N152" i="2" s="1"/>
  <c r="O152" i="2" s="1"/>
  <c r="Z152" i="2" s="1"/>
  <c r="K175" i="2"/>
  <c r="M175" i="2" s="1"/>
  <c r="K167" i="2"/>
  <c r="M167" i="2" s="1"/>
  <c r="N167" i="2" s="1"/>
  <c r="O167" i="2" s="1"/>
  <c r="Z167" i="2" s="1"/>
  <c r="K159" i="2"/>
  <c r="M159" i="2" s="1"/>
  <c r="N159" i="2" s="1"/>
  <c r="O159" i="2" s="1"/>
  <c r="Z159" i="2" s="1"/>
  <c r="K151" i="2"/>
  <c r="M151" i="2" s="1"/>
  <c r="N151" i="2" s="1"/>
  <c r="O151" i="2" s="1"/>
  <c r="Z151" i="2" s="1"/>
  <c r="K143" i="2"/>
  <c r="M143" i="2" s="1"/>
  <c r="N143" i="2" s="1"/>
  <c r="O143" i="2" s="1"/>
  <c r="Z143" i="2" s="1"/>
  <c r="K135" i="2"/>
  <c r="M135" i="2" s="1"/>
  <c r="N135" i="2" s="1"/>
  <c r="O135" i="2" s="1"/>
  <c r="Z135" i="2" s="1"/>
  <c r="K181" i="2"/>
  <c r="M181" i="2" s="1"/>
  <c r="N181" i="2" s="1"/>
  <c r="O181" i="2" s="1"/>
  <c r="Z181" i="2" s="1"/>
  <c r="K173" i="2"/>
  <c r="M173" i="2" s="1"/>
  <c r="N173" i="2" s="1"/>
  <c r="O173" i="2" s="1"/>
  <c r="Z173" i="2" s="1"/>
  <c r="K165" i="2"/>
  <c r="M165" i="2" s="1"/>
  <c r="N165" i="2" s="1"/>
  <c r="O165" i="2" s="1"/>
  <c r="Z165" i="2" s="1"/>
  <c r="K157" i="2"/>
  <c r="M157" i="2" s="1"/>
  <c r="N157" i="2" s="1"/>
  <c r="O157" i="2" s="1"/>
  <c r="Z157" i="2" s="1"/>
  <c r="K149" i="2"/>
  <c r="M149" i="2" s="1"/>
  <c r="N149" i="2" s="1"/>
  <c r="O149" i="2" s="1"/>
  <c r="Z149" i="2" s="1"/>
  <c r="K180" i="2"/>
  <c r="M180" i="2" s="1"/>
  <c r="N180" i="2" s="1"/>
  <c r="O180" i="2" s="1"/>
  <c r="Z180" i="2" s="1"/>
  <c r="K172" i="2"/>
  <c r="M172" i="2" s="1"/>
  <c r="N172" i="2" s="1"/>
  <c r="O172" i="2" s="1"/>
  <c r="Z172" i="2" s="1"/>
  <c r="K164" i="2"/>
  <c r="M164" i="2" s="1"/>
  <c r="N164" i="2" s="1"/>
  <c r="O164" i="2" s="1"/>
  <c r="Z164" i="2" s="1"/>
  <c r="K156" i="2"/>
  <c r="K148" i="2"/>
  <c r="K140" i="2"/>
  <c r="M140" i="2" s="1"/>
  <c r="N140" i="2" s="1"/>
  <c r="O140" i="2" s="1"/>
  <c r="Z140" i="2" s="1"/>
  <c r="K179" i="2"/>
  <c r="M179" i="2" s="1"/>
  <c r="N179" i="2" s="1"/>
  <c r="O179" i="2" s="1"/>
  <c r="Z179" i="2" s="1"/>
  <c r="K171" i="2"/>
  <c r="M171" i="2" s="1"/>
  <c r="K163" i="2"/>
  <c r="M163" i="2" s="1"/>
  <c r="N163" i="2" s="1"/>
  <c r="O163" i="2" s="1"/>
  <c r="Z163" i="2" s="1"/>
  <c r="K155" i="2"/>
  <c r="M155" i="2" s="1"/>
  <c r="K141" i="2"/>
  <c r="K138" i="2"/>
  <c r="M138" i="2" s="1"/>
  <c r="N138" i="2" s="1"/>
  <c r="O138" i="2" s="1"/>
  <c r="Z138" i="2" s="1"/>
  <c r="K158" i="2"/>
  <c r="M158" i="2" s="1"/>
  <c r="N158" i="2" s="1"/>
  <c r="O158" i="2" s="1"/>
  <c r="Z158" i="2" s="1"/>
  <c r="K150" i="2"/>
  <c r="M150" i="2" s="1"/>
  <c r="N150" i="2" s="1"/>
  <c r="O150" i="2" s="1"/>
  <c r="Z150" i="2" s="1"/>
  <c r="K146" i="2"/>
  <c r="M146" i="2" s="1"/>
  <c r="N146" i="2" s="1"/>
  <c r="O146" i="2" s="1"/>
  <c r="Z146" i="2" s="1"/>
  <c r="K142" i="2"/>
  <c r="M142" i="2" s="1"/>
  <c r="N142" i="2" s="1"/>
  <c r="O142" i="2" s="1"/>
  <c r="Z142" i="2" s="1"/>
  <c r="K139" i="2"/>
  <c r="M139" i="2" s="1"/>
  <c r="N139" i="2" s="1"/>
  <c r="O139" i="2" s="1"/>
  <c r="Z139" i="2" s="1"/>
  <c r="K178" i="2"/>
  <c r="K134" i="2"/>
  <c r="M134" i="2" s="1"/>
  <c r="K127" i="2"/>
  <c r="M127" i="2" s="1"/>
  <c r="N127" i="2" s="1"/>
  <c r="O127" i="2" s="1"/>
  <c r="Z127" i="2" s="1"/>
  <c r="K119" i="2"/>
  <c r="K177" i="2"/>
  <c r="M177" i="2" s="1"/>
  <c r="N177" i="2" s="1"/>
  <c r="O177" i="2" s="1"/>
  <c r="Z177" i="2" s="1"/>
  <c r="K174" i="2"/>
  <c r="M174" i="2" s="1"/>
  <c r="N174" i="2" s="1"/>
  <c r="O174" i="2" s="1"/>
  <c r="Z174" i="2" s="1"/>
  <c r="K170" i="2"/>
  <c r="M170" i="2" s="1"/>
  <c r="N170" i="2" s="1"/>
  <c r="O170" i="2" s="1"/>
  <c r="Z170" i="2" s="1"/>
  <c r="K147" i="2"/>
  <c r="M147" i="2" s="1"/>
  <c r="N147" i="2" s="1"/>
  <c r="O147" i="2" s="1"/>
  <c r="Z147" i="2" s="1"/>
  <c r="K137" i="2"/>
  <c r="M137" i="2" s="1"/>
  <c r="N137" i="2" s="1"/>
  <c r="O137" i="2" s="1"/>
  <c r="Z137" i="2" s="1"/>
  <c r="K126" i="2"/>
  <c r="K118" i="2"/>
  <c r="M118" i="2" s="1"/>
  <c r="K110" i="2"/>
  <c r="M110" i="2" s="1"/>
  <c r="N110" i="2" s="1"/>
  <c r="O110" i="2" s="1"/>
  <c r="Z110" i="2" s="1"/>
  <c r="K169" i="2"/>
  <c r="M169" i="2" s="1"/>
  <c r="N169" i="2" s="1"/>
  <c r="O169" i="2" s="1"/>
  <c r="Z169" i="2" s="1"/>
  <c r="K153" i="2"/>
  <c r="M153" i="2" s="1"/>
  <c r="N153" i="2" s="1"/>
  <c r="O153" i="2" s="1"/>
  <c r="Z153" i="2" s="1"/>
  <c r="K131" i="2"/>
  <c r="M131" i="2" s="1"/>
  <c r="K130" i="2"/>
  <c r="M130" i="2" s="1"/>
  <c r="N130" i="2" s="1"/>
  <c r="O130" i="2" s="1"/>
  <c r="Z130" i="2" s="1"/>
  <c r="K107" i="2"/>
  <c r="K99" i="2"/>
  <c r="M99" i="2" s="1"/>
  <c r="K91" i="2"/>
  <c r="M91" i="2" s="1"/>
  <c r="N91" i="2" s="1"/>
  <c r="O91" i="2" s="1"/>
  <c r="Z91" i="2" s="1"/>
  <c r="K83" i="2"/>
  <c r="M83" i="2" s="1"/>
  <c r="N83" i="2" s="1"/>
  <c r="O83" i="2" s="1"/>
  <c r="Z83" i="2" s="1"/>
  <c r="K154" i="2"/>
  <c r="M154" i="2" s="1"/>
  <c r="N154" i="2" s="1"/>
  <c r="O154" i="2" s="1"/>
  <c r="Z154" i="2" s="1"/>
  <c r="K144" i="2"/>
  <c r="M144" i="2" s="1"/>
  <c r="N144" i="2" s="1"/>
  <c r="O144" i="2" s="1"/>
  <c r="Z144" i="2" s="1"/>
  <c r="K132" i="2"/>
  <c r="M132" i="2" s="1"/>
  <c r="N132" i="2" s="1"/>
  <c r="O132" i="2" s="1"/>
  <c r="Z132" i="2" s="1"/>
  <c r="K124" i="2"/>
  <c r="M124" i="2" s="1"/>
  <c r="N124" i="2" s="1"/>
  <c r="O124" i="2" s="1"/>
  <c r="Z124" i="2" s="1"/>
  <c r="K162" i="2"/>
  <c r="K161" i="2"/>
  <c r="M161" i="2" s="1"/>
  <c r="N161" i="2" s="1"/>
  <c r="O161" i="2" s="1"/>
  <c r="Z161" i="2" s="1"/>
  <c r="K136" i="2"/>
  <c r="K120" i="2"/>
  <c r="M120" i="2" s="1"/>
  <c r="N120" i="2" s="1"/>
  <c r="O120" i="2" s="1"/>
  <c r="Z120" i="2" s="1"/>
  <c r="K117" i="2"/>
  <c r="M117" i="2" s="1"/>
  <c r="K115" i="2"/>
  <c r="M115" i="2" s="1"/>
  <c r="N115" i="2" s="1"/>
  <c r="O115" i="2" s="1"/>
  <c r="Z115" i="2" s="1"/>
  <c r="K114" i="2"/>
  <c r="M114" i="2" s="1"/>
  <c r="N114" i="2" s="1"/>
  <c r="O114" i="2" s="1"/>
  <c r="Z114" i="2" s="1"/>
  <c r="K103" i="2"/>
  <c r="M103" i="2" s="1"/>
  <c r="K95" i="2"/>
  <c r="M95" i="2" s="1"/>
  <c r="N95" i="2" s="1"/>
  <c r="O95" i="2" s="1"/>
  <c r="Z95" i="2" s="1"/>
  <c r="K111" i="2"/>
  <c r="M111" i="2" s="1"/>
  <c r="N111" i="2" s="1"/>
  <c r="O111" i="2" s="1"/>
  <c r="Z111" i="2" s="1"/>
  <c r="K98" i="2"/>
  <c r="M98" i="2" s="1"/>
  <c r="N98" i="2" s="1"/>
  <c r="O98" i="2" s="1"/>
  <c r="Z98" i="2" s="1"/>
  <c r="K88" i="2"/>
  <c r="M88" i="2" s="1"/>
  <c r="N88" i="2" s="1"/>
  <c r="O88" i="2" s="1"/>
  <c r="Z88" i="2" s="1"/>
  <c r="K87" i="2"/>
  <c r="M87" i="2" s="1"/>
  <c r="N87" i="2" s="1"/>
  <c r="O87" i="2" s="1"/>
  <c r="Z87" i="2" s="1"/>
  <c r="K85" i="2"/>
  <c r="M85" i="2" s="1"/>
  <c r="N85" i="2" s="1"/>
  <c r="O85" i="2" s="1"/>
  <c r="Z85" i="2" s="1"/>
  <c r="K80" i="2"/>
  <c r="M80" i="2" s="1"/>
  <c r="N80" i="2" s="1"/>
  <c r="O80" i="2" s="1"/>
  <c r="Z80" i="2" s="1"/>
  <c r="K72" i="2"/>
  <c r="M72" i="2" s="1"/>
  <c r="N72" i="2" s="1"/>
  <c r="O72" i="2" s="1"/>
  <c r="Z72" i="2" s="1"/>
  <c r="K64" i="2"/>
  <c r="K56" i="2"/>
  <c r="M56" i="2" s="1"/>
  <c r="N56" i="2" s="1"/>
  <c r="O56" i="2" s="1"/>
  <c r="Z56" i="2" s="1"/>
  <c r="K48" i="2"/>
  <c r="M48" i="2" s="1"/>
  <c r="K40" i="2"/>
  <c r="M40" i="2" s="1"/>
  <c r="K32" i="2"/>
  <c r="M32" i="2" s="1"/>
  <c r="N32" i="2" s="1"/>
  <c r="O32" i="2" s="1"/>
  <c r="Z32" i="2" s="1"/>
  <c r="K24" i="2"/>
  <c r="M24" i="2" s="1"/>
  <c r="N24" i="2" s="1"/>
  <c r="O24" i="2" s="1"/>
  <c r="Z24" i="2" s="1"/>
  <c r="K16" i="2"/>
  <c r="M16" i="2" s="1"/>
  <c r="N16" i="2" s="1"/>
  <c r="O16" i="2" s="1"/>
  <c r="Z16" i="2" s="1"/>
  <c r="K122" i="2"/>
  <c r="M122" i="2" s="1"/>
  <c r="N122" i="2" s="1"/>
  <c r="O122" i="2" s="1"/>
  <c r="Z122" i="2" s="1"/>
  <c r="K112" i="2"/>
  <c r="K102" i="2"/>
  <c r="K92" i="2"/>
  <c r="M92" i="2" s="1"/>
  <c r="N92" i="2" s="1"/>
  <c r="O92" i="2" s="1"/>
  <c r="Z92" i="2" s="1"/>
  <c r="K86" i="2"/>
  <c r="M86" i="2" s="1"/>
  <c r="N86" i="2" s="1"/>
  <c r="O86" i="2" s="1"/>
  <c r="Z86" i="2" s="1"/>
  <c r="K84" i="2"/>
  <c r="M84" i="2" s="1"/>
  <c r="N84" i="2" s="1"/>
  <c r="O84" i="2" s="1"/>
  <c r="Z84" i="2" s="1"/>
  <c r="K79" i="2"/>
  <c r="M79" i="2" s="1"/>
  <c r="N79" i="2" s="1"/>
  <c r="O79" i="2" s="1"/>
  <c r="Z79" i="2" s="1"/>
  <c r="K71" i="2"/>
  <c r="M71" i="2" s="1"/>
  <c r="N71" i="2" s="1"/>
  <c r="O71" i="2" s="1"/>
  <c r="Z71" i="2" s="1"/>
  <c r="K145" i="2"/>
  <c r="K128" i="2"/>
  <c r="K109" i="2"/>
  <c r="K106" i="2"/>
  <c r="K96" i="2"/>
  <c r="M96" i="2" s="1"/>
  <c r="N96" i="2" s="1"/>
  <c r="O96" i="2" s="1"/>
  <c r="Z96" i="2" s="1"/>
  <c r="K89" i="2"/>
  <c r="M89" i="2" s="1"/>
  <c r="K78" i="2"/>
  <c r="M78" i="2" s="1"/>
  <c r="N78" i="2" s="1"/>
  <c r="O78" i="2" s="1"/>
  <c r="Z78" i="2" s="1"/>
  <c r="K70" i="2"/>
  <c r="M70" i="2" s="1"/>
  <c r="N70" i="2" s="1"/>
  <c r="O70" i="2" s="1"/>
  <c r="Z70" i="2" s="1"/>
  <c r="K133" i="2"/>
  <c r="M133" i="2" s="1"/>
  <c r="N133" i="2" s="1"/>
  <c r="O133" i="2" s="1"/>
  <c r="Z133" i="2" s="1"/>
  <c r="K125" i="2"/>
  <c r="M125" i="2" s="1"/>
  <c r="N125" i="2" s="1"/>
  <c r="O125" i="2" s="1"/>
  <c r="Z125" i="2" s="1"/>
  <c r="K100" i="2"/>
  <c r="M100" i="2" s="1"/>
  <c r="K93" i="2"/>
  <c r="M93" i="2" s="1"/>
  <c r="N93" i="2" s="1"/>
  <c r="O93" i="2" s="1"/>
  <c r="Z93" i="2" s="1"/>
  <c r="K81" i="2"/>
  <c r="M81" i="2" s="1"/>
  <c r="N81" i="2" s="1"/>
  <c r="O81" i="2" s="1"/>
  <c r="Z81" i="2" s="1"/>
  <c r="K66" i="2"/>
  <c r="M66" i="2" s="1"/>
  <c r="N66" i="2" s="1"/>
  <c r="O66" i="2" s="1"/>
  <c r="Z66" i="2" s="1"/>
  <c r="K65" i="2"/>
  <c r="M65" i="2" s="1"/>
  <c r="N65" i="2" s="1"/>
  <c r="O65" i="2" s="1"/>
  <c r="Z65" i="2" s="1"/>
  <c r="K61" i="2"/>
  <c r="M61" i="2" s="1"/>
  <c r="N61" i="2" s="1"/>
  <c r="O61" i="2" s="1"/>
  <c r="Z61" i="2" s="1"/>
  <c r="K60" i="2"/>
  <c r="M60" i="2" s="1"/>
  <c r="N60" i="2" s="1"/>
  <c r="O60" i="2" s="1"/>
  <c r="Z60" i="2" s="1"/>
  <c r="K58" i="2"/>
  <c r="M58" i="2" s="1"/>
  <c r="N58" i="2" s="1"/>
  <c r="O58" i="2" s="1"/>
  <c r="Z58" i="2" s="1"/>
  <c r="K46" i="2"/>
  <c r="K31" i="2"/>
  <c r="M31" i="2" s="1"/>
  <c r="N31" i="2" s="1"/>
  <c r="O31" i="2" s="1"/>
  <c r="Z31" i="2" s="1"/>
  <c r="K19" i="2"/>
  <c r="M19" i="2" s="1"/>
  <c r="N19" i="2" s="1"/>
  <c r="O19" i="2" s="1"/>
  <c r="Z19" i="2" s="1"/>
  <c r="K17" i="2"/>
  <c r="M17" i="2" s="1"/>
  <c r="N17" i="2" s="1"/>
  <c r="O17" i="2" s="1"/>
  <c r="Z17" i="2" s="1"/>
  <c r="K59" i="2"/>
  <c r="M59" i="2" s="1"/>
  <c r="N59" i="2" s="1"/>
  <c r="O59" i="2" s="1"/>
  <c r="Z59" i="2" s="1"/>
  <c r="K57" i="2"/>
  <c r="M57" i="2" s="1"/>
  <c r="N57" i="2" s="1"/>
  <c r="O57" i="2" s="1"/>
  <c r="Z57" i="2" s="1"/>
  <c r="K36" i="2"/>
  <c r="M36" i="2" s="1"/>
  <c r="K34" i="2"/>
  <c r="M34" i="2" s="1"/>
  <c r="N34" i="2" s="1"/>
  <c r="O34" i="2" s="1"/>
  <c r="Z34" i="2" s="1"/>
  <c r="K22" i="2"/>
  <c r="M22" i="2" s="1"/>
  <c r="N22" i="2" s="1"/>
  <c r="O22" i="2" s="1"/>
  <c r="Z22" i="2" s="1"/>
  <c r="K47" i="2"/>
  <c r="M47" i="2" s="1"/>
  <c r="N47" i="2" s="1"/>
  <c r="O47" i="2" s="1"/>
  <c r="Z47" i="2" s="1"/>
  <c r="K35" i="2"/>
  <c r="K33" i="2"/>
  <c r="M33" i="2" s="1"/>
  <c r="N33" i="2" s="1"/>
  <c r="O33" i="2" s="1"/>
  <c r="Z33" i="2" s="1"/>
  <c r="K113" i="2"/>
  <c r="M113" i="2" s="1"/>
  <c r="N113" i="2" s="1"/>
  <c r="O113" i="2" s="1"/>
  <c r="Z113" i="2" s="1"/>
  <c r="K105" i="2"/>
  <c r="M105" i="2" s="1"/>
  <c r="N105" i="2" s="1"/>
  <c r="O105" i="2" s="1"/>
  <c r="Z105" i="2" s="1"/>
  <c r="K76" i="2"/>
  <c r="M76" i="2" s="1"/>
  <c r="N76" i="2" s="1"/>
  <c r="O76" i="2" s="1"/>
  <c r="Z76" i="2" s="1"/>
  <c r="K37" i="2"/>
  <c r="M37" i="2" s="1"/>
  <c r="K123" i="2"/>
  <c r="K104" i="2"/>
  <c r="K82" i="2"/>
  <c r="M82" i="2" s="1"/>
  <c r="K67" i="2"/>
  <c r="M67" i="2" s="1"/>
  <c r="K62" i="2"/>
  <c r="M62" i="2" s="1"/>
  <c r="N62" i="2" s="1"/>
  <c r="O62" i="2" s="1"/>
  <c r="Z62" i="2" s="1"/>
  <c r="K69" i="2"/>
  <c r="M69" i="2" s="1"/>
  <c r="N69" i="2" s="1"/>
  <c r="O69" i="2" s="1"/>
  <c r="Z69" i="2" s="1"/>
  <c r="K101" i="2"/>
  <c r="M101" i="2" s="1"/>
  <c r="N101" i="2" s="1"/>
  <c r="O101" i="2" s="1"/>
  <c r="Z101" i="2" s="1"/>
  <c r="K74" i="2"/>
  <c r="M74" i="2" s="1"/>
  <c r="K73" i="2"/>
  <c r="M73" i="2" s="1"/>
  <c r="N73" i="2" s="1"/>
  <c r="O73" i="2" s="1"/>
  <c r="Z73" i="2" s="1"/>
  <c r="K63" i="2"/>
  <c r="M63" i="2" s="1"/>
  <c r="N63" i="2" s="1"/>
  <c r="O63" i="2" s="1"/>
  <c r="Z63" i="2" s="1"/>
  <c r="K51" i="2"/>
  <c r="M51" i="2" s="1"/>
  <c r="N51" i="2" s="1"/>
  <c r="O51" i="2" s="1"/>
  <c r="Z51" i="2" s="1"/>
  <c r="K49" i="2"/>
  <c r="M49" i="2" s="1"/>
  <c r="N49" i="2" s="1"/>
  <c r="O49" i="2" s="1"/>
  <c r="Z49" i="2" s="1"/>
  <c r="K29" i="2"/>
  <c r="M29" i="2" s="1"/>
  <c r="K28" i="2"/>
  <c r="M28" i="2" s="1"/>
  <c r="N28" i="2" s="1"/>
  <c r="O28" i="2" s="1"/>
  <c r="Z28" i="2" s="1"/>
  <c r="K26" i="2"/>
  <c r="M26" i="2" s="1"/>
  <c r="N26" i="2" s="1"/>
  <c r="O26" i="2" s="1"/>
  <c r="Z26" i="2" s="1"/>
  <c r="K18" i="2"/>
  <c r="M18" i="2" s="1"/>
  <c r="N18" i="2" s="1"/>
  <c r="O18" i="2" s="1"/>
  <c r="Z18" i="2" s="1"/>
  <c r="T36" i="2"/>
  <c r="U36" i="2"/>
  <c r="V36" i="2" s="1"/>
  <c r="U37" i="2"/>
  <c r="V37" i="2" s="1"/>
  <c r="T37" i="2"/>
  <c r="K44" i="2"/>
  <c r="M44" i="2" s="1"/>
  <c r="N44" i="2" s="1"/>
  <c r="O44" i="2" s="1"/>
  <c r="Z44" i="2" s="1"/>
  <c r="M64" i="2"/>
  <c r="M102" i="2"/>
  <c r="N102" i="2" s="1"/>
  <c r="O102" i="2" s="1"/>
  <c r="Z102" i="2" s="1"/>
  <c r="K116" i="2"/>
  <c r="M116" i="2" s="1"/>
  <c r="N116" i="2" s="1"/>
  <c r="O116" i="2" s="1"/>
  <c r="Z116" i="2" s="1"/>
  <c r="U23" i="2"/>
  <c r="V23" i="2" s="1"/>
  <c r="N23" i="2" s="1"/>
  <c r="O23" i="2" s="1"/>
  <c r="Z23" i="2" s="1"/>
  <c r="M35" i="2"/>
  <c r="N40" i="2"/>
  <c r="O40" i="2" s="1"/>
  <c r="Z40" i="2" s="1"/>
  <c r="U70" i="2"/>
  <c r="V70" i="2" s="1"/>
  <c r="K42" i="2"/>
  <c r="M42" i="2" s="1"/>
  <c r="N42" i="2" s="1"/>
  <c r="O42" i="2" s="1"/>
  <c r="Z42" i="2" s="1"/>
  <c r="U29" i="2"/>
  <c r="V29" i="2" s="1"/>
  <c r="K41" i="2"/>
  <c r="M41" i="2" s="1"/>
  <c r="N41" i="2" s="1"/>
  <c r="O41" i="2" s="1"/>
  <c r="Z41" i="2" s="1"/>
  <c r="K43" i="2"/>
  <c r="M43" i="2" s="1"/>
  <c r="N43" i="2" s="1"/>
  <c r="O43" i="2" s="1"/>
  <c r="Z43" i="2" s="1"/>
  <c r="M52" i="2"/>
  <c r="N52" i="2" s="1"/>
  <c r="O52" i="2" s="1"/>
  <c r="Z52" i="2" s="1"/>
  <c r="K68" i="2"/>
  <c r="M68" i="2" s="1"/>
  <c r="N68" i="2" s="1"/>
  <c r="O68" i="2" s="1"/>
  <c r="Z68" i="2" s="1"/>
  <c r="U76" i="2"/>
  <c r="V76" i="2" s="1"/>
  <c r="K75" i="2"/>
  <c r="M75" i="2" s="1"/>
  <c r="N75" i="2" s="1"/>
  <c r="O75" i="2" s="1"/>
  <c r="Z75" i="2" s="1"/>
  <c r="K45" i="2"/>
  <c r="M45" i="2" s="1"/>
  <c r="N45" i="2" s="1"/>
  <c r="O45" i="2" s="1"/>
  <c r="Z45" i="2" s="1"/>
  <c r="U48" i="2"/>
  <c r="V48" i="2" s="1"/>
  <c r="N48" i="2" s="1"/>
  <c r="O48" i="2" s="1"/>
  <c r="Z48" i="2" s="1"/>
  <c r="M53" i="2"/>
  <c r="N53" i="2" s="1"/>
  <c r="O53" i="2" s="1"/>
  <c r="Z53" i="2" s="1"/>
  <c r="N74" i="2"/>
  <c r="O74" i="2" s="1"/>
  <c r="Z74" i="2" s="1"/>
  <c r="U89" i="2"/>
  <c r="V89" i="2" s="1"/>
  <c r="T89" i="2"/>
  <c r="M46" i="2"/>
  <c r="N46" i="2" s="1"/>
  <c r="O46" i="2" s="1"/>
  <c r="Z46" i="2" s="1"/>
  <c r="M104" i="2"/>
  <c r="N104" i="2" s="1"/>
  <c r="O104" i="2" s="1"/>
  <c r="Z104" i="2" s="1"/>
  <c r="M119" i="2"/>
  <c r="N119" i="2" s="1"/>
  <c r="O119" i="2" s="1"/>
  <c r="Z119" i="2" s="1"/>
  <c r="T35" i="2"/>
  <c r="U35" i="2"/>
  <c r="V35" i="2" s="1"/>
  <c r="K38" i="2"/>
  <c r="M39" i="2"/>
  <c r="M50" i="2"/>
  <c r="N50" i="2" s="1"/>
  <c r="O50" i="2" s="1"/>
  <c r="Z50" i="2" s="1"/>
  <c r="N64" i="2"/>
  <c r="O64" i="2" s="1"/>
  <c r="Z64" i="2" s="1"/>
  <c r="U67" i="2"/>
  <c r="V67" i="2" s="1"/>
  <c r="M126" i="2"/>
  <c r="K129" i="2"/>
  <c r="M129" i="2" s="1"/>
  <c r="N129" i="2" s="1"/>
  <c r="O129" i="2" s="1"/>
  <c r="Z129" i="2" s="1"/>
  <c r="M156" i="2"/>
  <c r="N156" i="2" s="1"/>
  <c r="O156" i="2" s="1"/>
  <c r="Z156" i="2" s="1"/>
  <c r="U167" i="2"/>
  <c r="V167" i="2" s="1"/>
  <c r="T167" i="2"/>
  <c r="M178" i="2"/>
  <c r="N178" i="2" s="1"/>
  <c r="O178" i="2" s="1"/>
  <c r="Z178" i="2" s="1"/>
  <c r="M30" i="2"/>
  <c r="N30" i="2" s="1"/>
  <c r="O30" i="2" s="1"/>
  <c r="Z30" i="2" s="1"/>
  <c r="U77" i="2"/>
  <c r="V77" i="2" s="1"/>
  <c r="U106" i="2"/>
  <c r="V106" i="2" s="1"/>
  <c r="M148" i="2"/>
  <c r="N148" i="2" s="1"/>
  <c r="O148" i="2" s="1"/>
  <c r="Z148" i="2" s="1"/>
  <c r="U131" i="2"/>
  <c r="V131" i="2" s="1"/>
  <c r="T131" i="2"/>
  <c r="M141" i="2"/>
  <c r="N141" i="2" s="1"/>
  <c r="O141" i="2" s="1"/>
  <c r="Z141" i="2" s="1"/>
  <c r="U107" i="2"/>
  <c r="V107" i="2" s="1"/>
  <c r="M112" i="2"/>
  <c r="N112" i="2" s="1"/>
  <c r="O112" i="2" s="1"/>
  <c r="M136" i="2"/>
  <c r="N136" i="2" s="1"/>
  <c r="O136" i="2" s="1"/>
  <c r="Z136" i="2" s="1"/>
  <c r="T66" i="2"/>
  <c r="M77" i="2"/>
  <c r="N77" i="2" s="1"/>
  <c r="O77" i="2" s="1"/>
  <c r="Z77" i="2" s="1"/>
  <c r="M106" i="2"/>
  <c r="N106" i="2" s="1"/>
  <c r="O106" i="2" s="1"/>
  <c r="Z106" i="2" s="1"/>
  <c r="Z112" i="2"/>
  <c r="T121" i="2"/>
  <c r="M123" i="2"/>
  <c r="N123" i="2" s="1"/>
  <c r="O123" i="2" s="1"/>
  <c r="Z123" i="2" s="1"/>
  <c r="T34" i="2"/>
  <c r="M38" i="2"/>
  <c r="N38" i="2" s="1"/>
  <c r="O38" i="2" s="1"/>
  <c r="Z38" i="2" s="1"/>
  <c r="U39" i="2"/>
  <c r="V39" i="2" s="1"/>
  <c r="U69" i="2"/>
  <c r="V69" i="2" s="1"/>
  <c r="T93" i="2"/>
  <c r="U99" i="2"/>
  <c r="V99" i="2" s="1"/>
  <c r="N100" i="2"/>
  <c r="O100" i="2" s="1"/>
  <c r="Z100" i="2" s="1"/>
  <c r="M107" i="2"/>
  <c r="N107" i="2" s="1"/>
  <c r="O107" i="2" s="1"/>
  <c r="Z107" i="2" s="1"/>
  <c r="U82" i="2"/>
  <c r="V82" i="2" s="1"/>
  <c r="U94" i="2"/>
  <c r="V94" i="2" s="1"/>
  <c r="N94" i="2" s="1"/>
  <c r="O94" i="2" s="1"/>
  <c r="Z94" i="2" s="1"/>
  <c r="M97" i="2"/>
  <c r="N97" i="2" s="1"/>
  <c r="O97" i="2" s="1"/>
  <c r="Z97" i="2" s="1"/>
  <c r="M109" i="2"/>
  <c r="T112" i="2"/>
  <c r="U126" i="2"/>
  <c r="V126" i="2" s="1"/>
  <c r="M128" i="2"/>
  <c r="N128" i="2" s="1"/>
  <c r="O128" i="2" s="1"/>
  <c r="Z128" i="2" s="1"/>
  <c r="M145" i="2"/>
  <c r="N145" i="2" s="1"/>
  <c r="O145" i="2" s="1"/>
  <c r="Z145" i="2" s="1"/>
  <c r="U143" i="2"/>
  <c r="V143" i="2" s="1"/>
  <c r="U109" i="2"/>
  <c r="V109" i="2" s="1"/>
  <c r="U118" i="2"/>
  <c r="V118" i="2" s="1"/>
  <c r="U175" i="2"/>
  <c r="V175" i="2" s="1"/>
  <c r="T175" i="2"/>
  <c r="M166" i="2"/>
  <c r="N166" i="2" s="1"/>
  <c r="O166" i="2" s="1"/>
  <c r="Z166" i="2" s="1"/>
  <c r="U117" i="2"/>
  <c r="V117" i="2" s="1"/>
  <c r="U134" i="2"/>
  <c r="V134" i="2" s="1"/>
  <c r="U148" i="2"/>
  <c r="V148" i="2" s="1"/>
  <c r="U155" i="2"/>
  <c r="V155" i="2" s="1"/>
  <c r="U171" i="2"/>
  <c r="V171" i="2" s="1"/>
  <c r="U159" i="2"/>
  <c r="V159" i="2" s="1"/>
  <c r="T159" i="2"/>
  <c r="T138" i="2"/>
  <c r="T162" i="2"/>
  <c r="U147" i="2"/>
  <c r="V147" i="2" s="1"/>
  <c r="T154" i="2"/>
  <c r="M162" i="2"/>
  <c r="N162" i="2" s="1"/>
  <c r="O162" i="2" s="1"/>
  <c r="Z162" i="2" s="1"/>
  <c r="U178" i="2"/>
  <c r="V178" i="2" s="1"/>
  <c r="N126" i="2" l="1"/>
  <c r="O126" i="2" s="1"/>
  <c r="Z126" i="2" s="1"/>
  <c r="N29" i="2"/>
  <c r="O29" i="2" s="1"/>
  <c r="Z29" i="2" s="1"/>
  <c r="N118" i="2"/>
  <c r="O118" i="2" s="1"/>
  <c r="Z118" i="2" s="1"/>
  <c r="N39" i="2"/>
  <c r="O39" i="2" s="1"/>
  <c r="Z39" i="2" s="1"/>
  <c r="N67" i="2"/>
  <c r="O67" i="2" s="1"/>
  <c r="Z67" i="2" s="1"/>
  <c r="N175" i="2"/>
  <c r="O175" i="2" s="1"/>
  <c r="Z175" i="2" s="1"/>
  <c r="N134" i="2"/>
  <c r="O134" i="2" s="1"/>
  <c r="Z134" i="2" s="1"/>
  <c r="N35" i="2"/>
  <c r="O35" i="2" s="1"/>
  <c r="Z35" i="2" s="1"/>
  <c r="B15" i="3" s="1"/>
  <c r="N171" i="2"/>
  <c r="O171" i="2" s="1"/>
  <c r="Z171" i="2" s="1"/>
  <c r="N89" i="2"/>
  <c r="O89" i="2" s="1"/>
  <c r="Z89" i="2" s="1"/>
  <c r="N36" i="2"/>
  <c r="O36" i="2" s="1"/>
  <c r="Z36" i="2" s="1"/>
  <c r="N109" i="2"/>
  <c r="O109" i="2" s="1"/>
  <c r="Z109" i="2" s="1"/>
  <c r="N117" i="2"/>
  <c r="O117" i="2" s="1"/>
  <c r="Z117" i="2" s="1"/>
  <c r="N82" i="2"/>
  <c r="O82" i="2" s="1"/>
  <c r="Z82" i="2" s="1"/>
  <c r="N103" i="2"/>
  <c r="O103" i="2" s="1"/>
  <c r="Z103" i="2" s="1"/>
  <c r="N131" i="2"/>
  <c r="O131" i="2" s="1"/>
  <c r="Z131" i="2" s="1"/>
  <c r="N99" i="2"/>
  <c r="O99" i="2" s="1"/>
  <c r="Z99" i="2" s="1"/>
  <c r="N37" i="2"/>
  <c r="O37" i="2" s="1"/>
  <c r="Z37" i="2" s="1"/>
  <c r="N155" i="2"/>
  <c r="O155" i="2" s="1"/>
  <c r="Z155" i="2" s="1"/>
  <c r="B12" i="3" l="1"/>
  <c r="Z182" i="2"/>
  <c r="B13" i="3"/>
  <c r="B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tc={922597A8-5F33-5285-AE0F-28DDA6E702A7}</author>
    <author>tc={90B4C40A-2F3B-E73B-B717-333818C37ADD}</author>
    <author>tc={D70C6437-6718-799B-794D-102C2C7CB596}</author>
    <author>tc={0BCD4469-64A7-006C-2F22-5197D636F677}</author>
  </authors>
  <commentList>
    <comment ref="B7" authorId="0" shapeId="0" xr:uid="{00000000-0006-0000-01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Порог пользователя: физический износ колесной пары начинается только при толщине обода ниже 50 мм.</t>
      </text>
    </comment>
    <comment ref="K15" authorId="1" shapeId="0" xr:uid="{00000000-0006-0000-01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Расчет ведется по минимальной толщине обода среди колес вагона: &gt;=50 мм — 0%; от 50 до 22 мм — линейный рост; &lt;=22 мм — 100%.</t>
      </text>
    </comment>
    <comment ref="X15" authorId="2" shapeId="0" xr:uid="{00000000-0006-0000-0100-00000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по каждой из 4 колесных пар. Если минимальный обод пары минус 15 мм &lt; 35 мм, пара отмечается как не проходящая условие деповского ремонта.</t>
      </text>
    </comment>
    <comment ref="Z15" authorId="3" shapeId="0" xr:uid="{00000000-0006-0000-0100-00000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Формула оценки: цена новой цистерны × остаточная стоимость вагона после учета возраста, колесных пар и близости деповского ремонта.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tc={40005F69-3E57-7906-BFB3-107F084A30CD}</author>
    <author>tc={DA9951D3-2F9F-6FCE-1E92-70532337F886}</author>
    <author>tc={18D0907D-CE0A-F3C6-FCE7-FBBB7F1FB307}</author>
  </authors>
  <commentList>
    <comment ref="B5" authorId="0" shapeId="0" xr:uid="{00000000-0006-0000-02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Расчетный порог до деповского ремонта: 35 мм обязательного остатка после обточки + 15 мм снимается при обточке = 50 мм текущей толщины.</t>
      </text>
    </comment>
    <comment ref="B7" authorId="1" shapeId="0" xr:uid="{00000000-0006-0000-02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10 п.п. — изменяемое модельное допущение для учета будущего расхода на ДР по мере выработки межремонтного цикла. При наличии фактической стоимости ДР лучше заменить допущение расчетом в тенге.</t>
      </text>
    </comment>
    <comment ref="B8" authorId="2" shapeId="0" xr:uid="{00000000-0006-0000-0200-00000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Рыночная цена новой цистерны, указанная пользователем: 4 750 000 рублей. Меняя эту ячейку, можно пересчитать оценку всех 166 вагонов.</t>
      </text>
    </comment>
  </commentList>
</comments>
</file>

<file path=xl/sharedStrings.xml><?xml version="1.0" encoding="utf-8"?>
<sst xmlns="http://schemas.openxmlformats.org/spreadsheetml/2006/main" count="5568" uniqueCount="635">
  <si>
    <t>Номер вагона / контейнера</t>
  </si>
  <si>
    <t>Род вагона</t>
  </si>
  <si>
    <t>Модель</t>
  </si>
  <si>
    <t>Дата постройки</t>
  </si>
  <si>
    <t>Год постройки</t>
  </si>
  <si>
    <t>Срок службы</t>
  </si>
  <si>
    <t>Дата последнего деповского ремонта</t>
  </si>
  <si>
    <t>Депопоследнего деповского ремонта</t>
  </si>
  <si>
    <t>Дата капитального</t>
  </si>
  <si>
    <t>Депо капитального</t>
  </si>
  <si>
    <t>Очередной вид ремонта</t>
  </si>
  <si>
    <t>Дата очередного плановго ремонта</t>
  </si>
  <si>
    <t>Собственник</t>
  </si>
  <si>
    <t>Норма пробега</t>
  </si>
  <si>
    <t>Пробег общий</t>
  </si>
  <si>
    <t>Остаточный пробег</t>
  </si>
  <si>
    <t>Дата ремонта по пробегу</t>
  </si>
  <si>
    <t>Дата изменения комплектации</t>
  </si>
  <si>
    <t>Колесная пара 1</t>
  </si>
  <si>
    <t>Колесная пара 2</t>
  </si>
  <si>
    <t>Колесная пара 3</t>
  </si>
  <si>
    <t>Колесная пара 4</t>
  </si>
  <si>
    <t>Надрессорная балка 1</t>
  </si>
  <si>
    <t>Надрессорная балка 2</t>
  </si>
  <si>
    <t>Боковая рама 1</t>
  </si>
  <si>
    <t>Боковая рама 2</t>
  </si>
  <si>
    <t>Боковая рама 3</t>
  </si>
  <si>
    <t>Боковая рама 4</t>
  </si>
  <si>
    <t>Номер детали</t>
  </si>
  <si>
    <t>Клеймо</t>
  </si>
  <si>
    <t>Год постр</t>
  </si>
  <si>
    <t>Депо</t>
  </si>
  <si>
    <t>Дата</t>
  </si>
  <si>
    <t>Толщина гребня</t>
  </si>
  <si>
    <t>Толщина обода</t>
  </si>
  <si>
    <t>ЛЕВ.</t>
  </si>
  <si>
    <t>ПРАВ.</t>
  </si>
  <si>
    <t>Цистерна для перевозки продуктов</t>
  </si>
  <si>
    <t>15-5103-7П</t>
  </si>
  <si>
    <t>12.09.2011</t>
  </si>
  <si>
    <t>12.09.2043</t>
  </si>
  <si>
    <t>31.03.2023</t>
  </si>
  <si>
    <t>ВРД Кочетовка – филиал ООО "НВК"</t>
  </si>
  <si>
    <t>18.03.2026</t>
  </si>
  <si>
    <t>Усть-Каменогорское ВРД</t>
  </si>
  <si>
    <t>Деповской</t>
  </si>
  <si>
    <t>18.03.2029</t>
  </si>
  <si>
    <t>ООО "ТрансАльянс Запад"</t>
  </si>
  <si>
    <t>11.07.2033</t>
  </si>
  <si>
    <t xml:space="preserve"> </t>
  </si>
  <si>
    <t>0005</t>
  </si>
  <si>
    <t>мар.26</t>
  </si>
  <si>
    <t>0014</t>
  </si>
  <si>
    <t>15-1755П</t>
  </si>
  <si>
    <t>20.06.2013</t>
  </si>
  <si>
    <t>20.06.2043</t>
  </si>
  <si>
    <t>12.02.2026</t>
  </si>
  <si>
    <t>02.02.2024</t>
  </si>
  <si>
    <t>ВЧД Унеча-ООО "НВК"</t>
  </si>
  <si>
    <t>12.02.2028</t>
  </si>
  <si>
    <t>04.07.2029</t>
  </si>
  <si>
    <t>фев.26</t>
  </si>
  <si>
    <t>0029</t>
  </si>
  <si>
    <t>08.02.2024</t>
  </si>
  <si>
    <t>25.07.2030</t>
  </si>
  <si>
    <t>15.06.2026</t>
  </si>
  <si>
    <t>июнь.26</t>
  </si>
  <si>
    <t>05.02.2024</t>
  </si>
  <si>
    <t>ТОО "Аждар и К"</t>
  </si>
  <si>
    <t>16.04.2014</t>
  </si>
  <si>
    <t>16.04.2044</t>
  </si>
  <si>
    <t>16.04.2023</t>
  </si>
  <si>
    <t>15.03.2025</t>
  </si>
  <si>
    <t>15.03.2027</t>
  </si>
  <si>
    <t>10.12.2029</t>
  </si>
  <si>
    <t>мар.25</t>
  </si>
  <si>
    <t>22.03.2023</t>
  </si>
  <si>
    <t>03.04.2025</t>
  </si>
  <si>
    <t>03.04.2027</t>
  </si>
  <si>
    <t>02.08.2029</t>
  </si>
  <si>
    <t>16.03.2026</t>
  </si>
  <si>
    <t>14.02.2026</t>
  </si>
  <si>
    <t>04.02.2024</t>
  </si>
  <si>
    <t>14.02.2028</t>
  </si>
  <si>
    <t>07.07.2030</t>
  </si>
  <si>
    <t>0039</t>
  </si>
  <si>
    <t>19.01.2015</t>
  </si>
  <si>
    <t>19.01.2047</t>
  </si>
  <si>
    <t>20.08.2025</t>
  </si>
  <si>
    <t>Орский ВРЗ-филиал ООО "НВК"</t>
  </si>
  <si>
    <t>Капитальный</t>
  </si>
  <si>
    <t>20.08.2028</t>
  </si>
  <si>
    <t>27.11.2028</t>
  </si>
  <si>
    <t>авг.25</t>
  </si>
  <si>
    <t>06.09.2011</t>
  </si>
  <si>
    <t>06.09.2043</t>
  </si>
  <si>
    <t>21.12.2022</t>
  </si>
  <si>
    <t>ВЧДР Ульяновск – ОСП АО "ОМК Стальной путь"</t>
  </si>
  <si>
    <t>21.08.2025</t>
  </si>
  <si>
    <t>ВРЗ Челябинск – филиал ООО "НВК"</t>
  </si>
  <si>
    <t>21.08.2028</t>
  </si>
  <si>
    <t>19.08.2029</t>
  </si>
  <si>
    <t>20.09.2029</t>
  </si>
  <si>
    <t>15-150-04П</t>
  </si>
  <si>
    <t>31.08.2011</t>
  </si>
  <si>
    <t>31.08.2043</t>
  </si>
  <si>
    <t>19.01.2023</t>
  </si>
  <si>
    <t>22.08.2025</t>
  </si>
  <si>
    <t>22.08.2028</t>
  </si>
  <si>
    <t>23.09.2029</t>
  </si>
  <si>
    <t>19.01.2012</t>
  </si>
  <si>
    <t>19.01.2044</t>
  </si>
  <si>
    <t>29.09.2022</t>
  </si>
  <si>
    <t>23.09.2025</t>
  </si>
  <si>
    <t>23.09.2028</t>
  </si>
  <si>
    <t>31.10.2028</t>
  </si>
  <si>
    <t>сен.25</t>
  </si>
  <si>
    <t>24.08.2025</t>
  </si>
  <si>
    <t>24.08.2028</t>
  </si>
  <si>
    <t>21.05.2029</t>
  </si>
  <si>
    <t>28.02.2012</t>
  </si>
  <si>
    <t>28.02.2044</t>
  </si>
  <si>
    <t>19.09.2022</t>
  </si>
  <si>
    <t>12.12.2029</t>
  </si>
  <si>
    <t>29.08.2025</t>
  </si>
  <si>
    <t>27.01.2024</t>
  </si>
  <si>
    <t>29.08.2027</t>
  </si>
  <si>
    <t>06.10.2029</t>
  </si>
  <si>
    <t>06.09.2025</t>
  </si>
  <si>
    <t>17.01.2024</t>
  </si>
  <si>
    <t>06.09.2027</t>
  </si>
  <si>
    <t>29.07.2029</t>
  </si>
  <si>
    <t>31.01.2024</t>
  </si>
  <si>
    <t>24.08.2027</t>
  </si>
  <si>
    <t>21.04.2030</t>
  </si>
  <si>
    <t>20.02.2023</t>
  </si>
  <si>
    <t>02.02.2025</t>
  </si>
  <si>
    <t>02.02.2028</t>
  </si>
  <si>
    <t>22.03.2030</t>
  </si>
  <si>
    <t>фев.25</t>
  </si>
  <si>
    <t>18.02.2023</t>
  </si>
  <si>
    <t>26.03.2026</t>
  </si>
  <si>
    <t>26.03.2029</t>
  </si>
  <si>
    <t>12.10.2032</t>
  </si>
  <si>
    <t>15-1219-1П</t>
  </si>
  <si>
    <t>08.10.2020</t>
  </si>
  <si>
    <t>08.10.2050</t>
  </si>
  <si>
    <t>30.10.2025</t>
  </si>
  <si>
    <t>ВРД Зелецино - филиал ООО "НВК"</t>
  </si>
  <si>
    <t>30.10.2027</t>
  </si>
  <si>
    <t>25.06.2030</t>
  </si>
  <si>
    <t>окт.25</t>
  </si>
  <si>
    <t>19.10.2025</t>
  </si>
  <si>
    <t>19.10.2027</t>
  </si>
  <si>
    <t>19.06.2030</t>
  </si>
  <si>
    <t>22.09.2025</t>
  </si>
  <si>
    <t>22.09.2027</t>
  </si>
  <si>
    <t>14.07.2032</t>
  </si>
  <si>
    <t>14.10.2020</t>
  </si>
  <si>
    <t>14.10.2050</t>
  </si>
  <si>
    <t>10.12.2025</t>
  </si>
  <si>
    <t>10.12.2027</t>
  </si>
  <si>
    <t>10.08.2029</t>
  </si>
  <si>
    <t>дек.25</t>
  </si>
  <si>
    <t>23.10.2025</t>
  </si>
  <si>
    <t>23.10.2027</t>
  </si>
  <si>
    <t>02.06.2030</t>
  </si>
  <si>
    <t>25.11.2025</t>
  </si>
  <si>
    <t>25.11.2027</t>
  </si>
  <si>
    <t>23.04.2030</t>
  </si>
  <si>
    <t>ноя.25</t>
  </si>
  <si>
    <t>01.06.2032</t>
  </si>
  <si>
    <t>21.12.2025</t>
  </si>
  <si>
    <t>21.12.2027</t>
  </si>
  <si>
    <t>19.09.2030</t>
  </si>
  <si>
    <t>30.09.2025</t>
  </si>
  <si>
    <t>30.09.2027</t>
  </si>
  <si>
    <t>13.07.2030</t>
  </si>
  <si>
    <t>13.09.2025</t>
  </si>
  <si>
    <t>13.09.2027</t>
  </si>
  <si>
    <t>08.11.2029</t>
  </si>
  <si>
    <t>26.11.2025</t>
  </si>
  <si>
    <t>26.11.2027</t>
  </si>
  <si>
    <t>12.06.2031</t>
  </si>
  <si>
    <t>29.10.2025</t>
  </si>
  <si>
    <t>29.10.2027</t>
  </si>
  <si>
    <t>27.06.2030</t>
  </si>
  <si>
    <t>12.01.2026</t>
  </si>
  <si>
    <t>12.01.2028</t>
  </si>
  <si>
    <t>21.12.2030</t>
  </si>
  <si>
    <t>янв.26</t>
  </si>
  <si>
    <t>05.10.2020</t>
  </si>
  <si>
    <t>05.10.2050</t>
  </si>
  <si>
    <t>23.11.2025</t>
  </si>
  <si>
    <t>23.11.2027</t>
  </si>
  <si>
    <t>28.08.2030</t>
  </si>
  <si>
    <t>10.11.2030</t>
  </si>
  <si>
    <t>14.10.2025</t>
  </si>
  <si>
    <t>14.10.2027</t>
  </si>
  <si>
    <t>15.08.2030</t>
  </si>
  <si>
    <t>29.09.2020</t>
  </si>
  <si>
    <t>29.09.2050</t>
  </si>
  <si>
    <t>21.11.2025</t>
  </si>
  <si>
    <t>21.11.2027</t>
  </si>
  <si>
    <t>04.10.2030</t>
  </si>
  <si>
    <t>07.11.2025</t>
  </si>
  <si>
    <t>07.11.2027</t>
  </si>
  <si>
    <t>20.05.2030</t>
  </si>
  <si>
    <t>05.11.2025</t>
  </si>
  <si>
    <t>05.11.2027</t>
  </si>
  <si>
    <t>27.11.2030</t>
  </si>
  <si>
    <t>17.11.2025</t>
  </si>
  <si>
    <t>17.11.2027</t>
  </si>
  <si>
    <t>04.10.2029</t>
  </si>
  <si>
    <t>16.09.2025</t>
  </si>
  <si>
    <t>16.09.2027</t>
  </si>
  <si>
    <t>16.03.2031</t>
  </si>
  <si>
    <t>08.12.2025</t>
  </si>
  <si>
    <t>08.12.2027</t>
  </si>
  <si>
    <t>18.08.2029</t>
  </si>
  <si>
    <t>31.08.2025</t>
  </si>
  <si>
    <t>31.08.2027</t>
  </si>
  <si>
    <t>11.12.2030</t>
  </si>
  <si>
    <t>14.11.2025</t>
  </si>
  <si>
    <t>14.11.2027</t>
  </si>
  <si>
    <t>26.06.2030</t>
  </si>
  <si>
    <t>26.08.2025</t>
  </si>
  <si>
    <t>26.08.2027</t>
  </si>
  <si>
    <t>19.12.2031</t>
  </si>
  <si>
    <t>21.04.2026</t>
  </si>
  <si>
    <t>апр.26</t>
  </si>
  <si>
    <t>07.07.2031</t>
  </si>
  <si>
    <t>14.12.2025</t>
  </si>
  <si>
    <t>14.12.2027</t>
  </si>
  <si>
    <t>20.08.2030</t>
  </si>
  <si>
    <t>04.03.2026</t>
  </si>
  <si>
    <t>04.03.2028</t>
  </si>
  <si>
    <t>01.03.2032</t>
  </si>
  <si>
    <t>14.08.2030</t>
  </si>
  <si>
    <t>29.11.2025</t>
  </si>
  <si>
    <t>29.11.2027</t>
  </si>
  <si>
    <t>11.12.2031</t>
  </si>
  <si>
    <t>11.11.2025</t>
  </si>
  <si>
    <t>11.11.2027</t>
  </si>
  <si>
    <t>11.04.2029</t>
  </si>
  <si>
    <t>09.04.2030</t>
  </si>
  <si>
    <t>02.11.2025</t>
  </si>
  <si>
    <t>02.11.2027</t>
  </si>
  <si>
    <t>31.07.2030</t>
  </si>
  <si>
    <t>02.02.2030</t>
  </si>
  <si>
    <t>14.06.2030</t>
  </si>
  <si>
    <t>21.07.2030</t>
  </si>
  <si>
    <t>13.04.2031</t>
  </si>
  <si>
    <t>16.12.2025</t>
  </si>
  <si>
    <t>16.12.2027</t>
  </si>
  <si>
    <t>07.06.2029</t>
  </si>
  <si>
    <t>27.11.2025</t>
  </si>
  <si>
    <t>27.11.2027</t>
  </si>
  <si>
    <t>13.02.2032</t>
  </si>
  <si>
    <t>23.09.2027</t>
  </si>
  <si>
    <t>27.09.2030</t>
  </si>
  <si>
    <t>28.11.2025</t>
  </si>
  <si>
    <t>28.11.2027</t>
  </si>
  <si>
    <t>17.02.2032</t>
  </si>
  <si>
    <t>15.01.2026</t>
  </si>
  <si>
    <t>15.01.2028</t>
  </si>
  <si>
    <t>29.06.2029</t>
  </si>
  <si>
    <t>05.09.2011</t>
  </si>
  <si>
    <t>05.09.2043</t>
  </si>
  <si>
    <t>30.01.2023</t>
  </si>
  <si>
    <t>27.08.2025</t>
  </si>
  <si>
    <t>27.08.2028</t>
  </si>
  <si>
    <t>10.02.2030</t>
  </si>
  <si>
    <t>23.01.2024</t>
  </si>
  <si>
    <t>20.08.2027</t>
  </si>
  <si>
    <t>22.07.2029</t>
  </si>
  <si>
    <t>30.05.2025</t>
  </si>
  <si>
    <t>28.07.2023</t>
  </si>
  <si>
    <t>30.05.2027</t>
  </si>
  <si>
    <t>24.11.2029</t>
  </si>
  <si>
    <t>май.25</t>
  </si>
  <si>
    <t>13.02.2026</t>
  </si>
  <si>
    <t>30.03.2024</t>
  </si>
  <si>
    <t>13.02.2028</t>
  </si>
  <si>
    <t>23.09.2030</t>
  </si>
  <si>
    <t>03.03.2026</t>
  </si>
  <si>
    <t>30.04.2023</t>
  </si>
  <si>
    <t>09.04.2026</t>
  </si>
  <si>
    <t>09.04.2029</t>
  </si>
  <si>
    <t>10.06.2032</t>
  </si>
  <si>
    <t>22.09.2022</t>
  </si>
  <si>
    <t>31.10.2025</t>
  </si>
  <si>
    <t>20.03.2031</t>
  </si>
  <si>
    <t>19.02.2023</t>
  </si>
  <si>
    <t>ВРД Кавказская – филиал ООО "НВК"</t>
  </si>
  <si>
    <t>20.03.2026</t>
  </si>
  <si>
    <t>20.03.2029</t>
  </si>
  <si>
    <t>30.03.2033</t>
  </si>
  <si>
    <t>24.10.2025</t>
  </si>
  <si>
    <t>ВРД Тольятти – филиал ООО "НВК"</t>
  </si>
  <si>
    <t>21.04.2024</t>
  </si>
  <si>
    <t>24.10.2027</t>
  </si>
  <si>
    <t>20.01.2033</t>
  </si>
  <si>
    <t>0033</t>
  </si>
  <si>
    <t>06.02.2024</t>
  </si>
  <si>
    <t>28.06.2025</t>
  </si>
  <si>
    <t>25.07.2023</t>
  </si>
  <si>
    <t>28.06.2027</t>
  </si>
  <si>
    <t>08.10.2029</t>
  </si>
  <si>
    <t>июнь.25</t>
  </si>
  <si>
    <t>25.02.2024</t>
  </si>
  <si>
    <t>31.12.2030</t>
  </si>
  <si>
    <t>22.09.2030</t>
  </si>
  <si>
    <t>22.12.2025</t>
  </si>
  <si>
    <t>22.12.2027</t>
  </si>
  <si>
    <t>17.10.2029</t>
  </si>
  <si>
    <t>30.07.2029</t>
  </si>
  <si>
    <t>22.01.2015</t>
  </si>
  <si>
    <t>22.01.2047</t>
  </si>
  <si>
    <t>14.07.2029</t>
  </si>
  <si>
    <t>28.07.2029</t>
  </si>
  <si>
    <t>07.06.2030</t>
  </si>
  <si>
    <t>16.01.2012</t>
  </si>
  <si>
    <t>16.01.2044</t>
  </si>
  <si>
    <t>30.10.2028</t>
  </si>
  <si>
    <t>23.09.2032</t>
  </si>
  <si>
    <t>23.01.2015</t>
  </si>
  <si>
    <t>23.01.2047</t>
  </si>
  <si>
    <t>02.02.2027</t>
  </si>
  <si>
    <t>30.12.2027</t>
  </si>
  <si>
    <t>фев.24</t>
  </si>
  <si>
    <t>13.07.2025</t>
  </si>
  <si>
    <t>13.07.2028</t>
  </si>
  <si>
    <t>08.02.2031</t>
  </si>
  <si>
    <t>июль.25</t>
  </si>
  <si>
    <t>27.03.2025</t>
  </si>
  <si>
    <t>27.03.2027</t>
  </si>
  <si>
    <t>31.01.2030</t>
  </si>
  <si>
    <t>09.03.2026</t>
  </si>
  <si>
    <t>Аякозское ВРД</t>
  </si>
  <si>
    <t>09.03.2028</t>
  </si>
  <si>
    <t>13.05.2036</t>
  </si>
  <si>
    <t>22.03.2024</t>
  </si>
  <si>
    <t>10.03.2026</t>
  </si>
  <si>
    <t>04.04.2024</t>
  </si>
  <si>
    <t>10.03.2028</t>
  </si>
  <si>
    <t>05.08.2033</t>
  </si>
  <si>
    <t>14.01.2029</t>
  </si>
  <si>
    <t>25.08.2025</t>
  </si>
  <si>
    <t>25.08.2028</t>
  </si>
  <si>
    <t>25.04.2029</t>
  </si>
  <si>
    <t>11.09.2029</t>
  </si>
  <si>
    <t>14.10.2029</t>
  </si>
  <si>
    <t>06.02.2023</t>
  </si>
  <si>
    <t>06.03.2026</t>
  </si>
  <si>
    <t>06.03.2029</t>
  </si>
  <si>
    <t>15.07.2030</t>
  </si>
  <si>
    <t>23.10.2028</t>
  </si>
  <si>
    <t>08.09.2030</t>
  </si>
  <si>
    <t>04.03.2030</t>
  </si>
  <si>
    <t>29.07.2024</t>
  </si>
  <si>
    <t>29.07.2027</t>
  </si>
  <si>
    <t>18.04.2027</t>
  </si>
  <si>
    <t>июль.24</t>
  </si>
  <si>
    <t>24.02.2023</t>
  </si>
  <si>
    <t>10.03.2029</t>
  </si>
  <si>
    <t>03.06.2030</t>
  </si>
  <si>
    <t>02.03.2023</t>
  </si>
  <si>
    <t>29.10.2028</t>
  </si>
  <si>
    <t>16.02.2031</t>
  </si>
  <si>
    <t>27.01.2023</t>
  </si>
  <si>
    <t>23.08.2025</t>
  </si>
  <si>
    <t>23.08.2028</t>
  </si>
  <si>
    <t>07.08.2029</t>
  </si>
  <si>
    <t>29.04.2029</t>
  </si>
  <si>
    <t>10.11.2025</t>
  </si>
  <si>
    <t>09.11.2023</t>
  </si>
  <si>
    <t>09.11.2026</t>
  </si>
  <si>
    <t>11.01.2028</t>
  </si>
  <si>
    <t>09.12.2024</t>
  </si>
  <si>
    <t>дек.24</t>
  </si>
  <si>
    <t>11.08.2025</t>
  </si>
  <si>
    <t>11.08.2027</t>
  </si>
  <si>
    <t>Вагон не ремонтируется по пробегу.</t>
  </si>
  <si>
    <t>17.06.2034</t>
  </si>
  <si>
    <t>20.01.2015</t>
  </si>
  <si>
    <t>20.01.2047</t>
  </si>
  <si>
    <t>05.08.2025</t>
  </si>
  <si>
    <t>05.08.2028</t>
  </si>
  <si>
    <t>28.11.2031</t>
  </si>
  <si>
    <t>13.02.2023</t>
  </si>
  <si>
    <t>20.10.2025</t>
  </si>
  <si>
    <t>20.10.2028</t>
  </si>
  <si>
    <t>10.01.2032</t>
  </si>
  <si>
    <t>28.07.2025</t>
  </si>
  <si>
    <t>25.08.2023</t>
  </si>
  <si>
    <t>28.07.2027</t>
  </si>
  <si>
    <t>10.04.2031</t>
  </si>
  <si>
    <t>08.05.2023</t>
  </si>
  <si>
    <t>14.05.2026</t>
  </si>
  <si>
    <t>14.05.2029</t>
  </si>
  <si>
    <t>20.07.2137</t>
  </si>
  <si>
    <t>май.26</t>
  </si>
  <si>
    <t>12.07.2023</t>
  </si>
  <si>
    <t>23.06.2026</t>
  </si>
  <si>
    <t>23.06.2029</t>
  </si>
  <si>
    <t>27.12.2074</t>
  </si>
  <si>
    <t>25.12.2023</t>
  </si>
  <si>
    <t>25.12.2026</t>
  </si>
  <si>
    <t>01.04.2026</t>
  </si>
  <si>
    <t>30.08.2011</t>
  </si>
  <si>
    <t>30.08.2043</t>
  </si>
  <si>
    <t>07.07.2023</t>
  </si>
  <si>
    <t>18.06.2026</t>
  </si>
  <si>
    <t>18.06.2029</t>
  </si>
  <si>
    <t>08.10.2082</t>
  </si>
  <si>
    <t>31.07.2041</t>
  </si>
  <si>
    <t>11.07.2023</t>
  </si>
  <si>
    <t>16.06.2026</t>
  </si>
  <si>
    <t>16.06.2029</t>
  </si>
  <si>
    <t>23.11.2085</t>
  </si>
  <si>
    <t>Павлодарское ВРД</t>
  </si>
  <si>
    <t>25.04.2195</t>
  </si>
  <si>
    <t>07.03.2023</t>
  </si>
  <si>
    <t>08.03.2026</t>
  </si>
  <si>
    <t>08.03.2029</t>
  </si>
  <si>
    <t>20.05.2193</t>
  </si>
  <si>
    <t>19.05.2023</t>
  </si>
  <si>
    <t>06.05.2026</t>
  </si>
  <si>
    <t>06.05.2029</t>
  </si>
  <si>
    <t>17.05.2033</t>
  </si>
  <si>
    <t>26.05.2023</t>
  </si>
  <si>
    <t>07.05.2026</t>
  </si>
  <si>
    <t>07.05.2029</t>
  </si>
  <si>
    <t>16.04.2033</t>
  </si>
  <si>
    <t>30.08.2023</t>
  </si>
  <si>
    <t>30.08.2026</t>
  </si>
  <si>
    <t>16.02.2026</t>
  </si>
  <si>
    <t>10.09.2036</t>
  </si>
  <si>
    <t>28.03.2026</t>
  </si>
  <si>
    <t>28.03.2024</t>
  </si>
  <si>
    <t>28.03.2028</t>
  </si>
  <si>
    <t>27.09.2036</t>
  </si>
  <si>
    <t>11.03.2023</t>
  </si>
  <si>
    <t>22.03.2025</t>
  </si>
  <si>
    <t>22.03.2027</t>
  </si>
  <si>
    <t>10.05.2031</t>
  </si>
  <si>
    <t>24.10.2028</t>
  </si>
  <si>
    <t>25.04.2038</t>
  </si>
  <si>
    <t>17.06.2023</t>
  </si>
  <si>
    <t>07.05.2036</t>
  </si>
  <si>
    <t>27.05.2023</t>
  </si>
  <si>
    <t>26.04.2032</t>
  </si>
  <si>
    <t>06.03.2024</t>
  </si>
  <si>
    <t>08.08.2032</t>
  </si>
  <si>
    <t>23.05.2023</t>
  </si>
  <si>
    <t>30.04.2026</t>
  </si>
  <si>
    <t>30.04.2029</t>
  </si>
  <si>
    <t>28.08.2039</t>
  </si>
  <si>
    <t>03.07.2026</t>
  </si>
  <si>
    <t>июль.26</t>
  </si>
  <si>
    <t>03.06.2023</t>
  </si>
  <si>
    <t>24.05.2026</t>
  </si>
  <si>
    <t>24.05.2029</t>
  </si>
  <si>
    <t>16.12.2035</t>
  </si>
  <si>
    <t>29.08.2011</t>
  </si>
  <si>
    <t>29.08.2043</t>
  </si>
  <si>
    <t>ООО "Техкомплекс"</t>
  </si>
  <si>
    <t>28.04.2026</t>
  </si>
  <si>
    <t>28.04.2029</t>
  </si>
  <si>
    <t>16.11.2039</t>
  </si>
  <si>
    <t>30.05.2023</t>
  </si>
  <si>
    <t>29.04.2026</t>
  </si>
  <si>
    <t>21.09.2039</t>
  </si>
  <si>
    <t>01.09.2023</t>
  </si>
  <si>
    <t>28.07.2031</t>
  </si>
  <si>
    <t>08.09.2022</t>
  </si>
  <si>
    <t>19.02.2030</t>
  </si>
  <si>
    <t>11.09.2023</t>
  </si>
  <si>
    <t>13.03.2026</t>
  </si>
  <si>
    <t>13.03.2029</t>
  </si>
  <si>
    <t>12.09.2032</t>
  </si>
  <si>
    <t>14.03.2026</t>
  </si>
  <si>
    <t>14.03.2029</t>
  </si>
  <si>
    <t>17.06.2033</t>
  </si>
  <si>
    <t>14.09.2022</t>
  </si>
  <si>
    <t>16.08.2030</t>
  </si>
  <si>
    <t>16.12.2032</t>
  </si>
  <si>
    <t>0119</t>
  </si>
  <si>
    <t>17.09.2025</t>
  </si>
  <si>
    <t>17.09.2028</t>
  </si>
  <si>
    <t>24.07.2029</t>
  </si>
  <si>
    <t>18.09.2025</t>
  </si>
  <si>
    <t>18.09.2028</t>
  </si>
  <si>
    <t>04.04.2029</t>
  </si>
  <si>
    <t>29.11.2029</t>
  </si>
  <si>
    <t>01.04.2029</t>
  </si>
  <si>
    <t>19.12.2025</t>
  </si>
  <si>
    <t>ВРД Арчеда ООО "НВК"</t>
  </si>
  <si>
    <t>19.12.2027</t>
  </si>
  <si>
    <t>11.02.2031</t>
  </si>
  <si>
    <t>11.07.2087</t>
  </si>
  <si>
    <t>18.05.2032</t>
  </si>
  <si>
    <t>25.01.2030</t>
  </si>
  <si>
    <t>20.12.2025</t>
  </si>
  <si>
    <t>20.12.2027</t>
  </si>
  <si>
    <t>01.10.2029</t>
  </si>
  <si>
    <t>01.09.2025</t>
  </si>
  <si>
    <t>01.09.2027</t>
  </si>
  <si>
    <t>10.02.2032</t>
  </si>
  <si>
    <t>29.09.2029</t>
  </si>
  <si>
    <t>18.03.2030</t>
  </si>
  <si>
    <t>16.02.2028</t>
  </si>
  <si>
    <t>05.08.2030</t>
  </si>
  <si>
    <t>06.10.2025</t>
  </si>
  <si>
    <t>06.10.2027</t>
  </si>
  <si>
    <t>23.03.2030</t>
  </si>
  <si>
    <t>22.11.2029</t>
  </si>
  <si>
    <t>09.11.2030</t>
  </si>
  <si>
    <t>27.09.2031</t>
  </si>
  <si>
    <t>07.02.2026</t>
  </si>
  <si>
    <t>07.02.2028</t>
  </si>
  <si>
    <t>01.02.2029</t>
  </si>
  <si>
    <t>22.06.2023</t>
  </si>
  <si>
    <t>12.06.2026</t>
  </si>
  <si>
    <t>12.06.2029</t>
  </si>
  <si>
    <t>09.06.2030</t>
  </si>
  <si>
    <t>0186</t>
  </si>
  <si>
    <t>03.08.2029</t>
  </si>
  <si>
    <t>10.12.2028</t>
  </si>
  <si>
    <t>11.09.2022</t>
  </si>
  <si>
    <t>04.12.2025</t>
  </si>
  <si>
    <t>0022</t>
  </si>
  <si>
    <t>14.06.2029</t>
  </si>
  <si>
    <t>0012</t>
  </si>
  <si>
    <t>15.09.2022</t>
  </si>
  <si>
    <t>26.10.2030</t>
  </si>
  <si>
    <t>18.08.2024</t>
  </si>
  <si>
    <t>18.08.2027</t>
  </si>
  <si>
    <t>03.12.2028</t>
  </si>
  <si>
    <t>25.02.2026</t>
  </si>
  <si>
    <t>13.09.2011</t>
  </si>
  <si>
    <t>13.09.2043</t>
  </si>
  <si>
    <t>15.07.2023</t>
  </si>
  <si>
    <t>07.03.2026</t>
  </si>
  <si>
    <t>07.03.2029</t>
  </si>
  <si>
    <t>08.05.2030</t>
  </si>
  <si>
    <t>16.11.2023</t>
  </si>
  <si>
    <t>16.11.2026</t>
  </si>
  <si>
    <t>05.12.2027</t>
  </si>
  <si>
    <t>ноя.23</t>
  </si>
  <si>
    <t>24.01.2024</t>
  </si>
  <si>
    <t>22.08.2027</t>
  </si>
  <si>
    <t>06.08.2029</t>
  </si>
  <si>
    <t>19.10.2029</t>
  </si>
  <si>
    <t>23.04.2023</t>
  </si>
  <si>
    <t>13.05.2025</t>
  </si>
  <si>
    <t>13.05.2028</t>
  </si>
  <si>
    <t>14.01.2023</t>
  </si>
  <si>
    <t>28.12.2024</t>
  </si>
  <si>
    <t>28.12.2026</t>
  </si>
  <si>
    <t>04.11.2028</t>
  </si>
  <si>
    <t>26.07.2025</t>
  </si>
  <si>
    <t>19.03.2024</t>
  </si>
  <si>
    <t>10.07.2030</t>
  </si>
  <si>
    <t>Оценка амортизации 166 цистерн</t>
  </si>
  <si>
    <t>Расчетная модель для предварительной оценки покупки. Желтые ячейки — изменяемые допущения.</t>
  </si>
  <si>
    <t>Параметр</t>
  </si>
  <si>
    <t>Значение</t>
  </si>
  <si>
    <t>Комментарий</t>
  </si>
  <si>
    <t>Дата оценки</t>
  </si>
  <si>
    <t>Фиксированная дата расчета</t>
  </si>
  <si>
    <t>Нормативный срок вагона, лет</t>
  </si>
  <si>
    <t>Можно изменить</t>
  </si>
  <si>
    <t>Порог до ДР по ободу, мм</t>
  </si>
  <si>
    <t>35 мм после обточки + 15 мм съем = 50 мм до деповского ремонта</t>
  </si>
  <si>
    <t>Текущий предел обода, мм</t>
  </si>
  <si>
    <t>Эксплуатационный предел — 27 мм</t>
  </si>
  <si>
    <t>Срок колесной пары, лет</t>
  </si>
  <si>
    <t>Для возрастной составляющей</t>
  </si>
  <si>
    <t>Вес физического износа КП</t>
  </si>
  <si>
    <t>Внутри оценки колесных пар</t>
  </si>
  <si>
    <t>Вес возраста КП</t>
  </si>
  <si>
    <t>Вес износа вагона</t>
  </si>
  <si>
    <t>В итоговой амортизации</t>
  </si>
  <si>
    <t>Вес износа колесных пар</t>
  </si>
  <si>
    <t>№ вагона</t>
  </si>
  <si>
    <t>Год вагона</t>
  </si>
  <si>
    <t>Возраст вагона, лет</t>
  </si>
  <si>
    <t>Износ вагона, %</t>
  </si>
  <si>
    <t>Годы КП 1–4</t>
  </si>
  <si>
    <t>Средний год КП</t>
  </si>
  <si>
    <t>Средний возраст КП, лет</t>
  </si>
  <si>
    <t>Средняя толщина обода, мм</t>
  </si>
  <si>
    <t>Мин. толщина обода, мм</t>
  </si>
  <si>
    <t>Физический износ КП, % (50→27 мм)</t>
  </si>
  <si>
    <t>Возрастной износ КП, %</t>
  </si>
  <si>
    <t>Итоговый износ КП, % (с риском ДР)</t>
  </si>
  <si>
    <t>Общая амортизация, % (с ДР)</t>
  </si>
  <si>
    <t>Остаточная стоимость, %</t>
  </si>
  <si>
    <t>Цена продавца, ₸</t>
  </si>
  <si>
    <t>Расчетная стоимость, ₸</t>
  </si>
  <si>
    <t>Последний плановый ремонт</t>
  </si>
  <si>
    <t>Следующий ДР</t>
  </si>
  <si>
    <t>Осталось до ДР, лет</t>
  </si>
  <si>
    <t>Использовано цикла ДР, %</t>
  </si>
  <si>
    <t>Доп. амортизация ДР, п.п.</t>
  </si>
  <si>
    <t>Мин. после обточки, мм</t>
  </si>
  <si>
    <t>КП не проходят ДР, шт</t>
  </si>
  <si>
    <t>Цена новой, ₽</t>
  </si>
  <si>
    <t>Оценочная цена с учетом износа, ₽</t>
  </si>
  <si>
    <t>Справочник технических порогов и амортизации</t>
  </si>
  <si>
    <t>Ед.</t>
  </si>
  <si>
    <t>Как используется</t>
  </si>
  <si>
    <t>Мин. обод после обточки при ДР</t>
  </si>
  <si>
    <t>мм</t>
  </si>
  <si>
    <t>После обточки колесо должно иметь не менее 35 мм</t>
  </si>
  <si>
    <t>Съем металла при обточке</t>
  </si>
  <si>
    <t>По условию расчета при обточке снимается 15 мм</t>
  </si>
  <si>
    <t>Порог до ДР</t>
  </si>
  <si>
    <t>35 мм + 15 мм = 50 мм: ниже порога колесная пара не проходит условие после обточки</t>
  </si>
  <si>
    <t>Текущий эксплуатационный предел</t>
  </si>
  <si>
    <t>Предельное текущее значение; не заменяет требование 35 мм после обточки</t>
  </si>
  <si>
    <t>Макс. поправка на близость ДР</t>
  </si>
  <si>
    <t>п.п.</t>
  </si>
  <si>
    <t>Модельное допущение: дополнительная амортизация при наступившем ДР; изменить при наличии фактической стоимости ДР</t>
  </si>
  <si>
    <t>Цена новой цистерны</t>
  </si>
  <si>
    <t>₽ / вагон</t>
  </si>
  <si>
    <t>Рыночная база пользователя; 100% стоимости нового вагона</t>
  </si>
  <si>
    <t>Сводная рыночная оценка 166 цистерн</t>
  </si>
  <si>
    <t>Показатель</t>
  </si>
  <si>
    <t>Количество вагонов</t>
  </si>
  <si>
    <t>Средняя оценочная цена, ₽</t>
  </si>
  <si>
    <t>Минимальная оценочная цена, ₽</t>
  </si>
  <si>
    <t>Максимальная оценочная цена,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</si>
</sst>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dd\.mm\.yyyy"/>
    <numFmt numFmtId="165" formatCode="0.0%;[Red]\(0.0%\);\-"/>
    <numFmt numFmtId="166" formatCode="0.0&quot;%&quot;"/>
    <numFmt numFmtId="167" formatCode="0.0"/>
    <numFmt numFmtId="168" formatCode="#,##0;[Red]\(#,##0\);\-"/>
    <numFmt numFmtId="169" formatCode="0.0\%"/>
  </numFmts>
  <fonts count="11" x14ac:knownFonts="1">
    <font>
      <sz val="10"/>
      <color rgb="FF000000"/>
      <name val="Arial"/>
    </font>
    <font>
      <b/>
      <sz val="10"/>
      <color rgb="FF000000"/>
      <name val="Arial"/>
    </font>
    <font>
      <b/>
      <sz val="16"/>
      <color rgb="FFFFFFFF"/>
      <name val="Arial"/>
    </font>
    <font>
      <i/>
      <sz val="10"/>
      <color rgb="FF1F1F1F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4"/>
      <color rgb="FFFFFFFF"/>
      <name val="Arial"/>
    </font>
    <font>
      <sz val="10"/>
      <color rgb="FF008000"/>
      <name val="Arial"/>
    </font>
    <font>
      <b/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B3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03864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7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49" fontId="0" fillId="0" borderId="0" xfId="0" applyNumberFormat="1"/>
    <xf numFmtId="164" fontId="0" fillId="0" borderId="0" xfId="0" applyNumberFormat="1"/>
    <xf numFmtId="0" fontId="4" fillId="5" borderId="0" xfId="0" applyFont="1" applyFill="1" applyAlignment="1">
      <alignment horizontal="center" vertical="center"/>
    </xf>
    <xf numFmtId="9" fontId="5" fillId="6" borderId="0" xfId="0" applyNumberFormat="1" applyFont="1" applyFill="1"/>
    <xf numFmtId="2" fontId="5" fillId="6" borderId="0" xfId="0" applyNumberFormat="1" applyFont="1" applyFill="1"/>
    <xf numFmtId="0" fontId="0" fillId="0" borderId="0" xfId="0" applyAlignment="1">
      <alignment wrapText="1"/>
    </xf>
    <xf numFmtId="0" fontId="4" fillId="8" borderId="5" xfId="0" applyFont="1" applyFill="1" applyBorder="1" applyAlignment="1">
      <alignment horizontal="center" wrapText="1"/>
    </xf>
    <xf numFmtId="0" fontId="4" fillId="8" borderId="0" xfId="0" applyFont="1" applyFill="1" applyAlignment="1">
      <alignment horizontal="center" wrapText="1"/>
    </xf>
    <xf numFmtId="0" fontId="4" fillId="8" borderId="6" xfId="0" applyFont="1" applyFill="1" applyBorder="1" applyAlignment="1">
      <alignment horizontal="center" wrapText="1"/>
    </xf>
    <xf numFmtId="0" fontId="1" fillId="0" borderId="5" xfId="0" applyFont="1" applyBorder="1" applyAlignment="1">
      <alignment wrapText="1"/>
    </xf>
    <xf numFmtId="1" fontId="5" fillId="9" borderId="0" xfId="0" applyNumberFormat="1" applyFont="1" applyFill="1" applyAlignment="1">
      <alignment wrapText="1"/>
    </xf>
    <xf numFmtId="0" fontId="0" fillId="0" borderId="6" xfId="0" applyBorder="1" applyAlignment="1">
      <alignment wrapText="1"/>
    </xf>
    <xf numFmtId="1" fontId="1" fillId="10" borderId="0" xfId="0" applyNumberFormat="1" applyFont="1" applyFill="1" applyAlignment="1">
      <alignment wrapText="1"/>
    </xf>
    <xf numFmtId="0" fontId="1" fillId="0" borderId="7" xfId="0" applyFont="1" applyBorder="1" applyAlignment="1">
      <alignment wrapText="1"/>
    </xf>
    <xf numFmtId="1" fontId="5" fillId="9" borderId="8" xfId="0" applyNumberFormat="1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2" fontId="7" fillId="6" borderId="0" xfId="0" applyNumberFormat="1" applyFont="1" applyFill="1"/>
    <xf numFmtId="0" fontId="4" fillId="7" borderId="0" xfId="0" applyFont="1" applyFill="1" applyAlignment="1">
      <alignment horizontal="center" vertical="center" wrapText="1"/>
    </xf>
    <xf numFmtId="49" fontId="0" fillId="11" borderId="0" xfId="0" applyNumberFormat="1" applyFill="1"/>
    <xf numFmtId="49" fontId="0" fillId="12" borderId="0" xfId="0" applyNumberFormat="1" applyFill="1"/>
    <xf numFmtId="167" fontId="0" fillId="11" borderId="0" xfId="0" applyNumberFormat="1" applyFill="1"/>
    <xf numFmtId="167" fontId="0" fillId="12" borderId="0" xfId="0" applyNumberFormat="1" applyFill="1"/>
    <xf numFmtId="169" fontId="0" fillId="11" borderId="0" xfId="0" applyNumberFormat="1" applyFill="1"/>
    <xf numFmtId="169" fontId="0" fillId="12" borderId="0" xfId="0" applyNumberFormat="1" applyFill="1"/>
    <xf numFmtId="1" fontId="0" fillId="11" borderId="0" xfId="0" applyNumberFormat="1" applyFill="1"/>
    <xf numFmtId="1" fontId="0" fillId="12" borderId="0" xfId="0" applyNumberFormat="1" applyFill="1"/>
    <xf numFmtId="0" fontId="1" fillId="0" borderId="0" xfId="0" applyFont="1" applyAlignment="1">
      <alignment wrapText="1"/>
    </xf>
    <xf numFmtId="3" fontId="8" fillId="13" borderId="0" xfId="0" applyNumberFormat="1" applyFont="1" applyFill="1" applyAlignment="1">
      <alignment wrapText="1"/>
    </xf>
    <xf numFmtId="0" fontId="4" fillId="14" borderId="0" xfId="0" applyFont="1" applyFill="1" applyAlignment="1">
      <alignment horizontal="center" vertical="center" wrapText="1"/>
    </xf>
    <xf numFmtId="3" fontId="0" fillId="15" borderId="0" xfId="0" applyNumberFormat="1" applyFill="1"/>
    <xf numFmtId="3" fontId="0" fillId="16" borderId="0" xfId="0" applyNumberFormat="1" applyFill="1"/>
    <xf numFmtId="0" fontId="4" fillId="17" borderId="2" xfId="0" applyFont="1" applyFill="1" applyBorder="1"/>
    <xf numFmtId="0" fontId="4" fillId="17" borderId="4" xfId="0" applyFont="1" applyFill="1" applyBorder="1"/>
    <xf numFmtId="0" fontId="0" fillId="0" borderId="5" xfId="0" applyBorder="1"/>
    <xf numFmtId="1" fontId="0" fillId="0" borderId="6" xfId="0" applyNumberFormat="1" applyBorder="1"/>
    <xf numFmtId="3" fontId="0" fillId="0" borderId="6" xfId="0" applyNumberFormat="1" applyBorder="1"/>
    <xf numFmtId="0" fontId="0" fillId="0" borderId="7" xfId="0" applyBorder="1"/>
    <xf numFmtId="3" fontId="0" fillId="0" borderId="9" xfId="0" applyNumberFormat="1" applyBorder="1"/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9" fillId="18" borderId="13" xfId="0" applyFont="1" applyFill="1" applyBorder="1" applyAlignment="1">
      <alignment wrapText="1"/>
    </xf>
    <xf numFmtId="0" fontId="9" fillId="18" borderId="14" xfId="0" applyFont="1" applyFill="1" applyBorder="1" applyAlignment="1">
      <alignment wrapText="1"/>
    </xf>
    <xf numFmtId="166" fontId="9" fillId="18" borderId="14" xfId="0" applyNumberFormat="1" applyFont="1" applyFill="1" applyBorder="1" applyAlignment="1">
      <alignment wrapText="1"/>
    </xf>
    <xf numFmtId="165" fontId="9" fillId="18" borderId="14" xfId="0" applyNumberFormat="1" applyFont="1" applyFill="1" applyBorder="1" applyAlignment="1">
      <alignment wrapText="1"/>
    </xf>
    <xf numFmtId="167" fontId="9" fillId="18" borderId="14" xfId="0" applyNumberFormat="1" applyFont="1" applyFill="1" applyBorder="1" applyAlignment="1">
      <alignment wrapText="1"/>
    </xf>
    <xf numFmtId="168" fontId="5" fillId="13" borderId="14" xfId="0" applyNumberFormat="1" applyFont="1" applyFill="1" applyBorder="1" applyAlignment="1">
      <alignment wrapText="1"/>
    </xf>
    <xf numFmtId="168" fontId="9" fillId="18" borderId="15" xfId="0" applyNumberFormat="1" applyFont="1" applyFill="1" applyBorder="1" applyAlignment="1">
      <alignment wrapText="1"/>
    </xf>
    <xf numFmtId="0" fontId="9" fillId="0" borderId="13" xfId="0" applyFont="1" applyBorder="1" applyAlignment="1">
      <alignment wrapText="1"/>
    </xf>
    <xf numFmtId="0" fontId="9" fillId="0" borderId="14" xfId="0" applyFont="1" applyBorder="1" applyAlignment="1">
      <alignment wrapText="1"/>
    </xf>
    <xf numFmtId="166" fontId="9" fillId="0" borderId="14" xfId="0" applyNumberFormat="1" applyFont="1" applyBorder="1" applyAlignment="1">
      <alignment wrapText="1"/>
    </xf>
    <xf numFmtId="165" fontId="9" fillId="0" borderId="14" xfId="0" applyNumberFormat="1" applyFont="1" applyBorder="1" applyAlignment="1">
      <alignment wrapText="1"/>
    </xf>
    <xf numFmtId="167" fontId="9" fillId="0" borderId="14" xfId="0" applyNumberFormat="1" applyFont="1" applyBorder="1" applyAlignment="1">
      <alignment wrapText="1"/>
    </xf>
    <xf numFmtId="168" fontId="9" fillId="0" borderId="15" xfId="0" applyNumberFormat="1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11" xfId="0" applyFont="1" applyBorder="1" applyAlignment="1">
      <alignment wrapText="1"/>
    </xf>
    <xf numFmtId="166" fontId="9" fillId="0" borderId="11" xfId="0" applyNumberFormat="1" applyFont="1" applyBorder="1" applyAlignment="1">
      <alignment wrapText="1"/>
    </xf>
    <xf numFmtId="165" fontId="9" fillId="0" borderId="11" xfId="0" applyNumberFormat="1" applyFont="1" applyBorder="1" applyAlignment="1">
      <alignment wrapText="1"/>
    </xf>
    <xf numFmtId="167" fontId="9" fillId="0" borderId="11" xfId="0" applyNumberFormat="1" applyFont="1" applyBorder="1" applyAlignment="1">
      <alignment wrapText="1"/>
    </xf>
    <xf numFmtId="168" fontId="5" fillId="13" borderId="11" xfId="0" applyNumberFormat="1" applyFont="1" applyFill="1" applyBorder="1" applyAlignment="1">
      <alignment wrapText="1"/>
    </xf>
    <xf numFmtId="168" fontId="9" fillId="0" borderId="12" xfId="0" applyNumberFormat="1" applyFont="1" applyBorder="1" applyAlignment="1">
      <alignment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6" fillId="7" borderId="2" xfId="0" applyFont="1" applyFill="1" applyBorder="1" applyAlignment="1">
      <alignment horizontal="center" wrapText="1"/>
    </xf>
    <xf numFmtId="0" fontId="6" fillId="7" borderId="3" xfId="0" applyFont="1" applyFill="1" applyBorder="1" applyAlignment="1">
      <alignment horizontal="center" wrapText="1"/>
    </xf>
    <xf numFmtId="0" fontId="6" fillId="7" borderId="4" xfId="0" applyFont="1" applyFill="1" applyBorder="1" applyAlignment="1">
      <alignment horizontal="center" wrapText="1"/>
    </xf>
    <xf numFmtId="0" fontId="4" fillId="14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3" fontId="0" fillId="0" borderId="0" xfId="0" applyNumberFormat="1"/>
    <xf numFmtId="43" fontId="0" fillId="0" borderId="0" xfId="1" applyFont="1"/>
  </cellXfs>
  <cellStyles count="2">
    <cellStyle name="Обычный" xfId="0" builtinId="0"/>
    <cellStyle name="Финансовый" xfId="1" builtinId="3"/>
  </cellStyles>
  <dxfs count="5">
    <dxf>
      <font>
        <color rgb="FF9C0006"/>
      </font>
      <fill>
        <patternFill>
          <bgColor rgb="FFFFC7CE"/>
        </patternFill>
      </fill>
    </dxf>
    <dxf>
      <font>
        <b/>
        <color rgb="FFC65911"/>
      </font>
      <fill>
        <patternFill>
          <bgColor rgb="FFFCE5CD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419100</xdr:colOff>
      <xdr:row>42</xdr:row>
      <xdr:rowOff>129540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3CD237A3-54E0-4087-8385-43FBC9DC9A2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419100</xdr:colOff>
      <xdr:row>42</xdr:row>
      <xdr:rowOff>129540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2F0C8411-32AF-A9E2-0EB3-9645035C6F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79348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3779520</xdr:colOff>
      <xdr:row>35</xdr:row>
      <xdr:rowOff>38100</xdr:rowOff>
    </xdr:to>
    <xdr:sp macro="" textlink="">
      <xdr:nvSpPr>
        <xdr:cNvPr id="2052" name="Text Box 4" hidden="1">
          <a:extLst>
            <a:ext uri="{FF2B5EF4-FFF2-40B4-BE49-F238E27FC236}">
              <a16:creationId xmlns:a16="http://schemas.microsoft.com/office/drawing/2014/main" id="{AEF7997D-C7B7-4ABC-AE96-E1BF55039FD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3779520</xdr:colOff>
      <xdr:row>35</xdr:row>
      <xdr:rowOff>38100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9B4E6E17-BA11-1588-952E-C7C47D3E38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Саябек" id="{E299ABB1-8628-4CC0-96FB-97FE07FC32A1}" userId="" providerId=""/>
  <person displayName="Саябек" id="{28F546CC-DD5C-48CF-8869-0292A1B6E887}" userId="" providerId=""/>
  <person displayName="Саябек" id="{C40A3FD1-942D-4558-B382-B05C9873B5BF}" userId="" providerId="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6-08-05T07:25:17.29" personId="{28F546CC-DD5C-48CF-8869-0292A1B6E887}" id="{922597A8-5F33-5285-AE0F-28DDA6E702A7}">
    <text>Порог пользователя: физический износ колесной пары начинается только при толщине обода ниже 50 мм.</text>
  </threadedComment>
  <threadedComment ref="K15" dT="2026-08-05T07:25:17.29" personId="{28F546CC-DD5C-48CF-8869-0292A1B6E887}" id="{90B4C40A-2F3B-E73B-B717-333818C37ADD}">
    <text>Расчет ведется по минимальной толщине обода среди колес вагона: &gt;=50 мм — 0%; от 50 до 22 мм — линейный рост; &lt;=22 мм — 100%.</text>
  </threadedComment>
  <threadedComment ref="X15" dT="2026-08-05T07:25:17.29" personId="{C40A3FD1-942D-4558-B382-B05C9873B5BF}" id="{D70C6437-6718-799B-794D-102C2C7CB596}">
    <text>Считается по каждой из 4 колесных пар. Если минимальный обод пары минус 15 мм &lt; 35 мм, пара отмечается как не проходящая условие деповского ремонта.</text>
  </threadedComment>
  <threadedComment ref="Z15" dT="2026-08-05T07:25:17.29" personId="{E299ABB1-8628-4CC0-96FB-97FE07FC32A1}" id="{0BCD4469-64A7-006C-2F22-5197D636F677}">
    <text>Формула оценки: цена новой цистерны × остаточная стоимость вагона после учета возраста, колесных пар и близости деповского ремонта.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5" dT="2026-08-05T07:25:17.29" personId="{C40A3FD1-942D-4558-B382-B05C9873B5BF}" id="{40005F69-3E57-7906-BFB3-107F084A30CD}">
    <text>Расчетный порог до деповского ремонта: 35 мм обязательного остатка после обточки + 15 мм снимается при обточке = 50 мм текущей толщины.</text>
  </threadedComment>
  <threadedComment ref="B7" dT="2026-08-05T07:25:17.29" personId="{C40A3FD1-942D-4558-B382-B05C9873B5BF}" id="{DA9951D3-2F9F-6FCE-1E92-70532337F886}">
    <text>10 п.п. — изменяемое модельное допущение для учета будущего расхода на ДР по мере выработки межремонтного цикла. При наличии фактической стоимости ДР лучше заменить допущение расчетом в тенге.</text>
  </threadedComment>
  <threadedComment ref="B8" dT="2026-08-05T07:25:17.29" personId="{E299ABB1-8628-4CC0-96FB-97FE07FC32A1}" id="{18D0907D-CE0A-F3C6-FCE7-FBBB7F1FB307}">
    <text>Рыночная цена новой цистерны, указанная пользователем: 4 750 000 рублей. Меняя эту ячейку, можно пересчитать оценку всех 166 вагонов.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83"/>
  <sheetViews>
    <sheetView tabSelected="1" topLeftCell="L1" zoomScale="80" zoomScaleNormal="80" workbookViewId="0">
      <selection activeCell="W18" sqref="W18"/>
    </sheetView>
  </sheetViews>
  <sheetFormatPr defaultRowHeight="13.2" x14ac:dyDescent="0.25"/>
  <cols>
    <col min="1" max="1" width="31.109375" customWidth="1"/>
    <col min="2" max="2" width="16" customWidth="1"/>
    <col min="3" max="3" width="11" customWidth="1"/>
    <col min="4" max="5" width="14" customWidth="1"/>
    <col min="6" max="6" width="22" customWidth="1"/>
    <col min="7" max="7" width="14" customWidth="1"/>
    <col min="8" max="8" width="16" customWidth="1"/>
    <col min="9" max="10" width="18" customWidth="1"/>
    <col min="11" max="13" width="16" customWidth="1"/>
    <col min="14" max="15" width="18" customWidth="1"/>
    <col min="16" max="16" width="17" customWidth="1"/>
    <col min="17" max="17" width="18" customWidth="1"/>
    <col min="18" max="19" width="13" customWidth="1"/>
    <col min="20" max="22" width="16" customWidth="1"/>
    <col min="23" max="23" width="18" customWidth="1"/>
    <col min="24" max="24" width="17" customWidth="1"/>
    <col min="25" max="26" width="19" customWidth="1"/>
    <col min="27" max="27" width="16.6640625" bestFit="1" customWidth="1"/>
  </cols>
  <sheetData>
    <row r="1" spans="1:26" ht="22.35" customHeight="1" x14ac:dyDescent="0.25">
      <c r="A1" s="65" t="s">
        <v>565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26" ht="19.2" customHeight="1" x14ac:dyDescent="0.25">
      <c r="A2" s="66" t="s">
        <v>566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</row>
    <row r="4" spans="1:26" x14ac:dyDescent="0.25">
      <c r="A4" s="5" t="s">
        <v>567</v>
      </c>
      <c r="B4" s="5" t="s">
        <v>568</v>
      </c>
      <c r="C4" s="5" t="s">
        <v>569</v>
      </c>
    </row>
    <row r="5" spans="1:26" x14ac:dyDescent="0.25">
      <c r="A5" t="s">
        <v>570</v>
      </c>
      <c r="B5" s="4">
        <v>46239</v>
      </c>
      <c r="C5" t="s">
        <v>571</v>
      </c>
    </row>
    <row r="6" spans="1:26" x14ac:dyDescent="0.25">
      <c r="A6" t="s">
        <v>572</v>
      </c>
      <c r="B6" s="7">
        <v>32</v>
      </c>
      <c r="C6" t="s">
        <v>573</v>
      </c>
    </row>
    <row r="7" spans="1:26" x14ac:dyDescent="0.25">
      <c r="A7" t="s">
        <v>574</v>
      </c>
      <c r="B7" s="20">
        <f>Справочник!B5</f>
        <v>50</v>
      </c>
      <c r="C7" t="s">
        <v>575</v>
      </c>
    </row>
    <row r="8" spans="1:26" x14ac:dyDescent="0.25">
      <c r="A8" t="s">
        <v>576</v>
      </c>
      <c r="B8" s="20">
        <f>Справочник!B6</f>
        <v>27</v>
      </c>
      <c r="C8" t="s">
        <v>577</v>
      </c>
    </row>
    <row r="9" spans="1:26" x14ac:dyDescent="0.25">
      <c r="A9" t="s">
        <v>578</v>
      </c>
      <c r="B9" s="7">
        <v>30</v>
      </c>
      <c r="C9" t="s">
        <v>579</v>
      </c>
    </row>
    <row r="10" spans="1:26" x14ac:dyDescent="0.25">
      <c r="A10" t="s">
        <v>580</v>
      </c>
      <c r="B10" s="6">
        <v>0.7</v>
      </c>
      <c r="C10" t="s">
        <v>581</v>
      </c>
    </row>
    <row r="11" spans="1:26" x14ac:dyDescent="0.25">
      <c r="A11" t="s">
        <v>582</v>
      </c>
      <c r="B11" s="6">
        <v>0.3</v>
      </c>
      <c r="C11" t="s">
        <v>581</v>
      </c>
    </row>
    <row r="12" spans="1:26" x14ac:dyDescent="0.25">
      <c r="A12" t="s">
        <v>583</v>
      </c>
      <c r="B12" s="6">
        <v>0.5</v>
      </c>
      <c r="C12" t="s">
        <v>584</v>
      </c>
    </row>
    <row r="13" spans="1:26" x14ac:dyDescent="0.25">
      <c r="A13" t="s">
        <v>585</v>
      </c>
      <c r="B13" s="6">
        <v>0.5</v>
      </c>
      <c r="C13" t="s">
        <v>584</v>
      </c>
    </row>
    <row r="15" spans="1:26" ht="33.6" customHeight="1" x14ac:dyDescent="0.25">
      <c r="A15" s="42" t="s">
        <v>586</v>
      </c>
      <c r="B15" s="43" t="s">
        <v>2</v>
      </c>
      <c r="C15" s="43" t="s">
        <v>587</v>
      </c>
      <c r="D15" s="43" t="s">
        <v>588</v>
      </c>
      <c r="E15" s="43" t="s">
        <v>589</v>
      </c>
      <c r="F15" s="43" t="s">
        <v>590</v>
      </c>
      <c r="G15" s="43" t="s">
        <v>591</v>
      </c>
      <c r="H15" s="43" t="s">
        <v>592</v>
      </c>
      <c r="I15" s="43" t="s">
        <v>593</v>
      </c>
      <c r="J15" s="43" t="s">
        <v>594</v>
      </c>
      <c r="K15" s="43" t="s">
        <v>595</v>
      </c>
      <c r="L15" s="43" t="s">
        <v>596</v>
      </c>
      <c r="M15" s="43" t="s">
        <v>597</v>
      </c>
      <c r="N15" s="43" t="s">
        <v>598</v>
      </c>
      <c r="O15" s="43" t="s">
        <v>599</v>
      </c>
      <c r="P15" s="43" t="s">
        <v>600</v>
      </c>
      <c r="Q15" s="44" t="s">
        <v>601</v>
      </c>
      <c r="R15" s="21" t="s">
        <v>602</v>
      </c>
      <c r="S15" s="21" t="s">
        <v>603</v>
      </c>
      <c r="T15" s="21" t="s">
        <v>604</v>
      </c>
      <c r="U15" s="21" t="s">
        <v>605</v>
      </c>
      <c r="V15" s="21" t="s">
        <v>606</v>
      </c>
      <c r="W15" s="21" t="s">
        <v>607</v>
      </c>
      <c r="X15" s="21" t="s">
        <v>608</v>
      </c>
      <c r="Y15" s="32" t="s">
        <v>609</v>
      </c>
      <c r="Z15" s="32" t="s">
        <v>610</v>
      </c>
    </row>
    <row r="16" spans="1:26" x14ac:dyDescent="0.25">
      <c r="A16" s="45">
        <f>Комплектация!A5</f>
        <v>77223766</v>
      </c>
      <c r="B16" s="46" t="str">
        <f>Комплектация!C5</f>
        <v>15-5103-7П</v>
      </c>
      <c r="C16" s="46">
        <f>Комплектация!E5</f>
        <v>2011</v>
      </c>
      <c r="D16" s="46">
        <f t="shared" ref="D16:D47" si="0">MAX(0,YEAR($B$5)-C16)</f>
        <v>15</v>
      </c>
      <c r="E16" s="47">
        <f t="shared" ref="E16:E47" si="1">MIN(100,D16/$B$6*100)</f>
        <v>46.875</v>
      </c>
      <c r="F16" s="48" t="str">
        <f>TEXT(Комплектация!V5,"0")&amp;"/"&amp;TEXT(Комплектация!AF5,"0")&amp;"/"&amp;TEXT(Комплектация!AP5,"0")&amp;"/"&amp;TEXT(Комплектация!AZ5,"0")</f>
        <v>2005/2012/2017/2018</v>
      </c>
      <c r="G16" s="49">
        <f>AVERAGE(Комплектация!V5,Комплектация!AF5,Комплектация!AP5,Комплектация!AZ5)</f>
        <v>2013</v>
      </c>
      <c r="H16" s="49">
        <f t="shared" ref="H16:H47" si="2">MAX(0,YEAR($B$5)-G16)</f>
        <v>13</v>
      </c>
      <c r="I16" s="49">
        <f>AVERAGE(Комплектация!AA5:'Комплектация'!AB5,Комплектация!AK5:'Комплектация'!AL5,Комплектация!AU5:'Комплектация'!AV5,Комплектация!BE5:'Комплектация'!BF5)</f>
        <v>72.75</v>
      </c>
      <c r="J16" s="49">
        <f>MIN(Комплектация!AA5:'Комплектация'!AB5,Комплектация!AK5:'Комплектация'!AL5,Комплектация!AU5:'Комплектация'!AV5,Комплектация!BE5:'Комплектация'!BF5)</f>
        <v>71</v>
      </c>
      <c r="K16" s="47">
        <f t="shared" ref="K16:K47" si="3">MAX(0,MIN(100,($B$7-J16)/($B$7-$B$8)*100))</f>
        <v>0</v>
      </c>
      <c r="L16" s="47">
        <f t="shared" ref="L16:L47" si="4">MAX(0,MIN(100,H16/$B$9*100))</f>
        <v>43.333333333333336</v>
      </c>
      <c r="M16" s="47">
        <f t="shared" ref="M16:M47" si="5">MAX(K16,X16/4*100)*$B$10+L16*$B$11</f>
        <v>13</v>
      </c>
      <c r="N16" s="47">
        <f t="shared" ref="N16:N47" si="6">MIN(100,E16*$B$12+M16*$B$13+V16)</f>
        <v>31.214872262773724</v>
      </c>
      <c r="O16" s="47">
        <f t="shared" ref="O16:O47" si="7">100-N16</f>
        <v>68.785127737226276</v>
      </c>
      <c r="P16" s="50"/>
      <c r="Q16" s="51" t="str">
        <f t="shared" ref="Q16:Q47" si="8">IF(P16="","",P16*O16/100)</f>
        <v/>
      </c>
      <c r="R16" s="22" t="str">
        <f>IF(Комплектация!G5="",Комплектация!I5,IF(Комплектация!I5="",Комплектация!G5,IF(DATE(VALUE(RIGHT(Комплектация!G5,4)),VALUE(MID(Комплектация!G5,4,2)),VALUE(LEFT(Комплектация!G5,2)))&gt;=DATE(VALUE(RIGHT(Комплектация!I5,4)),VALUE(MID(Комплектация!I5,4,2)),VALUE(LEFT(Комплектация!I5,2))),Комплектация!G5,Комплектация!I5)))</f>
        <v>18.03.2026</v>
      </c>
      <c r="S16" s="22" t="str">
        <f>Комплектация!L5</f>
        <v>18.03.2029</v>
      </c>
      <c r="T16" s="24">
        <f t="shared" ref="T16:T47" si="9">IF(S16="","",MAX(0,(DATE(VALUE(RIGHT(S16,4)),VALUE(MID(S16,4,2)),VALUE(LEFT(S16,2)))-$B$5)/365.25))</f>
        <v>2.6173853524982889</v>
      </c>
      <c r="U16" s="26">
        <f t="shared" ref="U16:U47" si="10">IF(OR(R16="",S16=""),"",MAX(0,MIN(100,($B$5-DATE(VALUE(RIGHT(R16,4)),VALUE(MID(R16,4,2)),VALUE(LEFT(R16,2))))/(DATE(VALUE(RIGHT(S16,4)),VALUE(MID(S16,4,2)),VALUE(LEFT(S16,2)))-DATE(VALUE(RIGHT(R16,4)),VALUE(MID(R16,4,2)),VALUE(LEFT(R16,2))))*100)))</f>
        <v>12.773722627737227</v>
      </c>
      <c r="V16" s="26">
        <f>IF(U16="","",U16*Справочник!$B$7/100)</f>
        <v>1.2773722627737227</v>
      </c>
      <c r="W16" s="24">
        <f>J16-Справочник!$B$4</f>
        <v>56</v>
      </c>
      <c r="X16" s="28">
        <f>IF(MIN(Комплектация!AA5:'Комплектация'!AB5)-Справочник!$B$4&lt;Справочник!$B$3,1,0)+IF(MIN(Комплектация!AK5:'Комплектация'!AL5)-Справочник!$B$4&lt;Справочник!$B$3,1,0)+IF(MIN(Комплектация!AU5:'Комплектация'!AV5)-Справочник!$B$4&lt;Справочник!$B$3,1,0)+IF(MIN(Комплектация!BE5:'Комплектация'!BF5)-Справочник!$B$4&lt;Справочник!$B$3,1,0)</f>
        <v>0</v>
      </c>
      <c r="Y16" s="33">
        <f>Справочник!$B$8</f>
        <v>4650000</v>
      </c>
      <c r="Z16" s="33">
        <f t="shared" ref="Z16:Z47" si="11">Y16*O16/100</f>
        <v>3198508.4397810223</v>
      </c>
    </row>
    <row r="17" spans="1:26" x14ac:dyDescent="0.25">
      <c r="A17" s="52">
        <f>Комплектация!A6</f>
        <v>77206126</v>
      </c>
      <c r="B17" s="53" t="str">
        <f>Комплектация!C6</f>
        <v>15-1755П</v>
      </c>
      <c r="C17" s="53">
        <f>Комплектация!E6</f>
        <v>2013</v>
      </c>
      <c r="D17" s="53">
        <f t="shared" si="0"/>
        <v>13</v>
      </c>
      <c r="E17" s="54">
        <f t="shared" si="1"/>
        <v>40.625</v>
      </c>
      <c r="F17" s="55" t="str">
        <f>TEXT(Комплектация!V6,"0")&amp;"/"&amp;TEXT(Комплектация!AF6,"0")&amp;"/"&amp;TEXT(Комплектация!AP6,"0")&amp;"/"&amp;TEXT(Комплектация!AZ6,"0")</f>
        <v>2014/2019/2008/1990</v>
      </c>
      <c r="G17" s="56">
        <f>AVERAGE(Комплектация!V6,Комплектация!AF6,Комплектация!AP6,Комплектация!AZ6)</f>
        <v>2007.75</v>
      </c>
      <c r="H17" s="56">
        <f t="shared" si="2"/>
        <v>18.25</v>
      </c>
      <c r="I17" s="56">
        <f>AVERAGE(Комплектация!AA6:'Комплектация'!AB6,Комплектация!AK6:'Комплектация'!AL6,Комплектация!AU6:'Комплектация'!AV6,Комплектация!BE6:'Комплектация'!BF6)</f>
        <v>72.5</v>
      </c>
      <c r="J17" s="56">
        <f>MIN(Комплектация!AA6:'Комплектация'!AB6,Комплектация!AK6:'Комплектация'!AL6,Комплектация!AU6:'Комплектация'!AV6,Комплектация!BE6:'Комплектация'!BF6)</f>
        <v>72</v>
      </c>
      <c r="K17" s="54">
        <f t="shared" si="3"/>
        <v>0</v>
      </c>
      <c r="L17" s="54">
        <f t="shared" si="4"/>
        <v>60.833333333333329</v>
      </c>
      <c r="M17" s="54">
        <f t="shared" si="5"/>
        <v>18.249999999999996</v>
      </c>
      <c r="N17" s="54">
        <f t="shared" si="6"/>
        <v>31.821061643835616</v>
      </c>
      <c r="O17" s="54">
        <f t="shared" si="7"/>
        <v>68.17893835616438</v>
      </c>
      <c r="P17" s="50"/>
      <c r="Q17" s="57" t="str">
        <f t="shared" si="8"/>
        <v/>
      </c>
      <c r="R17" s="23" t="str">
        <f>IF(Комплектация!G6="",Комплектация!I6,IF(Комплектация!I6="",Комплектация!G6,IF(DATE(VALUE(RIGHT(Комплектация!G6,4)),VALUE(MID(Комплектация!G6,4,2)),VALUE(LEFT(Комплектация!G6,2)))&gt;=DATE(VALUE(RIGHT(Комплектация!I6,4)),VALUE(MID(Комплектация!I6,4,2)),VALUE(LEFT(Комплектация!I6,2))),Комплектация!G6,Комплектация!I6)))</f>
        <v>12.02.2026</v>
      </c>
      <c r="S17" s="23" t="str">
        <f>Комплектация!L6</f>
        <v>12.02.2028</v>
      </c>
      <c r="T17" s="25">
        <f t="shared" si="9"/>
        <v>1.5222450376454484</v>
      </c>
      <c r="U17" s="27">
        <f t="shared" si="10"/>
        <v>23.835616438356162</v>
      </c>
      <c r="V17" s="27">
        <f>IF(U17="","",U17*Справочник!$B$7/100)</f>
        <v>2.3835616438356162</v>
      </c>
      <c r="W17" s="25">
        <f>J17-Справочник!$B$4</f>
        <v>57</v>
      </c>
      <c r="X17" s="29">
        <f>IF(MIN(Комплектация!AA6:'Комплектация'!AB6)-Справочник!$B$4&lt;Справочник!$B$3,1,0)+IF(MIN(Комплектация!AK6:'Комплектация'!AL6)-Справочник!$B$4&lt;Справочник!$B$3,1,0)+IF(MIN(Комплектация!AU6:'Комплектация'!AV6)-Справочник!$B$4&lt;Справочник!$B$3,1,0)+IF(MIN(Комплектация!BE6:'Комплектация'!BF6)-Справочник!$B$4&lt;Справочник!$B$3,1,0)</f>
        <v>0</v>
      </c>
      <c r="Y17" s="34">
        <f>Справочник!$B$8</f>
        <v>4650000</v>
      </c>
      <c r="Z17" s="34">
        <f t="shared" si="11"/>
        <v>3170320.6335616438</v>
      </c>
    </row>
    <row r="18" spans="1:26" x14ac:dyDescent="0.25">
      <c r="A18" s="45">
        <f>Комплектация!A7</f>
        <v>77205912</v>
      </c>
      <c r="B18" s="46" t="str">
        <f>Комплектация!C7</f>
        <v>15-1755П</v>
      </c>
      <c r="C18" s="46">
        <f>Комплектация!E7</f>
        <v>2013</v>
      </c>
      <c r="D18" s="46">
        <f t="shared" si="0"/>
        <v>13</v>
      </c>
      <c r="E18" s="47">
        <f t="shared" si="1"/>
        <v>40.625</v>
      </c>
      <c r="F18" s="48" t="str">
        <f>TEXT(Комплектация!V7,"0")&amp;"/"&amp;TEXT(Комплектация!AF7,"0")&amp;"/"&amp;TEXT(Комплектация!AP7,"0")&amp;"/"&amp;TEXT(Комплектация!AZ7,"0")</f>
        <v>2013/2012/2013/2013</v>
      </c>
      <c r="G18" s="49">
        <f>AVERAGE(Комплектация!V7,Комплектация!AF7,Комплектация!AP7,Комплектация!AZ7)</f>
        <v>2012.75</v>
      </c>
      <c r="H18" s="49">
        <f t="shared" si="2"/>
        <v>13.25</v>
      </c>
      <c r="I18" s="49">
        <f>AVERAGE(Комплектация!AA7:'Комплектация'!AB7,Комплектация!AK7:'Комплектация'!AL7,Комплектация!AU7:'Комплектация'!AV7,Комплектация!BE7:'Комплектация'!BF7)</f>
        <v>36.25</v>
      </c>
      <c r="J18" s="49">
        <f>MIN(Комплектация!AA7:'Комплектация'!AB7,Комплектация!AK7:'Комплектация'!AL7,Комплектация!AU7:'Комплектация'!AV7,Комплектация!BE7:'Комплектация'!BF7)</f>
        <v>32</v>
      </c>
      <c r="K18" s="47">
        <f t="shared" si="3"/>
        <v>78.260869565217391</v>
      </c>
      <c r="L18" s="47">
        <f t="shared" si="4"/>
        <v>44.166666666666664</v>
      </c>
      <c r="M18" s="47">
        <f t="shared" si="5"/>
        <v>83.25</v>
      </c>
      <c r="N18" s="47">
        <f t="shared" si="6"/>
        <v>64.32106164383562</v>
      </c>
      <c r="O18" s="47">
        <f t="shared" si="7"/>
        <v>35.67893835616438</v>
      </c>
      <c r="P18" s="50"/>
      <c r="Q18" s="51" t="str">
        <f t="shared" si="8"/>
        <v/>
      </c>
      <c r="R18" s="22" t="str">
        <f>IF(Комплектация!G7="",Комплектация!I7,IF(Комплектация!I7="",Комплектация!G7,IF(DATE(VALUE(RIGHT(Комплектация!G7,4)),VALUE(MID(Комплектация!G7,4,2)),VALUE(LEFT(Комплектация!G7,2)))&gt;=DATE(VALUE(RIGHT(Комплектация!I7,4)),VALUE(MID(Комплектация!I7,4,2)),VALUE(LEFT(Комплектация!I7,2))),Комплектация!G7,Комплектация!I7)))</f>
        <v>12.02.2026</v>
      </c>
      <c r="S18" s="22" t="str">
        <f>Комплектация!L7</f>
        <v>12.02.2028</v>
      </c>
      <c r="T18" s="24">
        <f t="shared" si="9"/>
        <v>1.5222450376454484</v>
      </c>
      <c r="U18" s="26">
        <f t="shared" si="10"/>
        <v>23.835616438356162</v>
      </c>
      <c r="V18" s="26">
        <f>IF(U18="","",U18*Справочник!$B$7/100)</f>
        <v>2.3835616438356162</v>
      </c>
      <c r="W18" s="24">
        <f>J18-Справочник!$B$4</f>
        <v>17</v>
      </c>
      <c r="X18" s="28">
        <f>IF(MIN(Комплектация!AA7:'Комплектация'!AB7)-Справочник!$B$4&lt;Справочник!$B$3,1,0)+IF(MIN(Комплектация!AK7:'Комплектация'!AL7)-Справочник!$B$4&lt;Справочник!$B$3,1,0)+IF(MIN(Комплектация!AU7:'Комплектация'!AV7)-Справочник!$B$4&lt;Справочник!$B$3,1,0)+IF(MIN(Комплектация!BE7:'Комплектация'!BF7)-Справочник!$B$4&lt;Справочник!$B$3,1,0)</f>
        <v>4</v>
      </c>
      <c r="Y18" s="33">
        <f>Справочник!$B$8</f>
        <v>4650000</v>
      </c>
      <c r="Z18" s="33">
        <f>Y18*O18/100</f>
        <v>1659070.6335616438</v>
      </c>
    </row>
    <row r="19" spans="1:26" x14ac:dyDescent="0.25">
      <c r="A19" s="52">
        <f>Комплектация!A8</f>
        <v>77206159</v>
      </c>
      <c r="B19" s="53" t="str">
        <f>Комплектация!C8</f>
        <v>15-1755П</v>
      </c>
      <c r="C19" s="53">
        <f>Комплектация!E8</f>
        <v>2013</v>
      </c>
      <c r="D19" s="53">
        <f t="shared" si="0"/>
        <v>13</v>
      </c>
      <c r="E19" s="54">
        <f t="shared" si="1"/>
        <v>40.625</v>
      </c>
      <c r="F19" s="55" t="str">
        <f>TEXT(Комплектация!V8,"0")&amp;"/"&amp;TEXT(Комплектация!AF8,"0")&amp;"/"&amp;TEXT(Комплектация!AP8,"0")&amp;"/"&amp;TEXT(Комплектация!AZ8,"0")</f>
        <v>2011/2010/2010/2008</v>
      </c>
      <c r="G19" s="56">
        <f>AVERAGE(Комплектация!V8,Комплектация!AF8,Комплектация!AP8,Комплектация!AZ8)</f>
        <v>2009.75</v>
      </c>
      <c r="H19" s="56">
        <f t="shared" si="2"/>
        <v>16.25</v>
      </c>
      <c r="I19" s="56">
        <f>AVERAGE(Комплектация!AA8:'Комплектация'!AB8,Комплектация!AK8:'Комплектация'!AL8,Комплектация!AU8:'Комплектация'!AV8,Комплектация!BE8:'Комплектация'!BF8)</f>
        <v>72.75</v>
      </c>
      <c r="J19" s="56">
        <f>MIN(Комплектация!AA8:'Комплектация'!AB8,Комплектация!AK8:'Комплектация'!AL8,Комплектация!AU8:'Комплектация'!AV8,Комплектация!BE8:'Комплектация'!BF8)</f>
        <v>66</v>
      </c>
      <c r="K19" s="54">
        <f t="shared" si="3"/>
        <v>0</v>
      </c>
      <c r="L19" s="54">
        <f t="shared" si="4"/>
        <v>54.166666666666664</v>
      </c>
      <c r="M19" s="54">
        <f t="shared" si="5"/>
        <v>16.25</v>
      </c>
      <c r="N19" s="54">
        <f t="shared" si="6"/>
        <v>30.821061643835616</v>
      </c>
      <c r="O19" s="54">
        <f t="shared" si="7"/>
        <v>69.17893835616438</v>
      </c>
      <c r="P19" s="50"/>
      <c r="Q19" s="57" t="str">
        <f t="shared" si="8"/>
        <v/>
      </c>
      <c r="R19" s="23" t="str">
        <f>IF(Комплектация!G8="",Комплектация!I8,IF(Комплектация!I8="",Комплектация!G8,IF(DATE(VALUE(RIGHT(Комплектация!G8,4)),VALUE(MID(Комплектация!G8,4,2)),VALUE(LEFT(Комплектация!G8,2)))&gt;=DATE(VALUE(RIGHT(Комплектация!I8,4)),VALUE(MID(Комплектация!I8,4,2)),VALUE(LEFT(Комплектация!I8,2))),Комплектация!G8,Комплектация!I8)))</f>
        <v>12.02.2026</v>
      </c>
      <c r="S19" s="23" t="str">
        <f>Комплектация!L8</f>
        <v>12.02.2028</v>
      </c>
      <c r="T19" s="25">
        <f t="shared" si="9"/>
        <v>1.5222450376454484</v>
      </c>
      <c r="U19" s="27">
        <f t="shared" si="10"/>
        <v>23.835616438356162</v>
      </c>
      <c r="V19" s="27">
        <f>IF(U19="","",U19*Справочник!$B$7/100)</f>
        <v>2.3835616438356162</v>
      </c>
      <c r="W19" s="25">
        <f>J19-Справочник!$B$4</f>
        <v>51</v>
      </c>
      <c r="X19" s="29">
        <f>IF(MIN(Комплектация!AA8:'Комплектация'!AB8)-Справочник!$B$4&lt;Справочник!$B$3,1,0)+IF(MIN(Комплектация!AK8:'Комплектация'!AL8)-Справочник!$B$4&lt;Справочник!$B$3,1,0)+IF(MIN(Комплектация!AU8:'Комплектация'!AV8)-Справочник!$B$4&lt;Справочник!$B$3,1,0)+IF(MIN(Комплектация!BE8:'Комплектация'!BF8)-Справочник!$B$4&lt;Справочник!$B$3,1,0)</f>
        <v>0</v>
      </c>
      <c r="Y19" s="34">
        <f>Справочник!$B$8</f>
        <v>4650000</v>
      </c>
      <c r="Z19" s="34">
        <f t="shared" si="11"/>
        <v>3216820.6335616438</v>
      </c>
    </row>
    <row r="20" spans="1:26" x14ac:dyDescent="0.25">
      <c r="A20" s="45">
        <f>Комплектация!A9</f>
        <v>77222149</v>
      </c>
      <c r="B20" s="46" t="str">
        <f>Комплектация!C9</f>
        <v>15-1755П</v>
      </c>
      <c r="C20" s="46">
        <f>Комплектация!E9</f>
        <v>2014</v>
      </c>
      <c r="D20" s="46">
        <f t="shared" si="0"/>
        <v>12</v>
      </c>
      <c r="E20" s="47">
        <f t="shared" si="1"/>
        <v>37.5</v>
      </c>
      <c r="F20" s="48" t="str">
        <f>TEXT(Комплектация!V9,"0")&amp;"/"&amp;TEXT(Комплектация!AF9,"0")&amp;"/"&amp;TEXT(Комплектация!AP9,"0")&amp;"/"&amp;TEXT(Комплектация!AZ9,"0")</f>
        <v>2013/2013/2014/2014</v>
      </c>
      <c r="G20" s="49">
        <f>AVERAGE(Комплектация!V9,Комплектация!AF9,Комплектация!AP9,Комплектация!AZ9)</f>
        <v>2013.5</v>
      </c>
      <c r="H20" s="49">
        <f t="shared" si="2"/>
        <v>12.5</v>
      </c>
      <c r="I20" s="49">
        <f>AVERAGE(Комплектация!AA9:'Комплектация'!AB9,Комплектация!AK9:'Комплектация'!AL9,Комплектация!AU9:'Комплектация'!AV9,Комплектация!BE9:'Комплектация'!BF9)</f>
        <v>75</v>
      </c>
      <c r="J20" s="49">
        <f>MIN(Комплектация!AA9:'Комплектация'!AB9,Комплектация!AK9:'Комплектация'!AL9,Комплектация!AU9:'Комплектация'!AV9,Комплектация!BE9:'Комплектация'!BF9)</f>
        <v>75</v>
      </c>
      <c r="K20" s="47">
        <f t="shared" si="3"/>
        <v>0</v>
      </c>
      <c r="L20" s="47">
        <f t="shared" si="4"/>
        <v>41.666666666666671</v>
      </c>
      <c r="M20" s="47">
        <f t="shared" si="5"/>
        <v>12.500000000000002</v>
      </c>
      <c r="N20" s="47">
        <f t="shared" si="6"/>
        <v>31.958904109589042</v>
      </c>
      <c r="O20" s="47">
        <f t="shared" si="7"/>
        <v>68.041095890410958</v>
      </c>
      <c r="P20" s="50"/>
      <c r="Q20" s="51" t="str">
        <f t="shared" si="8"/>
        <v/>
      </c>
      <c r="R20" s="22" t="str">
        <f>IF(Комплектация!G9="",Комплектация!I9,IF(Комплектация!I9="",Комплектация!G9,IF(DATE(VALUE(RIGHT(Комплектация!G9,4)),VALUE(MID(Комплектация!G9,4,2)),VALUE(LEFT(Комплектация!G9,2)))&gt;=DATE(VALUE(RIGHT(Комплектация!I9,4)),VALUE(MID(Комплектация!I9,4,2)),VALUE(LEFT(Комплектация!I9,2))),Комплектация!G9,Комплектация!I9)))</f>
        <v>15.03.2025</v>
      </c>
      <c r="S20" s="22" t="str">
        <f>Комплектация!L9</f>
        <v>15.03.2027</v>
      </c>
      <c r="T20" s="24">
        <f t="shared" si="9"/>
        <v>0.6078028747433265</v>
      </c>
      <c r="U20" s="26">
        <f t="shared" si="10"/>
        <v>69.589041095890408</v>
      </c>
      <c r="V20" s="26">
        <f>IF(U20="","",U20*Справочник!$B$7/100)</f>
        <v>6.9589041095890414</v>
      </c>
      <c r="W20" s="24">
        <f>J20-Справочник!$B$4</f>
        <v>60</v>
      </c>
      <c r="X20" s="28">
        <f>IF(MIN(Комплектация!AA9:'Комплектация'!AB9)-Справочник!$B$4&lt;Справочник!$B$3,1,0)+IF(MIN(Комплектация!AK9:'Комплектация'!AL9)-Справочник!$B$4&lt;Справочник!$B$3,1,0)+IF(MIN(Комплектация!AU9:'Комплектация'!AV9)-Справочник!$B$4&lt;Справочник!$B$3,1,0)+IF(MIN(Комплектация!BE9:'Комплектация'!BF9)-Справочник!$B$4&lt;Справочник!$B$3,1,0)</f>
        <v>0</v>
      </c>
      <c r="Y20" s="33">
        <f>Справочник!$B$8</f>
        <v>4650000</v>
      </c>
      <c r="Z20" s="33">
        <f t="shared" si="11"/>
        <v>3163910.9589041094</v>
      </c>
    </row>
    <row r="21" spans="1:26" x14ac:dyDescent="0.25">
      <c r="A21" s="52">
        <f>Комплектация!A10</f>
        <v>77222214</v>
      </c>
      <c r="B21" s="53" t="str">
        <f>Комплектация!C10</f>
        <v>15-1755П</v>
      </c>
      <c r="C21" s="53">
        <f>Комплектация!E10</f>
        <v>2014</v>
      </c>
      <c r="D21" s="53">
        <f t="shared" si="0"/>
        <v>12</v>
      </c>
      <c r="E21" s="54">
        <f t="shared" si="1"/>
        <v>37.5</v>
      </c>
      <c r="F21" s="55" t="str">
        <f>TEXT(Комплектация!V10,"0")&amp;"/"&amp;TEXT(Комплектация!AF10,"0")&amp;"/"&amp;TEXT(Комплектация!AP10,"0")&amp;"/"&amp;TEXT(Комплектация!AZ10,"0")</f>
        <v>2013/2013/2014/2014</v>
      </c>
      <c r="G21" s="56">
        <f>AVERAGE(Комплектация!V10,Комплектация!AF10,Комплектация!AP10,Комплектация!AZ10)</f>
        <v>2013.5</v>
      </c>
      <c r="H21" s="56">
        <f t="shared" si="2"/>
        <v>12.5</v>
      </c>
      <c r="I21" s="56">
        <f>AVERAGE(Комплектация!AA10:'Комплектация'!AB10,Комплектация!AK10:'Комплектация'!AL10,Комплектация!AU10:'Комплектация'!AV10,Комплектация!BE10:'Комплектация'!BF10)</f>
        <v>75</v>
      </c>
      <c r="J21" s="56">
        <f>MIN(Комплектация!AA10:'Комплектация'!AB10,Комплектация!AK10:'Комплектация'!AL10,Комплектация!AU10:'Комплектация'!AV10,Комплектация!BE10:'Комплектация'!BF10)</f>
        <v>75</v>
      </c>
      <c r="K21" s="54">
        <f t="shared" si="3"/>
        <v>0</v>
      </c>
      <c r="L21" s="54">
        <f t="shared" si="4"/>
        <v>41.666666666666671</v>
      </c>
      <c r="M21" s="54">
        <f t="shared" si="5"/>
        <v>12.500000000000002</v>
      </c>
      <c r="N21" s="54">
        <f t="shared" si="6"/>
        <v>31.698630136986303</v>
      </c>
      <c r="O21" s="54">
        <f t="shared" si="7"/>
        <v>68.30136986301369</v>
      </c>
      <c r="P21" s="50"/>
      <c r="Q21" s="57" t="str">
        <f t="shared" si="8"/>
        <v/>
      </c>
      <c r="R21" s="23" t="str">
        <f>IF(Комплектация!G10="",Комплектация!I10,IF(Комплектация!I10="",Комплектация!G10,IF(DATE(VALUE(RIGHT(Комплектация!G10,4)),VALUE(MID(Комплектация!G10,4,2)),VALUE(LEFT(Комплектация!G10,2)))&gt;=DATE(VALUE(RIGHT(Комплектация!I10,4)),VALUE(MID(Комплектация!I10,4,2)),VALUE(LEFT(Комплектация!I10,2))),Комплектация!G10,Комплектация!I10)))</f>
        <v>03.04.2025</v>
      </c>
      <c r="S21" s="23" t="str">
        <f>Комплектация!L10</f>
        <v>03.04.2027</v>
      </c>
      <c r="T21" s="25">
        <f t="shared" si="9"/>
        <v>0.65982203969883646</v>
      </c>
      <c r="U21" s="27">
        <f t="shared" si="10"/>
        <v>66.986301369863014</v>
      </c>
      <c r="V21" s="27">
        <f>IF(U21="","",U21*Справочник!$B$7/100)</f>
        <v>6.6986301369863011</v>
      </c>
      <c r="W21" s="25">
        <f>J21-Справочник!$B$4</f>
        <v>60</v>
      </c>
      <c r="X21" s="29">
        <f>IF(MIN(Комплектация!AA10:'Комплектация'!AB10)-Справочник!$B$4&lt;Справочник!$B$3,1,0)+IF(MIN(Комплектация!AK10:'Комплектация'!AL10)-Справочник!$B$4&lt;Справочник!$B$3,1,0)+IF(MIN(Комплектация!AU10:'Комплектация'!AV10)-Справочник!$B$4&lt;Справочник!$B$3,1,0)+IF(MIN(Комплектация!BE10:'Комплектация'!BF10)-Справочник!$B$4&lt;Справочник!$B$3,1,0)</f>
        <v>0</v>
      </c>
      <c r="Y21" s="34">
        <f>Справочник!$B$8</f>
        <v>4650000</v>
      </c>
      <c r="Z21" s="34">
        <f t="shared" si="11"/>
        <v>3176013.6986301369</v>
      </c>
    </row>
    <row r="22" spans="1:26" x14ac:dyDescent="0.25">
      <c r="A22" s="45">
        <f>Комплектация!A11</f>
        <v>77206076</v>
      </c>
      <c r="B22" s="46" t="str">
        <f>Комплектация!C11</f>
        <v>15-1755П</v>
      </c>
      <c r="C22" s="46">
        <f>Комплектация!E11</f>
        <v>2013</v>
      </c>
      <c r="D22" s="46">
        <f t="shared" si="0"/>
        <v>13</v>
      </c>
      <c r="E22" s="47">
        <f t="shared" si="1"/>
        <v>40.625</v>
      </c>
      <c r="F22" s="48" t="str">
        <f>TEXT(Комплектация!V11,"0")&amp;"/"&amp;TEXT(Комплектация!AF11,"0")&amp;"/"&amp;TEXT(Комплектация!AP11,"0")&amp;"/"&amp;TEXT(Комплектация!AZ11,"0")</f>
        <v>2005/2013/2007/2010</v>
      </c>
      <c r="G22" s="49">
        <f>AVERAGE(Комплектация!V11,Комплектация!AF11,Комплектация!AP11,Комплектация!AZ11)</f>
        <v>2008.75</v>
      </c>
      <c r="H22" s="49">
        <f t="shared" si="2"/>
        <v>17.25</v>
      </c>
      <c r="I22" s="49">
        <f>AVERAGE(Комплектация!AA11:'Комплектация'!AB11,Комплектация!AK11:'Комплектация'!AL11,Комплектация!AU11:'Комплектация'!AV11,Комплектация!BE11:'Комплектация'!BF11)</f>
        <v>72</v>
      </c>
      <c r="J22" s="49">
        <f>MIN(Комплектация!AA11:'Комплектация'!AB11,Комплектация!AK11:'Комплектация'!AL11,Комплектация!AU11:'Комплектация'!AV11,Комплектация!BE11:'Комплектация'!BF11)</f>
        <v>70</v>
      </c>
      <c r="K22" s="47">
        <f t="shared" si="3"/>
        <v>0</v>
      </c>
      <c r="L22" s="47">
        <f t="shared" si="4"/>
        <v>57.499999999999993</v>
      </c>
      <c r="M22" s="47">
        <f t="shared" si="5"/>
        <v>17.249999999999996</v>
      </c>
      <c r="N22" s="47">
        <f t="shared" si="6"/>
        <v>31.293664383561644</v>
      </c>
      <c r="O22" s="47">
        <f t="shared" si="7"/>
        <v>68.706335616438352</v>
      </c>
      <c r="P22" s="50"/>
      <c r="Q22" s="51" t="str">
        <f t="shared" si="8"/>
        <v/>
      </c>
      <c r="R22" s="22" t="str">
        <f>IF(Комплектация!G11="",Комплектация!I11,IF(Комплектация!I11="",Комплектация!G11,IF(DATE(VALUE(RIGHT(Комплектация!G11,4)),VALUE(MID(Комплектация!G11,4,2)),VALUE(LEFT(Комплектация!G11,2)))&gt;=DATE(VALUE(RIGHT(Комплектация!I11,4)),VALUE(MID(Комплектация!I11,4,2)),VALUE(LEFT(Комплектация!I11,2))),Комплектация!G11,Комплектация!I11)))</f>
        <v>14.02.2026</v>
      </c>
      <c r="S22" s="22" t="str">
        <f>Комплектация!L11</f>
        <v>14.02.2028</v>
      </c>
      <c r="T22" s="24">
        <f t="shared" si="9"/>
        <v>1.5277207392197125</v>
      </c>
      <c r="U22" s="26">
        <f t="shared" si="10"/>
        <v>23.56164383561644</v>
      </c>
      <c r="V22" s="26">
        <f>IF(U22="","",U22*Справочник!$B$7/100)</f>
        <v>2.3561643835616439</v>
      </c>
      <c r="W22" s="24">
        <f>J22-Справочник!$B$4</f>
        <v>55</v>
      </c>
      <c r="X22" s="28">
        <f>IF(MIN(Комплектация!AA11:'Комплектация'!AB11)-Справочник!$B$4&lt;Справочник!$B$3,1,0)+IF(MIN(Комплектация!AK11:'Комплектация'!AL11)-Справочник!$B$4&lt;Справочник!$B$3,1,0)+IF(MIN(Комплектация!AU11:'Комплектация'!AV11)-Справочник!$B$4&lt;Справочник!$B$3,1,0)+IF(MIN(Комплектация!BE11:'Комплектация'!BF11)-Справочник!$B$4&lt;Справочник!$B$3,1,0)</f>
        <v>0</v>
      </c>
      <c r="Y22" s="33">
        <f>Справочник!$B$8</f>
        <v>4650000</v>
      </c>
      <c r="Z22" s="33">
        <f t="shared" si="11"/>
        <v>3194844.6061643832</v>
      </c>
    </row>
    <row r="23" spans="1:26" x14ac:dyDescent="0.25">
      <c r="A23" s="52">
        <f>Комплектация!A12</f>
        <v>77228781</v>
      </c>
      <c r="B23" s="53" t="str">
        <f>Комплектация!C12</f>
        <v>15-5103-7П</v>
      </c>
      <c r="C23" s="53">
        <f>Комплектация!E12</f>
        <v>2015</v>
      </c>
      <c r="D23" s="53">
        <f t="shared" si="0"/>
        <v>11</v>
      </c>
      <c r="E23" s="54">
        <f t="shared" si="1"/>
        <v>34.375</v>
      </c>
      <c r="F23" s="55" t="str">
        <f>TEXT(Комплектация!V12,"0")&amp;"/"&amp;TEXT(Комплектация!AF12,"0")&amp;"/"&amp;TEXT(Комплектация!AP12,"0")&amp;"/"&amp;TEXT(Комплектация!AZ12,"0")</f>
        <v>2010/2014/2014/2013</v>
      </c>
      <c r="G23" s="56">
        <f>AVERAGE(Комплектация!V12,Комплектация!AF12,Комплектация!AP12,Комплектация!AZ12)</f>
        <v>2012.75</v>
      </c>
      <c r="H23" s="56">
        <f t="shared" si="2"/>
        <v>13.25</v>
      </c>
      <c r="I23" s="56">
        <f>AVERAGE(Комплектация!AA12:'Комплектация'!AB12,Комплектация!AK12:'Комплектация'!AL12,Комплектация!AU12:'Комплектация'!AV12,Комплектация!BE12:'Комплектация'!BF12)</f>
        <v>59.125</v>
      </c>
      <c r="J23" s="56">
        <f>MIN(Комплектация!AA12:'Комплектация'!AB12,Комплектация!AK12:'Комплектация'!AL12,Комплектация!AU12:'Комплектация'!AV12,Комплектация!BE12:'Комплектация'!BF12)</f>
        <v>58</v>
      </c>
      <c r="K23" s="54">
        <f t="shared" si="3"/>
        <v>0</v>
      </c>
      <c r="L23" s="54">
        <f t="shared" si="4"/>
        <v>44.166666666666664</v>
      </c>
      <c r="M23" s="54">
        <f t="shared" si="5"/>
        <v>13.249999999999998</v>
      </c>
      <c r="N23" s="54">
        <f t="shared" si="6"/>
        <v>27.005930656934307</v>
      </c>
      <c r="O23" s="54">
        <f t="shared" si="7"/>
        <v>72.994069343065689</v>
      </c>
      <c r="P23" s="50"/>
      <c r="Q23" s="57" t="str">
        <f t="shared" si="8"/>
        <v/>
      </c>
      <c r="R23" s="23" t="str">
        <f>IF(Комплектация!G12="",Комплектация!I12,IF(Комплектация!I12="",Комплектация!G12,IF(DATE(VALUE(RIGHT(Комплектация!G12,4)),VALUE(MID(Комплектация!G12,4,2)),VALUE(LEFT(Комплектация!G12,2)))&gt;=DATE(VALUE(RIGHT(Комплектация!I12,4)),VALUE(MID(Комплектация!I12,4,2)),VALUE(LEFT(Комплектация!I12,2))),Комплектация!G12,Комплектация!I12)))</f>
        <v>20.08.2025</v>
      </c>
      <c r="S23" s="23" t="str">
        <f>Комплектация!L12</f>
        <v>20.08.2028</v>
      </c>
      <c r="T23" s="25">
        <f t="shared" si="9"/>
        <v>2.0424366872005475</v>
      </c>
      <c r="U23" s="27">
        <f t="shared" si="10"/>
        <v>31.934306569343068</v>
      </c>
      <c r="V23" s="27">
        <f>IF(U23="","",U23*Справочник!$B$7/100)</f>
        <v>3.1934306569343067</v>
      </c>
      <c r="W23" s="25">
        <f>J23-Справочник!$B$4</f>
        <v>43</v>
      </c>
      <c r="X23" s="29">
        <f>IF(MIN(Комплектация!AA12:'Комплектация'!AB12)-Справочник!$B$4&lt;Справочник!$B$3,1,0)+IF(MIN(Комплектация!AK12:'Комплектация'!AL12)-Справочник!$B$4&lt;Справочник!$B$3,1,0)+IF(MIN(Комплектация!AU12:'Комплектация'!AV12)-Справочник!$B$4&lt;Справочник!$B$3,1,0)+IF(MIN(Комплектация!BE12:'Комплектация'!BF12)-Справочник!$B$4&lt;Справочник!$B$3,1,0)</f>
        <v>0</v>
      </c>
      <c r="Y23" s="34">
        <f>Справочник!$B$8</f>
        <v>4650000</v>
      </c>
      <c r="Z23" s="34">
        <f t="shared" si="11"/>
        <v>3394224.2244525547</v>
      </c>
    </row>
    <row r="24" spans="1:26" x14ac:dyDescent="0.25">
      <c r="A24" s="45">
        <f>Комплектация!A13</f>
        <v>77221810</v>
      </c>
      <c r="B24" s="46" t="str">
        <f>Комплектация!C13</f>
        <v>15-5103-7П</v>
      </c>
      <c r="C24" s="46">
        <f>Комплектация!E13</f>
        <v>2011</v>
      </c>
      <c r="D24" s="46">
        <f t="shared" si="0"/>
        <v>15</v>
      </c>
      <c r="E24" s="47">
        <f t="shared" si="1"/>
        <v>46.875</v>
      </c>
      <c r="F24" s="48" t="str">
        <f>TEXT(Комплектация!V13,"0")&amp;"/"&amp;TEXT(Комплектация!AF13,"0")&amp;"/"&amp;TEXT(Комплектация!AP13,"0")&amp;"/"&amp;TEXT(Комплектация!AZ13,"0")</f>
        <v>2013/2011/2014/2011</v>
      </c>
      <c r="G24" s="49">
        <f>AVERAGE(Комплектация!V13,Комплектация!AF13,Комплектация!AP13,Комплектация!AZ13)</f>
        <v>2012.25</v>
      </c>
      <c r="H24" s="49">
        <f t="shared" si="2"/>
        <v>13.75</v>
      </c>
      <c r="I24" s="49">
        <f>AVERAGE(Комплектация!AA13:'Комплектация'!AB13,Комплектация!AK13:'Комплектация'!AL13,Комплектация!AU13:'Комплектация'!AV13,Комплектация!BE13:'Комплектация'!BF13)</f>
        <v>72.125</v>
      </c>
      <c r="J24" s="49">
        <f>MIN(Комплектация!AA13:'Комплектация'!AB13,Комплектация!AK13:'Комплектация'!AL13,Комплектация!AU13:'Комплектация'!AV13,Комплектация!BE13:'Комплектация'!BF13)</f>
        <v>70</v>
      </c>
      <c r="K24" s="47">
        <f t="shared" si="3"/>
        <v>0</v>
      </c>
      <c r="L24" s="47">
        <f t="shared" si="4"/>
        <v>45.833333333333329</v>
      </c>
      <c r="M24" s="47">
        <f t="shared" si="5"/>
        <v>13.749999999999998</v>
      </c>
      <c r="N24" s="47">
        <f t="shared" si="6"/>
        <v>33.496806569343065</v>
      </c>
      <c r="O24" s="47">
        <f t="shared" si="7"/>
        <v>66.503193430656935</v>
      </c>
      <c r="P24" s="50"/>
      <c r="Q24" s="51" t="str">
        <f t="shared" si="8"/>
        <v/>
      </c>
      <c r="R24" s="22" t="str">
        <f>IF(Комплектация!G13="",Комплектация!I13,IF(Комплектация!I13="",Комплектация!G13,IF(DATE(VALUE(RIGHT(Комплектация!G13,4)),VALUE(MID(Комплектация!G13,4,2)),VALUE(LEFT(Комплектация!G13,2)))&gt;=DATE(VALUE(RIGHT(Комплектация!I13,4)),VALUE(MID(Комплектация!I13,4,2)),VALUE(LEFT(Комплектация!I13,2))),Комплектация!G13,Комплектация!I13)))</f>
        <v>21.08.2025</v>
      </c>
      <c r="S24" s="22" t="str">
        <f>Комплектация!L13</f>
        <v>21.08.2028</v>
      </c>
      <c r="T24" s="24">
        <f t="shared" si="9"/>
        <v>2.0451745379876796</v>
      </c>
      <c r="U24" s="26">
        <f t="shared" si="10"/>
        <v>31.843065693430656</v>
      </c>
      <c r="V24" s="26">
        <f>IF(U24="","",U24*Справочник!$B$7/100)</f>
        <v>3.1843065693430659</v>
      </c>
      <c r="W24" s="24">
        <f>J24-Справочник!$B$4</f>
        <v>55</v>
      </c>
      <c r="X24" s="28">
        <f>IF(MIN(Комплектация!AA13:'Комплектация'!AB13)-Справочник!$B$4&lt;Справочник!$B$3,1,0)+IF(MIN(Комплектация!AK13:'Комплектация'!AL13)-Справочник!$B$4&lt;Справочник!$B$3,1,0)+IF(MIN(Комплектация!AU13:'Комплектация'!AV13)-Справочник!$B$4&lt;Справочник!$B$3,1,0)+IF(MIN(Комплектация!BE13:'Комплектация'!BF13)-Справочник!$B$4&lt;Справочник!$B$3,1,0)</f>
        <v>0</v>
      </c>
      <c r="Y24" s="33">
        <f>Справочник!$B$8</f>
        <v>4650000</v>
      </c>
      <c r="Z24" s="33">
        <f t="shared" si="11"/>
        <v>3092398.4945255476</v>
      </c>
    </row>
    <row r="25" spans="1:26" x14ac:dyDescent="0.25">
      <c r="A25" s="52">
        <f>Комплектация!A14</f>
        <v>77228724</v>
      </c>
      <c r="B25" s="53" t="str">
        <f>Комплектация!C14</f>
        <v>15-5103-7П</v>
      </c>
      <c r="C25" s="53">
        <f>Комплектация!E14</f>
        <v>2015</v>
      </c>
      <c r="D25" s="53">
        <f t="shared" si="0"/>
        <v>11</v>
      </c>
      <c r="E25" s="54">
        <f t="shared" si="1"/>
        <v>34.375</v>
      </c>
      <c r="F25" s="55" t="str">
        <f>TEXT(Комплектация!V14,"0")&amp;"/"&amp;TEXT(Комплектация!AF14,"0")&amp;"/"&amp;TEXT(Комплектация!AP14,"0")&amp;"/"&amp;TEXT(Комплектация!AZ14,"0")</f>
        <v>2015/2015/2015/2014</v>
      </c>
      <c r="G25" s="56">
        <f>AVERAGE(Комплектация!V14,Комплектация!AF14,Комплектация!AP14,Комплектация!AZ14)</f>
        <v>2014.75</v>
      </c>
      <c r="H25" s="56">
        <f t="shared" si="2"/>
        <v>11.25</v>
      </c>
      <c r="I25" s="56">
        <f>AVERAGE(Комплектация!AA14:'Комплектация'!AB14,Комплектация!AK14:'Комплектация'!AL14,Комплектация!AU14:'Комплектация'!AV14,Комплектация!BE14:'Комплектация'!BF14)</f>
        <v>43.25</v>
      </c>
      <c r="J25" s="56">
        <f>MIN(Комплектация!AA14:'Комплектация'!AB14,Комплектация!AK14:'Комплектация'!AL14,Комплектация!AU14:'Комплектация'!AV14,Комплектация!BE14:'Комплектация'!BF14)</f>
        <v>41</v>
      </c>
      <c r="K25" s="54">
        <f t="shared" si="3"/>
        <v>39.130434782608695</v>
      </c>
      <c r="L25" s="54">
        <f t="shared" si="4"/>
        <v>37.5</v>
      </c>
      <c r="M25" s="54">
        <f t="shared" si="5"/>
        <v>81.25</v>
      </c>
      <c r="N25" s="54">
        <f t="shared" si="6"/>
        <v>61.005930656934304</v>
      </c>
      <c r="O25" s="54">
        <f t="shared" si="7"/>
        <v>38.994069343065696</v>
      </c>
      <c r="P25" s="50"/>
      <c r="Q25" s="57" t="str">
        <f t="shared" si="8"/>
        <v/>
      </c>
      <c r="R25" s="23" t="str">
        <f>IF(Комплектация!G14="",Комплектация!I14,IF(Комплектация!I14="",Комплектация!G14,IF(DATE(VALUE(RIGHT(Комплектация!G14,4)),VALUE(MID(Комплектация!G14,4,2)),VALUE(LEFT(Комплектация!G14,2)))&gt;=DATE(VALUE(RIGHT(Комплектация!I14,4)),VALUE(MID(Комплектация!I14,4,2)),VALUE(LEFT(Комплектация!I14,2))),Комплектация!G14,Комплектация!I14)))</f>
        <v>20.08.2025</v>
      </c>
      <c r="S25" s="23" t="str">
        <f>Комплектация!L14</f>
        <v>20.08.2028</v>
      </c>
      <c r="T25" s="25">
        <f t="shared" si="9"/>
        <v>2.0424366872005475</v>
      </c>
      <c r="U25" s="27">
        <f t="shared" si="10"/>
        <v>31.934306569343068</v>
      </c>
      <c r="V25" s="27">
        <f>IF(U25="","",U25*Справочник!$B$7/100)</f>
        <v>3.1934306569343067</v>
      </c>
      <c r="W25" s="25">
        <f>J25-Справочник!$B$4</f>
        <v>26</v>
      </c>
      <c r="X25" s="29">
        <f>IF(MIN(Комплектация!AA14:'Комплектация'!AB14)-Справочник!$B$4&lt;Справочник!$B$3,1,0)+IF(MIN(Комплектация!AK14:'Комплектация'!AL14)-Справочник!$B$4&lt;Справочник!$B$3,1,0)+IF(MIN(Комплектация!AU14:'Комплектация'!AV14)-Справочник!$B$4&lt;Справочник!$B$3,1,0)+IF(MIN(Комплектация!BE14:'Комплектация'!BF14)-Справочник!$B$4&lt;Справочник!$B$3,1,0)</f>
        <v>4</v>
      </c>
      <c r="Y25" s="34">
        <f>Справочник!$B$8</f>
        <v>4650000</v>
      </c>
      <c r="Z25" s="34">
        <f t="shared" si="11"/>
        <v>1813224.2244525549</v>
      </c>
    </row>
    <row r="26" spans="1:26" x14ac:dyDescent="0.25">
      <c r="A26" s="45">
        <f>Комплектация!A15</f>
        <v>77222040</v>
      </c>
      <c r="B26" s="46" t="str">
        <f>Комплектация!C15</f>
        <v>15-150-04П</v>
      </c>
      <c r="C26" s="46">
        <f>Комплектация!E15</f>
        <v>2011</v>
      </c>
      <c r="D26" s="46">
        <f t="shared" si="0"/>
        <v>15</v>
      </c>
      <c r="E26" s="47">
        <f t="shared" si="1"/>
        <v>46.875</v>
      </c>
      <c r="F26" s="48" t="str">
        <f>TEXT(Комплектация!V15,"0")&amp;"/"&amp;TEXT(Комплектация!AF15,"0")&amp;"/"&amp;TEXT(Комплектация!AP15,"0")&amp;"/"&amp;TEXT(Комплектация!AZ15,"0")</f>
        <v>2013/2011/2013/2014</v>
      </c>
      <c r="G26" s="49">
        <f>AVERAGE(Комплектация!V15,Комплектация!AF15,Комплектация!AP15,Комплектация!AZ15)</f>
        <v>2012.75</v>
      </c>
      <c r="H26" s="49">
        <f t="shared" si="2"/>
        <v>13.25</v>
      </c>
      <c r="I26" s="49">
        <f>AVERAGE(Комплектация!AA15:'Комплектация'!AB15,Комплектация!AK15:'Комплектация'!AL15,Комплектация!AU15:'Комплектация'!AV15,Комплектация!BE15:'Комплектация'!BF15)</f>
        <v>66.25</v>
      </c>
      <c r="J26" s="49">
        <f>MIN(Комплектация!AA15:'Комплектация'!AB15,Комплектация!AK15:'Комплектация'!AL15,Комплектация!AU15:'Комплектация'!AV15,Комплектация!BE15:'Комплектация'!BF15)</f>
        <v>63</v>
      </c>
      <c r="K26" s="47">
        <f t="shared" si="3"/>
        <v>0</v>
      </c>
      <c r="L26" s="47">
        <f t="shared" si="4"/>
        <v>44.166666666666664</v>
      </c>
      <c r="M26" s="47">
        <f t="shared" si="5"/>
        <v>13.249999999999998</v>
      </c>
      <c r="N26" s="47">
        <f t="shared" si="6"/>
        <v>33.237682481751825</v>
      </c>
      <c r="O26" s="47">
        <f t="shared" si="7"/>
        <v>66.762317518248182</v>
      </c>
      <c r="P26" s="50"/>
      <c r="Q26" s="51" t="str">
        <f t="shared" si="8"/>
        <v/>
      </c>
      <c r="R26" s="22" t="str">
        <f>IF(Комплектация!G15="",Комплектация!I15,IF(Комплектация!I15="",Комплектация!G15,IF(DATE(VALUE(RIGHT(Комплектация!G15,4)),VALUE(MID(Комплектация!G15,4,2)),VALUE(LEFT(Комплектация!G15,2)))&gt;=DATE(VALUE(RIGHT(Комплектация!I15,4)),VALUE(MID(Комплектация!I15,4,2)),VALUE(LEFT(Комплектация!I15,2))),Комплектация!G15,Комплектация!I15)))</f>
        <v>22.08.2025</v>
      </c>
      <c r="S26" s="22" t="str">
        <f>Комплектация!L15</f>
        <v>22.08.2028</v>
      </c>
      <c r="T26" s="24">
        <f t="shared" si="9"/>
        <v>2.0479123887748116</v>
      </c>
      <c r="U26" s="26">
        <f t="shared" si="10"/>
        <v>31.751824817518248</v>
      </c>
      <c r="V26" s="26">
        <f>IF(U26="","",U26*Справочник!$B$7/100)</f>
        <v>3.1751824817518246</v>
      </c>
      <c r="W26" s="24">
        <f>J26-Справочник!$B$4</f>
        <v>48</v>
      </c>
      <c r="X26" s="28">
        <f>IF(MIN(Комплектация!AA15:'Комплектация'!AB15)-Справочник!$B$4&lt;Справочник!$B$3,1,0)+IF(MIN(Комплектация!AK15:'Комплектация'!AL15)-Справочник!$B$4&lt;Справочник!$B$3,1,0)+IF(MIN(Комплектация!AU15:'Комплектация'!AV15)-Справочник!$B$4&lt;Справочник!$B$3,1,0)+IF(MIN(Комплектация!BE15:'Комплектация'!BF15)-Справочник!$B$4&lt;Справочник!$B$3,1,0)</f>
        <v>0</v>
      </c>
      <c r="Y26" s="33">
        <f>Справочник!$B$8</f>
        <v>4650000</v>
      </c>
      <c r="Z26" s="33">
        <f t="shared" si="11"/>
        <v>3104447.7645985405</v>
      </c>
    </row>
    <row r="27" spans="1:26" x14ac:dyDescent="0.25">
      <c r="A27" s="52">
        <f>Комплектация!A16</f>
        <v>77227080</v>
      </c>
      <c r="B27" s="53" t="str">
        <f>Комплектация!C16</f>
        <v>15-5103-7П</v>
      </c>
      <c r="C27" s="53">
        <f>Комплектация!E16</f>
        <v>2012</v>
      </c>
      <c r="D27" s="53">
        <f t="shared" si="0"/>
        <v>14</v>
      </c>
      <c r="E27" s="54">
        <f t="shared" si="1"/>
        <v>43.75</v>
      </c>
      <c r="F27" s="55" t="str">
        <f>TEXT(Комплектация!V16,"0")&amp;"/"&amp;TEXT(Комплектация!AF16,"0")&amp;"/"&amp;TEXT(Комплектация!AP16,"0")&amp;"/"&amp;TEXT(Комплектация!AZ16,"0")</f>
        <v>2012/2012/2011/2011</v>
      </c>
      <c r="G27" s="56">
        <f>AVERAGE(Комплектация!V16,Комплектация!AF16,Комплектация!AP16,Комплектация!AZ16)</f>
        <v>2011.5</v>
      </c>
      <c r="H27" s="56">
        <f t="shared" si="2"/>
        <v>14.5</v>
      </c>
      <c r="I27" s="56">
        <f>AVERAGE(Комплектация!AA16:'Комплектация'!AB16,Комплектация!AK16:'Комплектация'!AL16,Комплектация!AU16:'Комплектация'!AV16,Комплектация!BE16:'Комплектация'!BF16)</f>
        <v>71.5</v>
      </c>
      <c r="J27" s="56">
        <f>MIN(Комплектация!AA16:'Комплектация'!AB16,Комплектация!AK16:'Комплектация'!AL16,Комплектация!AU16:'Комплектация'!AV16,Комплектация!BE16:'Комплектация'!BF16)</f>
        <v>71</v>
      </c>
      <c r="K27" s="54">
        <f t="shared" si="3"/>
        <v>0</v>
      </c>
      <c r="L27" s="54">
        <f t="shared" si="4"/>
        <v>48.333333333333336</v>
      </c>
      <c r="M27" s="54">
        <f t="shared" si="5"/>
        <v>14.5</v>
      </c>
      <c r="N27" s="54">
        <f t="shared" si="6"/>
        <v>32.008211678832119</v>
      </c>
      <c r="O27" s="54">
        <f t="shared" si="7"/>
        <v>67.991788321167888</v>
      </c>
      <c r="P27" s="50"/>
      <c r="Q27" s="57" t="str">
        <f t="shared" si="8"/>
        <v/>
      </c>
      <c r="R27" s="23" t="str">
        <f>IF(Комплектация!G16="",Комплектация!I16,IF(Комплектация!I16="",Комплектация!G16,IF(DATE(VALUE(RIGHT(Комплектация!G16,4)),VALUE(MID(Комплектация!G16,4,2)),VALUE(LEFT(Комплектация!G16,2)))&gt;=DATE(VALUE(RIGHT(Комплектация!I16,4)),VALUE(MID(Комплектация!I16,4,2)),VALUE(LEFT(Комплектация!I16,2))),Комплектация!G16,Комплектация!I16)))</f>
        <v>23.09.2025</v>
      </c>
      <c r="S27" s="23" t="str">
        <f>Комплектация!L16</f>
        <v>23.09.2028</v>
      </c>
      <c r="T27" s="25">
        <f t="shared" si="9"/>
        <v>2.1355236139630391</v>
      </c>
      <c r="U27" s="27">
        <f t="shared" si="10"/>
        <v>28.832116788321166</v>
      </c>
      <c r="V27" s="27">
        <f>IF(U27="","",U27*Справочник!$B$7/100)</f>
        <v>2.8832116788321169</v>
      </c>
      <c r="W27" s="25">
        <f>J27-Справочник!$B$4</f>
        <v>56</v>
      </c>
      <c r="X27" s="29">
        <f>IF(MIN(Комплектация!AA16:'Комплектация'!AB16)-Справочник!$B$4&lt;Справочник!$B$3,1,0)+IF(MIN(Комплектация!AK16:'Комплектация'!AL16)-Справочник!$B$4&lt;Справочник!$B$3,1,0)+IF(MIN(Комплектация!AU16:'Комплектация'!AV16)-Справочник!$B$4&lt;Справочник!$B$3,1,0)+IF(MIN(Комплектация!BE16:'Комплектация'!BF16)-Справочник!$B$4&lt;Справочник!$B$3,1,0)</f>
        <v>0</v>
      </c>
      <c r="Y27" s="34">
        <f>Справочник!$B$8</f>
        <v>4650000</v>
      </c>
      <c r="Z27" s="34">
        <f t="shared" si="11"/>
        <v>3161618.1569343065</v>
      </c>
    </row>
    <row r="28" spans="1:26" x14ac:dyDescent="0.25">
      <c r="A28" s="45">
        <f>Комплектация!A17</f>
        <v>77228773</v>
      </c>
      <c r="B28" s="46" t="str">
        <f>Комплектация!C17</f>
        <v>15-5103-7П</v>
      </c>
      <c r="C28" s="46">
        <f>Комплектация!E17</f>
        <v>2015</v>
      </c>
      <c r="D28" s="46">
        <f t="shared" si="0"/>
        <v>11</v>
      </c>
      <c r="E28" s="47">
        <f t="shared" si="1"/>
        <v>34.375</v>
      </c>
      <c r="F28" s="48" t="str">
        <f>TEXT(Комплектация!V17,"0")&amp;"/"&amp;TEXT(Комплектация!AF17,"0")&amp;"/"&amp;TEXT(Комплектация!AP17,"0")&amp;"/"&amp;TEXT(Комплектация!AZ17,"0")</f>
        <v>2011/2006/1990/2006</v>
      </c>
      <c r="G28" s="49">
        <f>AVERAGE(Комплектация!V17,Комплектация!AF17,Комплектация!AP17,Комплектация!AZ17)</f>
        <v>2003.25</v>
      </c>
      <c r="H28" s="49">
        <f t="shared" si="2"/>
        <v>22.75</v>
      </c>
      <c r="I28" s="49">
        <f>AVERAGE(Комплектация!AA17:'Комплектация'!AB17,Комплектация!AK17:'Комплектация'!AL17,Комплектация!AU17:'Комплектация'!AV17,Комплектация!BE17:'Комплектация'!BF17)</f>
        <v>55.75</v>
      </c>
      <c r="J28" s="49">
        <f>MIN(Комплектация!AA17:'Комплектация'!AB17,Комплектация!AK17:'Комплектация'!AL17,Комплектация!AU17:'Комплектация'!AV17,Комплектация!BE17:'Комплектация'!BF17)</f>
        <v>51</v>
      </c>
      <c r="K28" s="47">
        <f t="shared" si="3"/>
        <v>0</v>
      </c>
      <c r="L28" s="47">
        <f t="shared" si="4"/>
        <v>75.833333333333329</v>
      </c>
      <c r="M28" s="47">
        <f t="shared" si="5"/>
        <v>22.749999999999996</v>
      </c>
      <c r="N28" s="47">
        <f t="shared" si="6"/>
        <v>31.719434306569344</v>
      </c>
      <c r="O28" s="47">
        <f t="shared" si="7"/>
        <v>68.28056569343066</v>
      </c>
      <c r="P28" s="50"/>
      <c r="Q28" s="51" t="str">
        <f t="shared" si="8"/>
        <v/>
      </c>
      <c r="R28" s="22" t="str">
        <f>IF(Комплектация!G17="",Комплектация!I17,IF(Комплектация!I17="",Комплектация!G17,IF(DATE(VALUE(RIGHT(Комплектация!G17,4)),VALUE(MID(Комплектация!G17,4,2)),VALUE(LEFT(Комплектация!G17,2)))&gt;=DATE(VALUE(RIGHT(Комплектация!I17,4)),VALUE(MID(Комплектация!I17,4,2)),VALUE(LEFT(Комплектация!I17,2))),Комплектация!G17,Комплектация!I17)))</f>
        <v>24.08.2025</v>
      </c>
      <c r="S28" s="22" t="str">
        <f>Комплектация!L17</f>
        <v>24.08.2028</v>
      </c>
      <c r="T28" s="24">
        <f t="shared" si="9"/>
        <v>2.0533880903490758</v>
      </c>
      <c r="U28" s="26">
        <f t="shared" si="10"/>
        <v>31.569343065693428</v>
      </c>
      <c r="V28" s="26">
        <f>IF(U28="","",U28*Справочник!$B$7/100)</f>
        <v>3.1569343065693425</v>
      </c>
      <c r="W28" s="24">
        <f>J28-Справочник!$B$4</f>
        <v>36</v>
      </c>
      <c r="X28" s="28">
        <f>IF(MIN(Комплектация!AA17:'Комплектация'!AB17)-Справочник!$B$4&lt;Справочник!$B$3,1,0)+IF(MIN(Комплектация!AK17:'Комплектация'!AL17)-Справочник!$B$4&lt;Справочник!$B$3,1,0)+IF(MIN(Комплектация!AU17:'Комплектация'!AV17)-Справочник!$B$4&lt;Справочник!$B$3,1,0)+IF(MIN(Комплектация!BE17:'Комплектация'!BF17)-Справочник!$B$4&lt;Справочник!$B$3,1,0)</f>
        <v>0</v>
      </c>
      <c r="Y28" s="33">
        <f>Справочник!$B$8</f>
        <v>4650000</v>
      </c>
      <c r="Z28" s="33">
        <f t="shared" si="11"/>
        <v>3175046.3047445253</v>
      </c>
    </row>
    <row r="29" spans="1:26" x14ac:dyDescent="0.25">
      <c r="A29" s="52">
        <f>Комплектация!A18</f>
        <v>77221950</v>
      </c>
      <c r="B29" s="53" t="str">
        <f>Комплектация!C18</f>
        <v>15-150-04П</v>
      </c>
      <c r="C29" s="53">
        <f>Комплектация!E18</f>
        <v>2012</v>
      </c>
      <c r="D29" s="53">
        <f t="shared" si="0"/>
        <v>14</v>
      </c>
      <c r="E29" s="54">
        <f t="shared" si="1"/>
        <v>43.75</v>
      </c>
      <c r="F29" s="55" t="str">
        <f>TEXT(Комплектация!V18,"0")&amp;"/"&amp;TEXT(Комплектация!AF18,"0")&amp;"/"&amp;TEXT(Комплектация!AP18,"0")&amp;"/"&amp;TEXT(Комплектация!AZ18,"0")</f>
        <v>2007/1992/2012/2012</v>
      </c>
      <c r="G29" s="56">
        <f>AVERAGE(Комплектация!V18,Комплектация!AF18,Комплектация!AP18,Комплектация!AZ18)</f>
        <v>2005.75</v>
      </c>
      <c r="H29" s="56">
        <f t="shared" si="2"/>
        <v>20.25</v>
      </c>
      <c r="I29" s="56">
        <f>AVERAGE(Комплектация!AA18:'Комплектация'!AB18,Комплектация!AK18:'Комплектация'!AL18,Комплектация!AU18:'Комплектация'!AV18,Комплектация!BE18:'Комплектация'!BF18)</f>
        <v>73.625</v>
      </c>
      <c r="J29" s="56">
        <f>MIN(Комплектация!AA18:'Комплектация'!AB18,Комплектация!AK18:'Комплектация'!AL18,Комплектация!AU18:'Комплектация'!AV18,Комплектация!BE18:'Комплектация'!BF18)</f>
        <v>73</v>
      </c>
      <c r="K29" s="54">
        <f t="shared" si="3"/>
        <v>0</v>
      </c>
      <c r="L29" s="54">
        <f t="shared" si="4"/>
        <v>67.5</v>
      </c>
      <c r="M29" s="54">
        <f t="shared" si="5"/>
        <v>20.25</v>
      </c>
      <c r="N29" s="54">
        <f t="shared" si="6"/>
        <v>35.184306569343065</v>
      </c>
      <c r="O29" s="54">
        <f t="shared" si="7"/>
        <v>64.815693430656935</v>
      </c>
      <c r="P29" s="50"/>
      <c r="Q29" s="57" t="str">
        <f t="shared" si="8"/>
        <v/>
      </c>
      <c r="R29" s="23" t="str">
        <f>IF(Комплектация!G18="",Комплектация!I18,IF(Комплектация!I18="",Комплектация!G18,IF(DATE(VALUE(RIGHT(Комплектация!G18,4)),VALUE(MID(Комплектация!G18,4,2)),VALUE(LEFT(Комплектация!G18,2)))&gt;=DATE(VALUE(RIGHT(Комплектация!I18,4)),VALUE(MID(Комплектация!I18,4,2)),VALUE(LEFT(Комплектация!I18,2))),Комплектация!G18,Комплектация!I18)))</f>
        <v>21.08.2025</v>
      </c>
      <c r="S29" s="23" t="str">
        <f>Комплектация!L18</f>
        <v>21.08.2028</v>
      </c>
      <c r="T29" s="25">
        <f t="shared" si="9"/>
        <v>2.0451745379876796</v>
      </c>
      <c r="U29" s="27">
        <f t="shared" si="10"/>
        <v>31.843065693430656</v>
      </c>
      <c r="V29" s="27">
        <f>IF(U29="","",U29*Справочник!$B$7/100)</f>
        <v>3.1843065693430659</v>
      </c>
      <c r="W29" s="25">
        <f>J29-Справочник!$B$4</f>
        <v>58</v>
      </c>
      <c r="X29" s="29">
        <f>IF(MIN(Комплектация!AA18:'Комплектация'!AB18)-Справочник!$B$4&lt;Справочник!$B$3,1,0)+IF(MIN(Комплектация!AK18:'Комплектация'!AL18)-Справочник!$B$4&lt;Справочник!$B$3,1,0)+IF(MIN(Комплектация!AU18:'Комплектация'!AV18)-Справочник!$B$4&lt;Справочник!$B$3,1,0)+IF(MIN(Комплектация!BE18:'Комплектация'!BF18)-Справочник!$B$4&lt;Справочник!$B$3,1,0)</f>
        <v>0</v>
      </c>
      <c r="Y29" s="34">
        <f>Справочник!$B$8</f>
        <v>4650000</v>
      </c>
      <c r="Z29" s="34">
        <f t="shared" si="11"/>
        <v>3013929.7445255476</v>
      </c>
    </row>
    <row r="30" spans="1:26" x14ac:dyDescent="0.25">
      <c r="A30" s="45">
        <f>Комплектация!A19</f>
        <v>77205664</v>
      </c>
      <c r="B30" s="46" t="str">
        <f>Комплектация!C19</f>
        <v>15-1755П</v>
      </c>
      <c r="C30" s="46">
        <f>Комплектация!E19</f>
        <v>2013</v>
      </c>
      <c r="D30" s="46">
        <f t="shared" si="0"/>
        <v>13</v>
      </c>
      <c r="E30" s="47">
        <f t="shared" si="1"/>
        <v>40.625</v>
      </c>
      <c r="F30" s="48" t="str">
        <f>TEXT(Комплектация!V19,"0")&amp;"/"&amp;TEXT(Комплектация!AF19,"0")&amp;"/"&amp;TEXT(Комплектация!AP19,"0")&amp;"/"&amp;TEXT(Комплектация!AZ19,"0")</f>
        <v>2013/2013/2013/2013</v>
      </c>
      <c r="G30" s="49">
        <f>AVERAGE(Комплектация!V19,Комплектация!AF19,Комплектация!AP19,Комплектация!AZ19)</f>
        <v>2013</v>
      </c>
      <c r="H30" s="49">
        <f t="shared" si="2"/>
        <v>13</v>
      </c>
      <c r="I30" s="49">
        <f>AVERAGE(Комплектация!AA19:'Комплектация'!AB19,Комплектация!AK19:'Комплектация'!AL19,Комплектация!AU19:'Комплектация'!AV19,Комплектация!BE19:'Комплектация'!BF19)</f>
        <v>74</v>
      </c>
      <c r="J30" s="49">
        <f>MIN(Комплектация!AA19:'Комплектация'!AB19,Комплектация!AK19:'Комплектация'!AL19,Комплектация!AU19:'Комплектация'!AV19,Комплектация!BE19:'Комплектация'!BF19)</f>
        <v>74</v>
      </c>
      <c r="K30" s="47">
        <f t="shared" si="3"/>
        <v>0</v>
      </c>
      <c r="L30" s="47">
        <f t="shared" si="4"/>
        <v>43.333333333333336</v>
      </c>
      <c r="M30" s="47">
        <f t="shared" si="5"/>
        <v>13</v>
      </c>
      <c r="N30" s="47">
        <f t="shared" si="6"/>
        <v>31.483732876712331</v>
      </c>
      <c r="O30" s="47">
        <f t="shared" si="7"/>
        <v>68.516267123287662</v>
      </c>
      <c r="P30" s="50"/>
      <c r="Q30" s="51" t="str">
        <f t="shared" si="8"/>
        <v/>
      </c>
      <c r="R30" s="22" t="str">
        <f>IF(Комплектация!G19="",Комплектация!I19,IF(Комплектация!I19="",Комплектация!G19,IF(DATE(VALUE(RIGHT(Комплектация!G19,4)),VALUE(MID(Комплектация!G19,4,2)),VALUE(LEFT(Комплектация!G19,2)))&gt;=DATE(VALUE(RIGHT(Комплектация!I19,4)),VALUE(MID(Комплектация!I19,4,2)),VALUE(LEFT(Комплектация!I19,2))),Комплектация!G19,Комплектация!I19)))</f>
        <v>29.08.2025</v>
      </c>
      <c r="S30" s="22" t="str">
        <f>Комплектация!L19</f>
        <v>29.08.2027</v>
      </c>
      <c r="T30" s="24">
        <f t="shared" si="9"/>
        <v>1.0650239561943875</v>
      </c>
      <c r="U30" s="26">
        <f t="shared" si="10"/>
        <v>46.712328767123289</v>
      </c>
      <c r="V30" s="26">
        <f>IF(U30="","",U30*Справочник!$B$7/100)</f>
        <v>4.6712328767123292</v>
      </c>
      <c r="W30" s="24">
        <f>J30-Справочник!$B$4</f>
        <v>59</v>
      </c>
      <c r="X30" s="28">
        <f>IF(MIN(Комплектация!AA19:'Комплектация'!AB19)-Справочник!$B$4&lt;Справочник!$B$3,1,0)+IF(MIN(Комплектация!AK19:'Комплектация'!AL19)-Справочник!$B$4&lt;Справочник!$B$3,1,0)+IF(MIN(Комплектация!AU19:'Комплектация'!AV19)-Справочник!$B$4&lt;Справочник!$B$3,1,0)+IF(MIN(Комплектация!BE19:'Комплектация'!BF19)-Справочник!$B$4&lt;Справочник!$B$3,1,0)</f>
        <v>0</v>
      </c>
      <c r="Y30" s="33">
        <f>Справочник!$B$8</f>
        <v>4650000</v>
      </c>
      <c r="Z30" s="33">
        <f t="shared" si="11"/>
        <v>3186006.4212328764</v>
      </c>
    </row>
    <row r="31" spans="1:26" x14ac:dyDescent="0.25">
      <c r="A31" s="52">
        <f>Комплектация!A20</f>
        <v>77205706</v>
      </c>
      <c r="B31" s="53" t="str">
        <f>Комплектация!C20</f>
        <v>15-1755П</v>
      </c>
      <c r="C31" s="53">
        <f>Комплектация!E20</f>
        <v>2013</v>
      </c>
      <c r="D31" s="53">
        <f t="shared" si="0"/>
        <v>13</v>
      </c>
      <c r="E31" s="54">
        <f t="shared" si="1"/>
        <v>40.625</v>
      </c>
      <c r="F31" s="55" t="str">
        <f>TEXT(Комплектация!V20,"0")&amp;"/"&amp;TEXT(Комплектация!AF20,"0")&amp;"/"&amp;TEXT(Комплектация!AP20,"0")&amp;"/"&amp;TEXT(Комплектация!AZ20,"0")</f>
        <v>2012/2024/2012/2012</v>
      </c>
      <c r="G31" s="56">
        <f>AVERAGE(Комплектация!V20,Комплектация!AF20,Комплектация!AP20,Комплектация!AZ20)</f>
        <v>2015</v>
      </c>
      <c r="H31" s="56">
        <f t="shared" si="2"/>
        <v>11</v>
      </c>
      <c r="I31" s="56">
        <f>AVERAGE(Комплектация!AA20:'Комплектация'!AB20,Комплектация!AK20:'Комплектация'!AL20,Комплектация!AU20:'Комплектация'!AV20,Комплектация!BE20:'Комплектация'!BF20)</f>
        <v>52</v>
      </c>
      <c r="J31" s="56">
        <f>MIN(Комплектация!AA20:'Комплектация'!AB20,Комплектация!AK20:'Комплектация'!AL20,Комплектация!AU20:'Комплектация'!AV20,Комплектация!BE20:'Комплектация'!BF20)</f>
        <v>48</v>
      </c>
      <c r="K31" s="54">
        <f t="shared" si="3"/>
        <v>8.695652173913043</v>
      </c>
      <c r="L31" s="54">
        <f t="shared" si="4"/>
        <v>36.666666666666664</v>
      </c>
      <c r="M31" s="54">
        <f t="shared" si="5"/>
        <v>28.5</v>
      </c>
      <c r="N31" s="54">
        <f t="shared" si="6"/>
        <v>39.124143835616437</v>
      </c>
      <c r="O31" s="54">
        <f t="shared" si="7"/>
        <v>60.875856164383563</v>
      </c>
      <c r="P31" s="50"/>
      <c r="Q31" s="57" t="str">
        <f t="shared" si="8"/>
        <v/>
      </c>
      <c r="R31" s="23" t="str">
        <f>IF(Комплектация!G20="",Комплектация!I20,IF(Комплектация!I20="",Комплектация!G20,IF(DATE(VALUE(RIGHT(Комплектация!G20,4)),VALUE(MID(Комплектация!G20,4,2)),VALUE(LEFT(Комплектация!G20,2)))&gt;=DATE(VALUE(RIGHT(Комплектация!I20,4)),VALUE(MID(Комплектация!I20,4,2)),VALUE(LEFT(Комплектация!I20,2))),Комплектация!G20,Комплектация!I20)))</f>
        <v>06.09.2025</v>
      </c>
      <c r="S31" s="23" t="str">
        <f>Комплектация!L20</f>
        <v>06.09.2027</v>
      </c>
      <c r="T31" s="25">
        <f t="shared" si="9"/>
        <v>1.0869267624914443</v>
      </c>
      <c r="U31" s="27">
        <f t="shared" si="10"/>
        <v>45.616438356164387</v>
      </c>
      <c r="V31" s="27">
        <f>IF(U31="","",U31*Справочник!$B$7/100)</f>
        <v>4.5616438356164393</v>
      </c>
      <c r="W31" s="25">
        <f>J31-Справочник!$B$4</f>
        <v>33</v>
      </c>
      <c r="X31" s="29">
        <f>IF(MIN(Комплектация!AA20:'Комплектация'!AB20)-Справочник!$B$4&lt;Справочник!$B$3,1,0)+IF(MIN(Комплектация!AK20:'Комплектация'!AL20)-Справочник!$B$4&lt;Справочник!$B$3,1,0)+IF(MIN(Комплектация!AU20:'Комплектация'!AV20)-Справочник!$B$4&lt;Справочник!$B$3,1,0)+IF(MIN(Комплектация!BE20:'Комплектация'!BF20)-Справочник!$B$4&lt;Справочник!$B$3,1,0)</f>
        <v>1</v>
      </c>
      <c r="Y31" s="34">
        <f>Справочник!$B$8</f>
        <v>4650000</v>
      </c>
      <c r="Z31" s="34">
        <f t="shared" si="11"/>
        <v>2830727.3116438361</v>
      </c>
    </row>
    <row r="32" spans="1:26" x14ac:dyDescent="0.25">
      <c r="A32" s="45">
        <f>Комплектация!A21</f>
        <v>77205888</v>
      </c>
      <c r="B32" s="46" t="str">
        <f>Комплектация!C21</f>
        <v>15-1755П</v>
      </c>
      <c r="C32" s="46">
        <f>Комплектация!E21</f>
        <v>2013</v>
      </c>
      <c r="D32" s="46">
        <f t="shared" si="0"/>
        <v>13</v>
      </c>
      <c r="E32" s="47">
        <f t="shared" si="1"/>
        <v>40.625</v>
      </c>
      <c r="F32" s="48" t="str">
        <f>TEXT(Комплектация!V21,"0")&amp;"/"&amp;TEXT(Комплектация!AF21,"0")&amp;"/"&amp;TEXT(Комплектация!AP21,"0")&amp;"/"&amp;TEXT(Комплектация!AZ21,"0")</f>
        <v>2013/2013/2013/2013</v>
      </c>
      <c r="G32" s="49">
        <f>AVERAGE(Комплектация!V21,Комплектация!AF21,Комплектация!AP21,Комплектация!AZ21)</f>
        <v>2013</v>
      </c>
      <c r="H32" s="49">
        <f t="shared" si="2"/>
        <v>13</v>
      </c>
      <c r="I32" s="49">
        <f>AVERAGE(Комплектация!AA21:'Комплектация'!AB21,Комплектация!AK21:'Комплектация'!AL21,Комплектация!AU21:'Комплектация'!AV21,Комплектация!BE21:'Комплектация'!BF21)</f>
        <v>61.375</v>
      </c>
      <c r="J32" s="49">
        <f>MIN(Комплектация!AA21:'Комплектация'!AB21,Комплектация!AK21:'Комплектация'!AL21,Комплектация!AU21:'Комплектация'!AV21,Комплектация!BE21:'Комплектация'!BF21)</f>
        <v>59</v>
      </c>
      <c r="K32" s="47">
        <f t="shared" si="3"/>
        <v>0</v>
      </c>
      <c r="L32" s="47">
        <f t="shared" si="4"/>
        <v>43.333333333333336</v>
      </c>
      <c r="M32" s="47">
        <f t="shared" si="5"/>
        <v>13</v>
      </c>
      <c r="N32" s="47">
        <f t="shared" si="6"/>
        <v>31.552226027397261</v>
      </c>
      <c r="O32" s="47">
        <f t="shared" si="7"/>
        <v>68.447773972602732</v>
      </c>
      <c r="P32" s="50"/>
      <c r="Q32" s="51" t="str">
        <f t="shared" si="8"/>
        <v/>
      </c>
      <c r="R32" s="22" t="str">
        <f>IF(Комплектация!G21="",Комплектация!I21,IF(Комплектация!I21="",Комплектация!G21,IF(DATE(VALUE(RIGHT(Комплектация!G21,4)),VALUE(MID(Комплектация!G21,4,2)),VALUE(LEFT(Комплектация!G21,2)))&gt;=DATE(VALUE(RIGHT(Комплектация!I21,4)),VALUE(MID(Комплектация!I21,4,2)),VALUE(LEFT(Комплектация!I21,2))),Комплектация!G21,Комплектация!I21)))</f>
        <v>24.08.2025</v>
      </c>
      <c r="S32" s="22" t="str">
        <f>Комплектация!L21</f>
        <v>24.08.2027</v>
      </c>
      <c r="T32" s="24">
        <f t="shared" si="9"/>
        <v>1.0513347022587269</v>
      </c>
      <c r="U32" s="26">
        <f t="shared" si="10"/>
        <v>47.397260273972606</v>
      </c>
      <c r="V32" s="26">
        <f>IF(U32="","",U32*Справочник!$B$7/100)</f>
        <v>4.7397260273972606</v>
      </c>
      <c r="W32" s="24">
        <f>J32-Справочник!$B$4</f>
        <v>44</v>
      </c>
      <c r="X32" s="28">
        <f>IF(MIN(Комплектация!AA21:'Комплектация'!AB21)-Справочник!$B$4&lt;Справочник!$B$3,1,0)+IF(MIN(Комплектация!AK21:'Комплектация'!AL21)-Справочник!$B$4&lt;Справочник!$B$3,1,0)+IF(MIN(Комплектация!AU21:'Комплектация'!AV21)-Справочник!$B$4&lt;Справочник!$B$3,1,0)+IF(MIN(Комплектация!BE21:'Комплектация'!BF21)-Справочник!$B$4&lt;Справочник!$B$3,1,0)</f>
        <v>0</v>
      </c>
      <c r="Y32" s="33">
        <f>Справочник!$B$8</f>
        <v>4650000</v>
      </c>
      <c r="Z32" s="33">
        <f t="shared" si="11"/>
        <v>3182821.4897260275</v>
      </c>
    </row>
    <row r="33" spans="1:26" x14ac:dyDescent="0.25">
      <c r="A33" s="52">
        <f>Комплектация!A22</f>
        <v>77221919</v>
      </c>
      <c r="B33" s="53" t="str">
        <f>Комплектация!C22</f>
        <v>15-5103-7П</v>
      </c>
      <c r="C33" s="53">
        <f>Комплектация!E22</f>
        <v>2011</v>
      </c>
      <c r="D33" s="53">
        <f t="shared" si="0"/>
        <v>15</v>
      </c>
      <c r="E33" s="54">
        <f t="shared" si="1"/>
        <v>46.875</v>
      </c>
      <c r="F33" s="55" t="str">
        <f>TEXT(Комплектация!V22,"0")&amp;"/"&amp;TEXT(Комплектация!AF22,"0")&amp;"/"&amp;TEXT(Комплектация!AP22,"0")&amp;"/"&amp;TEXT(Комплектация!AZ22,"0")</f>
        <v>2011/2011/2014/2011</v>
      </c>
      <c r="G33" s="56">
        <f>AVERAGE(Комплектация!V22,Комплектация!AF22,Комплектация!AP22,Комплектация!AZ22)</f>
        <v>2011.75</v>
      </c>
      <c r="H33" s="56">
        <f t="shared" si="2"/>
        <v>14.25</v>
      </c>
      <c r="I33" s="56">
        <f>AVERAGE(Комплектация!AA22:'Комплектация'!AB22,Комплектация!AK22:'Комплектация'!AL22,Комплектация!AU22:'Комплектация'!AV22,Комплектация!BE22:'Комплектация'!BF22)</f>
        <v>73.25</v>
      </c>
      <c r="J33" s="56">
        <f>MIN(Комплектация!AA22:'Комплектация'!AB22,Комплектация!AK22:'Комплектация'!AL22,Комплектация!AU22:'Комплектация'!AV22,Комплектация!BE22:'Комплектация'!BF22)</f>
        <v>73</v>
      </c>
      <c r="K33" s="54">
        <f t="shared" si="3"/>
        <v>0</v>
      </c>
      <c r="L33" s="54">
        <f t="shared" si="4"/>
        <v>47.5</v>
      </c>
      <c r="M33" s="54">
        <f t="shared" si="5"/>
        <v>14.25</v>
      </c>
      <c r="N33" s="54">
        <f t="shared" si="6"/>
        <v>35.576198630136986</v>
      </c>
      <c r="O33" s="54">
        <f t="shared" si="7"/>
        <v>64.423801369863014</v>
      </c>
      <c r="P33" s="50"/>
      <c r="Q33" s="57" t="str">
        <f t="shared" si="8"/>
        <v/>
      </c>
      <c r="R33" s="23" t="str">
        <f>IF(Комплектация!G22="",Комплектация!I22,IF(Комплектация!I22="",Комплектация!G22,IF(DATE(VALUE(RIGHT(Комплектация!G22,4)),VALUE(MID(Комплектация!G22,4,2)),VALUE(LEFT(Комплектация!G22,2)))&gt;=DATE(VALUE(RIGHT(Комплектация!I22,4)),VALUE(MID(Комплектация!I22,4,2)),VALUE(LEFT(Комплектация!I22,2))),Комплектация!G22,Комплектация!I22)))</f>
        <v>02.02.2025</v>
      </c>
      <c r="S33" s="23" t="str">
        <f>Комплектация!L22</f>
        <v>02.02.2028</v>
      </c>
      <c r="T33" s="25">
        <f t="shared" si="9"/>
        <v>1.4948665297741273</v>
      </c>
      <c r="U33" s="27">
        <f t="shared" si="10"/>
        <v>50.136986301369866</v>
      </c>
      <c r="V33" s="27">
        <f>IF(U33="","",U33*Справочник!$B$7/100)</f>
        <v>5.0136986301369868</v>
      </c>
      <c r="W33" s="25">
        <f>J33-Справочник!$B$4</f>
        <v>58</v>
      </c>
      <c r="X33" s="29">
        <f>IF(MIN(Комплектация!AA22:'Комплектация'!AB22)-Справочник!$B$4&lt;Справочник!$B$3,1,0)+IF(MIN(Комплектация!AK22:'Комплектация'!AL22)-Справочник!$B$4&lt;Справочник!$B$3,1,0)+IF(MIN(Комплектация!AU22:'Комплектация'!AV22)-Справочник!$B$4&lt;Справочник!$B$3,1,0)+IF(MIN(Комплектация!BE22:'Комплектация'!BF22)-Справочник!$B$4&lt;Справочник!$B$3,1,0)</f>
        <v>0</v>
      </c>
      <c r="Y33" s="34">
        <f>Справочник!$B$8</f>
        <v>4650000</v>
      </c>
      <c r="Z33" s="34">
        <f t="shared" si="11"/>
        <v>2995706.7636986305</v>
      </c>
    </row>
    <row r="34" spans="1:26" x14ac:dyDescent="0.25">
      <c r="A34" s="45">
        <f>Комплектация!A23</f>
        <v>77221844</v>
      </c>
      <c r="B34" s="46" t="str">
        <f>Комплектация!C23</f>
        <v>15-150-04П</v>
      </c>
      <c r="C34" s="46">
        <f>Комплектация!E23</f>
        <v>2011</v>
      </c>
      <c r="D34" s="46">
        <f t="shared" si="0"/>
        <v>15</v>
      </c>
      <c r="E34" s="47">
        <f t="shared" si="1"/>
        <v>46.875</v>
      </c>
      <c r="F34" s="48" t="str">
        <f>TEXT(Комплектация!V23,"0")&amp;"/"&amp;TEXT(Комплектация!AF23,"0")&amp;"/"&amp;TEXT(Комплектация!AP23,"0")&amp;"/"&amp;TEXT(Комплектация!AZ23,"0")</f>
        <v>2013/2011/2011/2011</v>
      </c>
      <c r="G34" s="49">
        <f>AVERAGE(Комплектация!V23,Комплектация!AF23,Комплектация!AP23,Комплектация!AZ23)</f>
        <v>2011.5</v>
      </c>
      <c r="H34" s="49">
        <f t="shared" si="2"/>
        <v>14.5</v>
      </c>
      <c r="I34" s="49">
        <f>AVERAGE(Комплектация!AA23:'Комплектация'!AB23,Комплектация!AK23:'Комплектация'!AL23,Комплектация!AU23:'Комплектация'!AV23,Комплектация!BE23:'Комплектация'!BF23)</f>
        <v>72.75</v>
      </c>
      <c r="J34" s="49">
        <f>MIN(Комплектация!AA23:'Комплектация'!AB23,Комплектация!AK23:'Комплектация'!AL23,Комплектация!AU23:'Комплектация'!AV23,Комплектация!BE23:'Комплектация'!BF23)</f>
        <v>72</v>
      </c>
      <c r="K34" s="47">
        <f t="shared" si="3"/>
        <v>0</v>
      </c>
      <c r="L34" s="47">
        <f t="shared" si="4"/>
        <v>48.333333333333336</v>
      </c>
      <c r="M34" s="47">
        <f t="shared" si="5"/>
        <v>14.5</v>
      </c>
      <c r="N34" s="47">
        <f t="shared" si="6"/>
        <v>31.891879562043794</v>
      </c>
      <c r="O34" s="47">
        <f t="shared" si="7"/>
        <v>68.108120437956202</v>
      </c>
      <c r="P34" s="50"/>
      <c r="Q34" s="51" t="str">
        <f t="shared" si="8"/>
        <v/>
      </c>
      <c r="R34" s="22" t="str">
        <f>IF(Комплектация!G23="",Комплектация!I23,IF(Комплектация!I23="",Комплектация!G23,IF(DATE(VALUE(RIGHT(Комплектация!G23,4)),VALUE(MID(Комплектация!G23,4,2)),VALUE(LEFT(Комплектация!G23,2)))&gt;=DATE(VALUE(RIGHT(Комплектация!I23,4)),VALUE(MID(Комплектация!I23,4,2)),VALUE(LEFT(Комплектация!I23,2))),Комплектация!G23,Комплектация!I23)))</f>
        <v>26.03.2026</v>
      </c>
      <c r="S34" s="22" t="str">
        <f>Комплектация!L23</f>
        <v>26.03.2029</v>
      </c>
      <c r="T34" s="24">
        <f t="shared" si="9"/>
        <v>2.6392881587953458</v>
      </c>
      <c r="U34" s="26">
        <f t="shared" si="10"/>
        <v>12.043795620437956</v>
      </c>
      <c r="V34" s="26">
        <f>IF(U34="","",U34*Справочник!$B$7/100)</f>
        <v>1.2043795620437956</v>
      </c>
      <c r="W34" s="24">
        <f>J34-Справочник!$B$4</f>
        <v>57</v>
      </c>
      <c r="X34" s="28">
        <f>IF(MIN(Комплектация!AA23:'Комплектация'!AB23)-Справочник!$B$4&lt;Справочник!$B$3,1,0)+IF(MIN(Комплектация!AK23:'Комплектация'!AL23)-Справочник!$B$4&lt;Справочник!$B$3,1,0)+IF(MIN(Комплектация!AU23:'Комплектация'!AV23)-Справочник!$B$4&lt;Справочник!$B$3,1,0)+IF(MIN(Комплектация!BE23:'Комплектация'!BF23)-Справочник!$B$4&lt;Справочник!$B$3,1,0)</f>
        <v>0</v>
      </c>
      <c r="Y34" s="33">
        <f>Справочник!$B$8</f>
        <v>4650000</v>
      </c>
      <c r="Z34" s="33">
        <f t="shared" si="11"/>
        <v>3167027.6003649635</v>
      </c>
    </row>
    <row r="35" spans="1:26" x14ac:dyDescent="0.25">
      <c r="A35" s="52">
        <f>Комплектация!A24</f>
        <v>75183491</v>
      </c>
      <c r="B35" s="53" t="str">
        <f>Комплектация!C24</f>
        <v>15-1219-1П</v>
      </c>
      <c r="C35" s="53">
        <f>Комплектация!E24</f>
        <v>2020</v>
      </c>
      <c r="D35" s="53">
        <f t="shared" si="0"/>
        <v>6</v>
      </c>
      <c r="E35" s="54">
        <f t="shared" si="1"/>
        <v>18.75</v>
      </c>
      <c r="F35" s="55" t="str">
        <f>TEXT(Комплектация!V24,"0")&amp;"/"&amp;TEXT(Комплектация!AF24,"0")&amp;"/"&amp;TEXT(Комплектация!AP24,"0")&amp;"/"&amp;TEXT(Комплектация!AZ24,"0")</f>
        <v>2020/2020/2020/2020</v>
      </c>
      <c r="G35" s="56">
        <f>AVERAGE(Комплектация!V24,Комплектация!AF24,Комплектация!AP24,Комплектация!AZ24)</f>
        <v>2020</v>
      </c>
      <c r="H35" s="56">
        <f t="shared" si="2"/>
        <v>6</v>
      </c>
      <c r="I35" s="56">
        <f>AVERAGE(Комплектация!AA24:'Комплектация'!AB24,Комплектация!AK24:'Комплектация'!AL24,Комплектация!AU24:'Комплектация'!AV24,Комплектация!BE24:'Комплектация'!BF24)</f>
        <v>50.25</v>
      </c>
      <c r="J35" s="56">
        <f>MIN(Комплектация!AA24:'Комплектация'!AB24,Комплектация!AK24:'Комплектация'!AL24,Комплектация!AU24:'Комплектация'!AV24,Комплектация!BE24:'Комплектация'!BF24)</f>
        <v>43</v>
      </c>
      <c r="K35" s="54">
        <f t="shared" si="3"/>
        <v>30.434782608695656</v>
      </c>
      <c r="L35" s="54">
        <f t="shared" si="4"/>
        <v>20</v>
      </c>
      <c r="M35" s="54">
        <f t="shared" si="5"/>
        <v>27.304347826086957</v>
      </c>
      <c r="N35" s="54">
        <f t="shared" si="6"/>
        <v>26.849091721262653</v>
      </c>
      <c r="O35" s="54">
        <f t="shared" si="7"/>
        <v>73.150908278737347</v>
      </c>
      <c r="P35" s="50"/>
      <c r="Q35" s="57" t="str">
        <f t="shared" si="8"/>
        <v/>
      </c>
      <c r="R35" s="23" t="str">
        <f>IF(Комплектация!G24="",Комплектация!I24,IF(Комплектация!I24="",Комплектация!G24,IF(DATE(VALUE(RIGHT(Комплектация!G24,4)),VALUE(MID(Комплектация!G24,4,2)),VALUE(LEFT(Комплектация!G24,2)))&gt;=DATE(VALUE(RIGHT(Комплектация!I24,4)),VALUE(MID(Комплектация!I24,4,2)),VALUE(LEFT(Комплектация!I24,2))),Комплектация!G24,Комплектация!I24)))</f>
        <v>30.10.2025</v>
      </c>
      <c r="S35" s="23" t="str">
        <f>Комплектация!L24</f>
        <v>30.10.2027</v>
      </c>
      <c r="T35" s="25">
        <f t="shared" si="9"/>
        <v>1.2347707049965777</v>
      </c>
      <c r="U35" s="27">
        <f t="shared" si="10"/>
        <v>38.219178082191782</v>
      </c>
      <c r="V35" s="27">
        <f>IF(U35="","",U35*Справочник!$B$7/100)</f>
        <v>3.8219178082191778</v>
      </c>
      <c r="W35" s="25">
        <f>J35-Справочник!$B$4</f>
        <v>28</v>
      </c>
      <c r="X35" s="29">
        <f>IF(MIN(Комплектация!AA24:'Комплектация'!AB24)-Справочник!$B$4&lt;Справочник!$B$3,1,0)+IF(MIN(Комплектация!AK24:'Комплектация'!AL24)-Справочник!$B$4&lt;Справочник!$B$3,1,0)+IF(MIN(Комплектация!AU24:'Комплектация'!AV24)-Справочник!$B$4&lt;Справочник!$B$3,1,0)+IF(MIN(Комплектация!BE24:'Комплектация'!BF24)-Справочник!$B$4&lt;Справочник!$B$3,1,0)</f>
        <v>1</v>
      </c>
      <c r="Y35" s="34">
        <f>Справочник!$B$8</f>
        <v>4650000</v>
      </c>
      <c r="Z35" s="34">
        <f t="shared" si="11"/>
        <v>3401517.2349612867</v>
      </c>
    </row>
    <row r="36" spans="1:26" x14ac:dyDescent="0.25">
      <c r="A36" s="45">
        <f>Комплектация!A25</f>
        <v>75184093</v>
      </c>
      <c r="B36" s="46" t="str">
        <f>Комплектация!C25</f>
        <v>15-1219-1П</v>
      </c>
      <c r="C36" s="46">
        <f>Комплектация!E25</f>
        <v>2020</v>
      </c>
      <c r="D36" s="46">
        <f t="shared" si="0"/>
        <v>6</v>
      </c>
      <c r="E36" s="47">
        <f t="shared" si="1"/>
        <v>18.75</v>
      </c>
      <c r="F36" s="48" t="str">
        <f>TEXT(Комплектация!V25,"0")&amp;"/"&amp;TEXT(Комплектация!AF25,"0")&amp;"/"&amp;TEXT(Комплектация!AP25,"0")&amp;"/"&amp;TEXT(Комплектация!AZ25,"0")</f>
        <v>2020/2020/2020/2020</v>
      </c>
      <c r="G36" s="49">
        <f>AVERAGE(Комплектация!V25,Комплектация!AF25,Комплектация!AP25,Комплектация!AZ25)</f>
        <v>2020</v>
      </c>
      <c r="H36" s="49">
        <f t="shared" si="2"/>
        <v>6</v>
      </c>
      <c r="I36" s="49">
        <f>AVERAGE(Комплектация!AA25:'Комплектация'!AB25,Комплектация!AK25:'Комплектация'!AL25,Комплектация!AU25:'Комплектация'!AV25,Комплектация!BE25:'Комплектация'!BF25)</f>
        <v>59.25</v>
      </c>
      <c r="J36" s="49">
        <f>MIN(Комплектация!AA25:'Комплектация'!AB25,Комплектация!AK25:'Комплектация'!AL25,Комплектация!AU25:'Комплектация'!AV25,Комплектация!BE25:'Комплектация'!BF25)</f>
        <v>54</v>
      </c>
      <c r="K36" s="47">
        <f t="shared" si="3"/>
        <v>0</v>
      </c>
      <c r="L36" s="47">
        <f t="shared" si="4"/>
        <v>20</v>
      </c>
      <c r="M36" s="47">
        <f t="shared" si="5"/>
        <v>6</v>
      </c>
      <c r="N36" s="47">
        <f t="shared" si="6"/>
        <v>16.347602739726028</v>
      </c>
      <c r="O36" s="47">
        <f t="shared" si="7"/>
        <v>83.652397260273972</v>
      </c>
      <c r="P36" s="50"/>
      <c r="Q36" s="51" t="str">
        <f t="shared" si="8"/>
        <v/>
      </c>
      <c r="R36" s="22" t="str">
        <f>IF(Комплектация!G25="",Комплектация!I25,IF(Комплектация!I25="",Комплектация!G25,IF(DATE(VALUE(RIGHT(Комплектация!G25,4)),VALUE(MID(Комплектация!G25,4,2)),VALUE(LEFT(Комплектация!G25,2)))&gt;=DATE(VALUE(RIGHT(Комплектация!I25,4)),VALUE(MID(Комплектация!I25,4,2)),VALUE(LEFT(Комплектация!I25,2))),Комплектация!G25,Комплектация!I25)))</f>
        <v>19.10.2025</v>
      </c>
      <c r="S36" s="22" t="str">
        <f>Комплектация!L25</f>
        <v>19.10.2027</v>
      </c>
      <c r="T36" s="24">
        <f t="shared" si="9"/>
        <v>1.2046543463381245</v>
      </c>
      <c r="U36" s="26">
        <f t="shared" si="10"/>
        <v>39.726027397260275</v>
      </c>
      <c r="V36" s="26">
        <f>IF(U36="","",U36*Справочник!$B$7/100)</f>
        <v>3.9726027397260277</v>
      </c>
      <c r="W36" s="24">
        <f>J36-Справочник!$B$4</f>
        <v>39</v>
      </c>
      <c r="X36" s="28">
        <f>IF(MIN(Комплектация!AA25:'Комплектация'!AB25)-Справочник!$B$4&lt;Справочник!$B$3,1,0)+IF(MIN(Комплектация!AK25:'Комплектация'!AL25)-Справочник!$B$4&lt;Справочник!$B$3,1,0)+IF(MIN(Комплектация!AU25:'Комплектация'!AV25)-Справочник!$B$4&lt;Справочник!$B$3,1,0)+IF(MIN(Комплектация!BE25:'Комплектация'!BF25)-Справочник!$B$4&lt;Справочник!$B$3,1,0)</f>
        <v>0</v>
      </c>
      <c r="Y36" s="33">
        <f>Справочник!$B$8</f>
        <v>4650000</v>
      </c>
      <c r="Z36" s="33">
        <f t="shared" si="11"/>
        <v>3889836.4726027399</v>
      </c>
    </row>
    <row r="37" spans="1:26" x14ac:dyDescent="0.25">
      <c r="A37" s="52">
        <f>Комплектация!A26</f>
        <v>75184598</v>
      </c>
      <c r="B37" s="53" t="str">
        <f>Комплектация!C26</f>
        <v>15-1219-1П</v>
      </c>
      <c r="C37" s="53">
        <f>Комплектация!E26</f>
        <v>2020</v>
      </c>
      <c r="D37" s="53">
        <f t="shared" si="0"/>
        <v>6</v>
      </c>
      <c r="E37" s="54">
        <f t="shared" si="1"/>
        <v>18.75</v>
      </c>
      <c r="F37" s="55" t="str">
        <f>TEXT(Комплектация!V26,"0")&amp;"/"&amp;TEXT(Комплектация!AF26,"0")&amp;"/"&amp;TEXT(Комплектация!AP26,"0")&amp;"/"&amp;TEXT(Комплектация!AZ26,"0")</f>
        <v>2020/2020/2020/2020</v>
      </c>
      <c r="G37" s="56">
        <f>AVERAGE(Комплектация!V26,Комплектация!AF26,Комплектация!AP26,Комплектация!AZ26)</f>
        <v>2020</v>
      </c>
      <c r="H37" s="56">
        <f t="shared" si="2"/>
        <v>6</v>
      </c>
      <c r="I37" s="56">
        <f>AVERAGE(Комплектация!AA26:'Комплектация'!AB26,Комплектация!AK26:'Комплектация'!AL26,Комплектация!AU26:'Комплектация'!AV26,Комплектация!BE26:'Комплектация'!BF26)</f>
        <v>59.375</v>
      </c>
      <c r="J37" s="56">
        <f>MIN(Комплектация!AA26:'Комплектация'!AB26,Комплектация!AK26:'Комплектация'!AL26,Комплектация!AU26:'Комплектация'!AV26,Комплектация!BE26:'Комплектация'!BF26)</f>
        <v>56</v>
      </c>
      <c r="K37" s="54">
        <f t="shared" si="3"/>
        <v>0</v>
      </c>
      <c r="L37" s="54">
        <f t="shared" si="4"/>
        <v>20</v>
      </c>
      <c r="M37" s="54">
        <f t="shared" si="5"/>
        <v>6</v>
      </c>
      <c r="N37" s="54">
        <f t="shared" si="6"/>
        <v>16.717465753424658</v>
      </c>
      <c r="O37" s="54">
        <f t="shared" si="7"/>
        <v>83.282534246575338</v>
      </c>
      <c r="P37" s="50"/>
      <c r="Q37" s="57" t="str">
        <f t="shared" si="8"/>
        <v/>
      </c>
      <c r="R37" s="23" t="str">
        <f>IF(Комплектация!G26="",Комплектация!I26,IF(Комплектация!I26="",Комплектация!G26,IF(DATE(VALUE(RIGHT(Комплектация!G26,4)),VALUE(MID(Комплектация!G26,4,2)),VALUE(LEFT(Комплектация!G26,2)))&gt;=DATE(VALUE(RIGHT(Комплектация!I26,4)),VALUE(MID(Комплектация!I26,4,2)),VALUE(LEFT(Комплектация!I26,2))),Комплектация!G26,Комплектация!I26)))</f>
        <v>22.09.2025</v>
      </c>
      <c r="S37" s="23" t="str">
        <f>Комплектация!L26</f>
        <v>22.09.2027</v>
      </c>
      <c r="T37" s="25">
        <f t="shared" si="9"/>
        <v>1.1307323750855578</v>
      </c>
      <c r="U37" s="27">
        <f t="shared" si="10"/>
        <v>43.424657534246577</v>
      </c>
      <c r="V37" s="27">
        <f>IF(U37="","",U37*Справочник!$B$7/100)</f>
        <v>4.3424657534246585</v>
      </c>
      <c r="W37" s="25">
        <f>J37-Справочник!$B$4</f>
        <v>41</v>
      </c>
      <c r="X37" s="29">
        <f>IF(MIN(Комплектация!AA26:'Комплектация'!AB26)-Справочник!$B$4&lt;Справочник!$B$3,1,0)+IF(MIN(Комплектация!AK26:'Комплектация'!AL26)-Справочник!$B$4&lt;Справочник!$B$3,1,0)+IF(MIN(Комплектация!AU26:'Комплектация'!AV26)-Справочник!$B$4&lt;Справочник!$B$3,1,0)+IF(MIN(Комплектация!BE26:'Комплектация'!BF26)-Справочник!$B$4&lt;Справочник!$B$3,1,0)</f>
        <v>0</v>
      </c>
      <c r="Y37" s="34">
        <f>Справочник!$B$8</f>
        <v>4650000</v>
      </c>
      <c r="Z37" s="34">
        <f t="shared" si="11"/>
        <v>3872637.8424657527</v>
      </c>
    </row>
    <row r="38" spans="1:26" x14ac:dyDescent="0.25">
      <c r="A38" s="45">
        <f>Комплектация!A27</f>
        <v>75186890</v>
      </c>
      <c r="B38" s="46" t="str">
        <f>Комплектация!C27</f>
        <v>15-1219-1П</v>
      </c>
      <c r="C38" s="46">
        <f>Комплектация!E27</f>
        <v>2020</v>
      </c>
      <c r="D38" s="46">
        <f t="shared" si="0"/>
        <v>6</v>
      </c>
      <c r="E38" s="47">
        <f t="shared" si="1"/>
        <v>18.75</v>
      </c>
      <c r="F38" s="48" t="str">
        <f>TEXT(Комплектация!V27,"0")&amp;"/"&amp;TEXT(Комплектация!AF27,"0")&amp;"/"&amp;TEXT(Комплектация!AP27,"0")&amp;"/"&amp;TEXT(Комплектация!AZ27,"0")</f>
        <v>2020/2020/2020/2020</v>
      </c>
      <c r="G38" s="49">
        <f>AVERAGE(Комплектация!V27,Комплектация!AF27,Комплектация!AP27,Комплектация!AZ27)</f>
        <v>2020</v>
      </c>
      <c r="H38" s="49">
        <f t="shared" si="2"/>
        <v>6</v>
      </c>
      <c r="I38" s="49">
        <f>AVERAGE(Комплектация!AA27:'Комплектация'!AB27,Комплектация!AK27:'Комплектация'!AL27,Комплектация!AU27:'Комплектация'!AV27,Комплектация!BE27:'Комплектация'!BF27)</f>
        <v>62.5</v>
      </c>
      <c r="J38" s="49">
        <f>MIN(Комплектация!AA27:'Комплектация'!AB27,Комплектация!AK27:'Комплектация'!AL27,Комплектация!AU27:'Комплектация'!AV27,Комплектация!BE27:'Комплектация'!BF27)</f>
        <v>55</v>
      </c>
      <c r="K38" s="47">
        <f t="shared" si="3"/>
        <v>0</v>
      </c>
      <c r="L38" s="47">
        <f t="shared" si="4"/>
        <v>20</v>
      </c>
      <c r="M38" s="47">
        <f t="shared" si="5"/>
        <v>6</v>
      </c>
      <c r="N38" s="47">
        <f t="shared" si="6"/>
        <v>15.635273972602739</v>
      </c>
      <c r="O38" s="47">
        <f t="shared" si="7"/>
        <v>84.364726027397268</v>
      </c>
      <c r="P38" s="50"/>
      <c r="Q38" s="51" t="str">
        <f t="shared" si="8"/>
        <v/>
      </c>
      <c r="R38" s="22" t="str">
        <f>IF(Комплектация!G27="",Комплектация!I27,IF(Комплектация!I27="",Комплектация!G27,IF(DATE(VALUE(RIGHT(Комплектация!G27,4)),VALUE(MID(Комплектация!G27,4,2)),VALUE(LEFT(Комплектация!G27,2)))&gt;=DATE(VALUE(RIGHT(Комплектация!I27,4)),VALUE(MID(Комплектация!I27,4,2)),VALUE(LEFT(Комплектация!I27,2))),Комплектация!G27,Комплектация!I27)))</f>
        <v>10.12.2025</v>
      </c>
      <c r="S38" s="22" t="str">
        <f>Комплектация!L27</f>
        <v>10.12.2027</v>
      </c>
      <c r="T38" s="24">
        <f t="shared" si="9"/>
        <v>1.3470225872689938</v>
      </c>
      <c r="U38" s="26">
        <f t="shared" si="10"/>
        <v>32.602739726027394</v>
      </c>
      <c r="V38" s="26">
        <f>IF(U38="","",U38*Справочник!$B$7/100)</f>
        <v>3.260273972602739</v>
      </c>
      <c r="W38" s="24">
        <f>J38-Справочник!$B$4</f>
        <v>40</v>
      </c>
      <c r="X38" s="28">
        <f>IF(MIN(Комплектация!AA27:'Комплектация'!AB27)-Справочник!$B$4&lt;Справочник!$B$3,1,0)+IF(MIN(Комплектация!AK27:'Комплектация'!AL27)-Справочник!$B$4&lt;Справочник!$B$3,1,0)+IF(MIN(Комплектация!AU27:'Комплектация'!AV27)-Справочник!$B$4&lt;Справочник!$B$3,1,0)+IF(MIN(Комплектация!BE27:'Комплектация'!BF27)-Справочник!$B$4&lt;Справочник!$B$3,1,0)</f>
        <v>0</v>
      </c>
      <c r="Y38" s="33">
        <f>Справочник!$B$8</f>
        <v>4650000</v>
      </c>
      <c r="Z38" s="33">
        <f t="shared" si="11"/>
        <v>3922959.7602739725</v>
      </c>
    </row>
    <row r="39" spans="1:26" x14ac:dyDescent="0.25">
      <c r="A39" s="52">
        <f>Комплектация!A28</f>
        <v>75186999</v>
      </c>
      <c r="B39" s="53" t="str">
        <f>Комплектация!C28</f>
        <v>15-1219-1П</v>
      </c>
      <c r="C39" s="53">
        <f>Комплектация!E28</f>
        <v>2020</v>
      </c>
      <c r="D39" s="53">
        <f t="shared" si="0"/>
        <v>6</v>
      </c>
      <c r="E39" s="54">
        <f t="shared" si="1"/>
        <v>18.75</v>
      </c>
      <c r="F39" s="55" t="str">
        <f>TEXT(Комплектация!V28,"0")&amp;"/"&amp;TEXT(Комплектация!AF28,"0")&amp;"/"&amp;TEXT(Комплектация!AP28,"0")&amp;"/"&amp;TEXT(Комплектация!AZ28,"0")</f>
        <v>2020/2020/2020/2020</v>
      </c>
      <c r="G39" s="56">
        <f>AVERAGE(Комплектация!V28,Комплектация!AF28,Комплектация!AP28,Комплектация!AZ28)</f>
        <v>2020</v>
      </c>
      <c r="H39" s="56">
        <f t="shared" si="2"/>
        <v>6</v>
      </c>
      <c r="I39" s="56">
        <f>AVERAGE(Комплектация!AA28:'Комплектация'!AB28,Комплектация!AK28:'Комплектация'!AL28,Комплектация!AU28:'Комплектация'!AV28,Комплектация!BE28:'Комплектация'!BF28)</f>
        <v>62.5</v>
      </c>
      <c r="J39" s="56">
        <f>MIN(Комплектация!AA28:'Комплектация'!AB28,Комплектация!AK28:'Комплектация'!AL28,Комплектация!AU28:'Комплектация'!AV28,Комплектация!BE28:'Комплектация'!BF28)</f>
        <v>62</v>
      </c>
      <c r="K39" s="54">
        <f t="shared" si="3"/>
        <v>0</v>
      </c>
      <c r="L39" s="54">
        <f t="shared" si="4"/>
        <v>20</v>
      </c>
      <c r="M39" s="54">
        <f t="shared" si="5"/>
        <v>6</v>
      </c>
      <c r="N39" s="54">
        <f t="shared" si="6"/>
        <v>16.292808219178081</v>
      </c>
      <c r="O39" s="54">
        <f t="shared" si="7"/>
        <v>83.707191780821915</v>
      </c>
      <c r="P39" s="50"/>
      <c r="Q39" s="57" t="str">
        <f t="shared" si="8"/>
        <v/>
      </c>
      <c r="R39" s="23" t="str">
        <f>IF(Комплектация!G28="",Комплектация!I28,IF(Комплектация!I28="",Комплектация!G28,IF(DATE(VALUE(RIGHT(Комплектация!G28,4)),VALUE(MID(Комплектация!G28,4,2)),VALUE(LEFT(Комплектация!G28,2)))&gt;=DATE(VALUE(RIGHT(Комплектация!I28,4)),VALUE(MID(Комплектация!I28,4,2)),VALUE(LEFT(Комплектация!I28,2))),Комплектация!G28,Комплектация!I28)))</f>
        <v>23.10.2025</v>
      </c>
      <c r="S39" s="23" t="str">
        <f>Комплектация!L28</f>
        <v>23.10.2027</v>
      </c>
      <c r="T39" s="25">
        <f t="shared" si="9"/>
        <v>1.215605749486653</v>
      </c>
      <c r="U39" s="27">
        <f t="shared" si="10"/>
        <v>39.178082191780824</v>
      </c>
      <c r="V39" s="27">
        <f>IF(U39="","",U39*Справочник!$B$7/100)</f>
        <v>3.9178082191780823</v>
      </c>
      <c r="W39" s="25">
        <f>J39-Справочник!$B$4</f>
        <v>47</v>
      </c>
      <c r="X39" s="29">
        <f>IF(MIN(Комплектация!AA28:'Комплектация'!AB28)-Справочник!$B$4&lt;Справочник!$B$3,1,0)+IF(MIN(Комплектация!AK28:'Комплектация'!AL28)-Справочник!$B$4&lt;Справочник!$B$3,1,0)+IF(MIN(Комплектация!AU28:'Комплектация'!AV28)-Справочник!$B$4&lt;Справочник!$B$3,1,0)+IF(MIN(Комплектация!BE28:'Комплектация'!BF28)-Справочник!$B$4&lt;Справочник!$B$3,1,0)</f>
        <v>0</v>
      </c>
      <c r="Y39" s="34">
        <f>Справочник!$B$8</f>
        <v>4650000</v>
      </c>
      <c r="Z39" s="34">
        <f t="shared" si="11"/>
        <v>3892384.4178082193</v>
      </c>
    </row>
    <row r="40" spans="1:26" x14ac:dyDescent="0.25">
      <c r="A40" s="45">
        <f>Комплектация!A29</f>
        <v>75187294</v>
      </c>
      <c r="B40" s="46" t="str">
        <f>Комплектация!C29</f>
        <v>15-1219-1П</v>
      </c>
      <c r="C40" s="46">
        <f>Комплектация!E29</f>
        <v>2020</v>
      </c>
      <c r="D40" s="46">
        <f t="shared" si="0"/>
        <v>6</v>
      </c>
      <c r="E40" s="47">
        <f t="shared" si="1"/>
        <v>18.75</v>
      </c>
      <c r="F40" s="48" t="str">
        <f>TEXT(Комплектация!V29,"0")&amp;"/"&amp;TEXT(Комплектация!AF29,"0")&amp;"/"&amp;TEXT(Комплектация!AP29,"0")&amp;"/"&amp;TEXT(Комплектация!AZ29,"0")</f>
        <v>2020/2020/2020/2020</v>
      </c>
      <c r="G40" s="49">
        <f>AVERAGE(Комплектация!V29,Комплектация!AF29,Комплектация!AP29,Комплектация!AZ29)</f>
        <v>2020</v>
      </c>
      <c r="H40" s="49">
        <f t="shared" si="2"/>
        <v>6</v>
      </c>
      <c r="I40" s="49">
        <f>AVERAGE(Комплектация!AA29:'Комплектация'!AB29,Комплектация!AK29:'Комплектация'!AL29,Комплектация!AU29:'Комплектация'!AV29,Комплектация!BE29:'Комплектация'!BF29)</f>
        <v>58.625</v>
      </c>
      <c r="J40" s="49">
        <f>MIN(Комплектация!AA29:'Комплектация'!AB29,Комплектация!AK29:'Комплектация'!AL29,Комплектация!AU29:'Комплектация'!AV29,Комплектация!BE29:'Комплектация'!BF29)</f>
        <v>56</v>
      </c>
      <c r="K40" s="47">
        <f t="shared" si="3"/>
        <v>0</v>
      </c>
      <c r="L40" s="47">
        <f t="shared" si="4"/>
        <v>20</v>
      </c>
      <c r="M40" s="47">
        <f t="shared" si="5"/>
        <v>6</v>
      </c>
      <c r="N40" s="47">
        <f t="shared" si="6"/>
        <v>15.840753424657535</v>
      </c>
      <c r="O40" s="47">
        <f t="shared" si="7"/>
        <v>84.159246575342465</v>
      </c>
      <c r="P40" s="50"/>
      <c r="Q40" s="51" t="str">
        <f t="shared" si="8"/>
        <v/>
      </c>
      <c r="R40" s="22" t="str">
        <f>IF(Комплектация!G29="",Комплектация!I29,IF(Комплектация!I29="",Комплектация!G29,IF(DATE(VALUE(RIGHT(Комплектация!G29,4)),VALUE(MID(Комплектация!G29,4,2)),VALUE(LEFT(Комплектация!G29,2)))&gt;=DATE(VALUE(RIGHT(Комплектация!I29,4)),VALUE(MID(Комплектация!I29,4,2)),VALUE(LEFT(Комплектация!I29,2))),Комплектация!G29,Комплектация!I29)))</f>
        <v>25.11.2025</v>
      </c>
      <c r="S40" s="22" t="str">
        <f>Комплектация!L29</f>
        <v>25.11.2027</v>
      </c>
      <c r="T40" s="24">
        <f t="shared" si="9"/>
        <v>1.3059548254620124</v>
      </c>
      <c r="U40" s="26">
        <f t="shared" si="10"/>
        <v>34.657534246575345</v>
      </c>
      <c r="V40" s="26">
        <f>IF(U40="","",U40*Справочник!$B$7/100)</f>
        <v>3.4657534246575348</v>
      </c>
      <c r="W40" s="24">
        <f>J40-Справочник!$B$4</f>
        <v>41</v>
      </c>
      <c r="X40" s="28">
        <f>IF(MIN(Комплектация!AA29:'Комплектация'!AB29)-Справочник!$B$4&lt;Справочник!$B$3,1,0)+IF(MIN(Комплектация!AK29:'Комплектация'!AL29)-Справочник!$B$4&lt;Справочник!$B$3,1,0)+IF(MIN(Комплектация!AU29:'Комплектация'!AV29)-Справочник!$B$4&lt;Справочник!$B$3,1,0)+IF(MIN(Комплектация!BE29:'Комплектация'!BF29)-Справочник!$B$4&lt;Справочник!$B$3,1,0)</f>
        <v>0</v>
      </c>
      <c r="Y40" s="33">
        <f>Справочник!$B$8</f>
        <v>4650000</v>
      </c>
      <c r="Z40" s="33">
        <f t="shared" si="11"/>
        <v>3913404.9657534249</v>
      </c>
    </row>
    <row r="41" spans="1:26" x14ac:dyDescent="0.25">
      <c r="A41" s="52">
        <f>Комплектация!A30</f>
        <v>75187898</v>
      </c>
      <c r="B41" s="53" t="str">
        <f>Комплектация!C30</f>
        <v>15-1219-1П</v>
      </c>
      <c r="C41" s="53">
        <f>Комплектация!E30</f>
        <v>2020</v>
      </c>
      <c r="D41" s="53">
        <f t="shared" si="0"/>
        <v>6</v>
      </c>
      <c r="E41" s="54">
        <f t="shared" si="1"/>
        <v>18.75</v>
      </c>
      <c r="F41" s="55" t="str">
        <f>TEXT(Комплектация!V30,"0")&amp;"/"&amp;TEXT(Комплектация!AF30,"0")&amp;"/"&amp;TEXT(Комплектация!AP30,"0")&amp;"/"&amp;TEXT(Комплектация!AZ30,"0")</f>
        <v>2020/2020/2020/2020</v>
      </c>
      <c r="G41" s="56">
        <f>AVERAGE(Комплектация!V30,Комплектация!AF30,Комплектация!AP30,Комплектация!AZ30)</f>
        <v>2020</v>
      </c>
      <c r="H41" s="56">
        <f t="shared" si="2"/>
        <v>6</v>
      </c>
      <c r="I41" s="56">
        <f>AVERAGE(Комплектация!AA30:'Комплектация'!AB30,Комплектация!AK30:'Комплектация'!AL30,Комплектация!AU30:'Комплектация'!AV30,Комплектация!BE30:'Комплектация'!BF30)</f>
        <v>61.5</v>
      </c>
      <c r="J41" s="56">
        <f>MIN(Комплектация!AA30:'Комплектация'!AB30,Комплектация!AK30:'Комплектация'!AL30,Комплектация!AU30:'Комплектация'!AV30,Комплектация!BE30:'Комплектация'!BF30)</f>
        <v>56</v>
      </c>
      <c r="K41" s="54">
        <f t="shared" si="3"/>
        <v>0</v>
      </c>
      <c r="L41" s="54">
        <f t="shared" si="4"/>
        <v>20</v>
      </c>
      <c r="M41" s="54">
        <f t="shared" si="5"/>
        <v>6</v>
      </c>
      <c r="N41" s="54">
        <f t="shared" si="6"/>
        <v>16.717465753424658</v>
      </c>
      <c r="O41" s="54">
        <f t="shared" si="7"/>
        <v>83.282534246575338</v>
      </c>
      <c r="P41" s="50"/>
      <c r="Q41" s="57" t="str">
        <f t="shared" si="8"/>
        <v/>
      </c>
      <c r="R41" s="23" t="str">
        <f>IF(Комплектация!G30="",Комплектация!I30,IF(Комплектация!I30="",Комплектация!G30,IF(DATE(VALUE(RIGHT(Комплектация!G30,4)),VALUE(MID(Комплектация!G30,4,2)),VALUE(LEFT(Комплектация!G30,2)))&gt;=DATE(VALUE(RIGHT(Комплектация!I30,4)),VALUE(MID(Комплектация!I30,4,2)),VALUE(LEFT(Комплектация!I30,2))),Комплектация!G30,Комплектация!I30)))</f>
        <v>22.09.2025</v>
      </c>
      <c r="S41" s="23" t="str">
        <f>Комплектация!L30</f>
        <v>22.09.2027</v>
      </c>
      <c r="T41" s="25">
        <f t="shared" si="9"/>
        <v>1.1307323750855578</v>
      </c>
      <c r="U41" s="27">
        <f t="shared" si="10"/>
        <v>43.424657534246577</v>
      </c>
      <c r="V41" s="27">
        <f>IF(U41="","",U41*Справочник!$B$7/100)</f>
        <v>4.3424657534246585</v>
      </c>
      <c r="W41" s="25">
        <f>J41-Справочник!$B$4</f>
        <v>41</v>
      </c>
      <c r="X41" s="29">
        <f>IF(MIN(Комплектация!AA30:'Комплектация'!AB30)-Справочник!$B$4&lt;Справочник!$B$3,1,0)+IF(MIN(Комплектация!AK30:'Комплектация'!AL30)-Справочник!$B$4&lt;Справочник!$B$3,1,0)+IF(MIN(Комплектация!AU30:'Комплектация'!AV30)-Справочник!$B$4&lt;Справочник!$B$3,1,0)+IF(MIN(Комплектация!BE30:'Комплектация'!BF30)-Справочник!$B$4&lt;Справочник!$B$3,1,0)</f>
        <v>0</v>
      </c>
      <c r="Y41" s="34">
        <f>Справочник!$B$8</f>
        <v>4650000</v>
      </c>
      <c r="Z41" s="34">
        <f t="shared" si="11"/>
        <v>3872637.8424657527</v>
      </c>
    </row>
    <row r="42" spans="1:26" x14ac:dyDescent="0.25">
      <c r="A42" s="45">
        <f>Комплектация!A31</f>
        <v>75188094</v>
      </c>
      <c r="B42" s="46" t="str">
        <f>Комплектация!C31</f>
        <v>15-1219-1П</v>
      </c>
      <c r="C42" s="46">
        <f>Комплектация!E31</f>
        <v>2020</v>
      </c>
      <c r="D42" s="46">
        <f t="shared" si="0"/>
        <v>6</v>
      </c>
      <c r="E42" s="47">
        <f t="shared" si="1"/>
        <v>18.75</v>
      </c>
      <c r="F42" s="48" t="str">
        <f>TEXT(Комплектация!V31,"0")&amp;"/"&amp;TEXT(Комплектация!AF31,"0")&amp;"/"&amp;TEXT(Комплектация!AP31,"0")&amp;"/"&amp;TEXT(Комплектация!AZ31,"0")</f>
        <v>2020/2020/2020/2020</v>
      </c>
      <c r="G42" s="49">
        <f>AVERAGE(Комплектация!V31,Комплектация!AF31,Комплектация!AP31,Комплектация!AZ31)</f>
        <v>2020</v>
      </c>
      <c r="H42" s="49">
        <f t="shared" si="2"/>
        <v>6</v>
      </c>
      <c r="I42" s="49">
        <f>AVERAGE(Комплектация!AA31:'Комплектация'!AB31,Комплектация!AK31:'Комплектация'!AL31,Комплектация!AU31:'Комплектация'!AV31,Комплектация!BE31:'Комплектация'!BF31)</f>
        <v>62.625</v>
      </c>
      <c r="J42" s="49">
        <f>MIN(Комплектация!AA31:'Комплектация'!AB31,Комплектация!AK31:'Комплектация'!AL31,Комплектация!AU31:'Комплектация'!AV31,Комплектация!BE31:'Комплектация'!BF31)</f>
        <v>61</v>
      </c>
      <c r="K42" s="47">
        <f t="shared" si="3"/>
        <v>0</v>
      </c>
      <c r="L42" s="47">
        <f t="shared" si="4"/>
        <v>20</v>
      </c>
      <c r="M42" s="47">
        <f t="shared" si="5"/>
        <v>6</v>
      </c>
      <c r="N42" s="47">
        <f t="shared" si="6"/>
        <v>15.484589041095891</v>
      </c>
      <c r="O42" s="47">
        <f t="shared" si="7"/>
        <v>84.515410958904113</v>
      </c>
      <c r="P42" s="50"/>
      <c r="Q42" s="51" t="str">
        <f t="shared" si="8"/>
        <v/>
      </c>
      <c r="R42" s="22" t="str">
        <f>IF(Комплектация!G31="",Комплектация!I31,IF(Комплектация!I31="",Комплектация!G31,IF(DATE(VALUE(RIGHT(Комплектация!G31,4)),VALUE(MID(Комплектация!G31,4,2)),VALUE(LEFT(Комплектация!G31,2)))&gt;=DATE(VALUE(RIGHT(Комплектация!I31,4)),VALUE(MID(Комплектация!I31,4,2)),VALUE(LEFT(Комплектация!I31,2))),Комплектация!G31,Комплектация!I31)))</f>
        <v>21.12.2025</v>
      </c>
      <c r="S42" s="22" t="str">
        <f>Комплектация!L31</f>
        <v>21.12.2027</v>
      </c>
      <c r="T42" s="24">
        <f t="shared" si="9"/>
        <v>1.377138945927447</v>
      </c>
      <c r="U42" s="26">
        <f t="shared" si="10"/>
        <v>31.095890410958905</v>
      </c>
      <c r="V42" s="26">
        <f>IF(U42="","",U42*Справочник!$B$7/100)</f>
        <v>3.1095890410958908</v>
      </c>
      <c r="W42" s="24">
        <f>J42-Справочник!$B$4</f>
        <v>46</v>
      </c>
      <c r="X42" s="28">
        <f>IF(MIN(Комплектация!AA31:'Комплектация'!AB31)-Справочник!$B$4&lt;Справочник!$B$3,1,0)+IF(MIN(Комплектация!AK31:'Комплектация'!AL31)-Справочник!$B$4&lt;Справочник!$B$3,1,0)+IF(MIN(Комплектация!AU31:'Комплектация'!AV31)-Справочник!$B$4&lt;Справочник!$B$3,1,0)+IF(MIN(Комплектация!BE31:'Комплектация'!BF31)-Справочник!$B$4&lt;Справочник!$B$3,1,0)</f>
        <v>0</v>
      </c>
      <c r="Y42" s="33">
        <f>Справочник!$B$8</f>
        <v>4650000</v>
      </c>
      <c r="Z42" s="33">
        <f t="shared" si="11"/>
        <v>3929966.6095890417</v>
      </c>
    </row>
    <row r="43" spans="1:26" x14ac:dyDescent="0.25">
      <c r="A43" s="52">
        <f>Комплектация!A32</f>
        <v>75188292</v>
      </c>
      <c r="B43" s="53" t="str">
        <f>Комплектация!C32</f>
        <v>15-1219-1П</v>
      </c>
      <c r="C43" s="53">
        <f>Комплектация!E32</f>
        <v>2020</v>
      </c>
      <c r="D43" s="53">
        <f t="shared" si="0"/>
        <v>6</v>
      </c>
      <c r="E43" s="54">
        <f t="shared" si="1"/>
        <v>18.75</v>
      </c>
      <c r="F43" s="55" t="str">
        <f>TEXT(Комплектация!V32,"0")&amp;"/"&amp;TEXT(Комплектация!AF32,"0")&amp;"/"&amp;TEXT(Комплектация!AP32,"0")&amp;"/"&amp;TEXT(Комплектация!AZ32,"0")</f>
        <v>2020/2020/2020/2020</v>
      </c>
      <c r="G43" s="56">
        <f>AVERAGE(Комплектация!V32,Комплектация!AF32,Комплектация!AP32,Комплектация!AZ32)</f>
        <v>2020</v>
      </c>
      <c r="H43" s="56">
        <f t="shared" si="2"/>
        <v>6</v>
      </c>
      <c r="I43" s="56">
        <f>AVERAGE(Комплектация!AA32:'Комплектация'!AB32,Комплектация!AK32:'Комплектация'!AL32,Комплектация!AU32:'Комплектация'!AV32,Комплектация!BE32:'Комплектация'!BF32)</f>
        <v>60.75</v>
      </c>
      <c r="J43" s="56">
        <f>MIN(Комплектация!AA32:'Комплектация'!AB32,Комплектация!AK32:'Комплектация'!AL32,Комплектация!AU32:'Комплектация'!AV32,Комплектация!BE32:'Комплектация'!BF32)</f>
        <v>59</v>
      </c>
      <c r="K43" s="54">
        <f t="shared" si="3"/>
        <v>0</v>
      </c>
      <c r="L43" s="54">
        <f t="shared" si="4"/>
        <v>20</v>
      </c>
      <c r="M43" s="54">
        <f t="shared" si="5"/>
        <v>6</v>
      </c>
      <c r="N43" s="54">
        <f t="shared" si="6"/>
        <v>16.607876712328768</v>
      </c>
      <c r="O43" s="54">
        <f t="shared" si="7"/>
        <v>83.392123287671239</v>
      </c>
      <c r="P43" s="50"/>
      <c r="Q43" s="57" t="str">
        <f t="shared" si="8"/>
        <v/>
      </c>
      <c r="R43" s="23" t="str">
        <f>IF(Комплектация!G32="",Комплектация!I32,IF(Комплектация!I32="",Комплектация!G32,IF(DATE(VALUE(RIGHT(Комплектация!G32,4)),VALUE(MID(Комплектация!G32,4,2)),VALUE(LEFT(Комплектация!G32,2)))&gt;=DATE(VALUE(RIGHT(Комплектация!I32,4)),VALUE(MID(Комплектация!I32,4,2)),VALUE(LEFT(Комплектация!I32,2))),Комплектация!G32,Комплектация!I32)))</f>
        <v>30.09.2025</v>
      </c>
      <c r="S43" s="23" t="str">
        <f>Комплектация!L32</f>
        <v>30.09.2027</v>
      </c>
      <c r="T43" s="25">
        <f t="shared" si="9"/>
        <v>1.1526351813826146</v>
      </c>
      <c r="U43" s="27">
        <f t="shared" si="10"/>
        <v>42.328767123287669</v>
      </c>
      <c r="V43" s="27">
        <f>IF(U43="","",U43*Справочник!$B$7/100)</f>
        <v>4.2328767123287667</v>
      </c>
      <c r="W43" s="25">
        <f>J43-Справочник!$B$4</f>
        <v>44</v>
      </c>
      <c r="X43" s="29">
        <f>IF(MIN(Комплектация!AA32:'Комплектация'!AB32)-Справочник!$B$4&lt;Справочник!$B$3,1,0)+IF(MIN(Комплектация!AK32:'Комплектация'!AL32)-Справочник!$B$4&lt;Справочник!$B$3,1,0)+IF(MIN(Комплектация!AU32:'Комплектация'!AV32)-Справочник!$B$4&lt;Справочник!$B$3,1,0)+IF(MIN(Комплектация!BE32:'Комплектация'!BF32)-Справочник!$B$4&lt;Справочник!$B$3,1,0)</f>
        <v>0</v>
      </c>
      <c r="Y43" s="34">
        <f>Справочник!$B$8</f>
        <v>4650000</v>
      </c>
      <c r="Z43" s="34">
        <f t="shared" si="11"/>
        <v>3877733.7328767125</v>
      </c>
    </row>
    <row r="44" spans="1:26" x14ac:dyDescent="0.25">
      <c r="A44" s="45">
        <f>Комплектация!A33</f>
        <v>75188599</v>
      </c>
      <c r="B44" s="46" t="str">
        <f>Комплектация!C33</f>
        <v>15-1219-1П</v>
      </c>
      <c r="C44" s="46">
        <f>Комплектация!E33</f>
        <v>2020</v>
      </c>
      <c r="D44" s="46">
        <f t="shared" si="0"/>
        <v>6</v>
      </c>
      <c r="E44" s="47">
        <f t="shared" si="1"/>
        <v>18.75</v>
      </c>
      <c r="F44" s="48" t="str">
        <f>TEXT(Комплектация!V33,"0")&amp;"/"&amp;TEXT(Комплектация!AF33,"0")&amp;"/"&amp;TEXT(Комплектация!AP33,"0")&amp;"/"&amp;TEXT(Комплектация!AZ33,"0")</f>
        <v>2020/2020/2020/2020</v>
      </c>
      <c r="G44" s="49">
        <f>AVERAGE(Комплектация!V33,Комплектация!AF33,Комплектация!AP33,Комплектация!AZ33)</f>
        <v>2020</v>
      </c>
      <c r="H44" s="49">
        <f t="shared" si="2"/>
        <v>6</v>
      </c>
      <c r="I44" s="49">
        <f>AVERAGE(Комплектация!AA33:'Комплектация'!AB33,Комплектация!AK33:'Комплектация'!AL33,Комплектация!AU33:'Комплектация'!AV33,Комплектация!BE33:'Комплектация'!BF33)</f>
        <v>62.625</v>
      </c>
      <c r="J44" s="49">
        <f>MIN(Комплектация!AA33:'Комплектация'!AB33,Комплектация!AK33:'Комплектация'!AL33,Комплектация!AU33:'Комплектация'!AV33,Комплектация!BE33:'Комплектация'!BF33)</f>
        <v>61</v>
      </c>
      <c r="K44" s="47">
        <f t="shared" si="3"/>
        <v>0</v>
      </c>
      <c r="L44" s="47">
        <f t="shared" si="4"/>
        <v>20</v>
      </c>
      <c r="M44" s="47">
        <f t="shared" si="5"/>
        <v>6</v>
      </c>
      <c r="N44" s="47">
        <f t="shared" si="6"/>
        <v>16.840753424657535</v>
      </c>
      <c r="O44" s="47">
        <f t="shared" si="7"/>
        <v>83.159246575342465</v>
      </c>
      <c r="P44" s="50"/>
      <c r="Q44" s="51" t="str">
        <f t="shared" si="8"/>
        <v/>
      </c>
      <c r="R44" s="22" t="str">
        <f>IF(Комплектация!G33="",Комплектация!I33,IF(Комплектация!I33="",Комплектация!G33,IF(DATE(VALUE(RIGHT(Комплектация!G33,4)),VALUE(MID(Комплектация!G33,4,2)),VALUE(LEFT(Комплектация!G33,2)))&gt;=DATE(VALUE(RIGHT(Комплектация!I33,4)),VALUE(MID(Комплектация!I33,4,2)),VALUE(LEFT(Комплектация!I33,2))),Комплектация!G33,Комплектация!I33)))</f>
        <v>13.09.2025</v>
      </c>
      <c r="S44" s="22" t="str">
        <f>Комплектация!L33</f>
        <v>13.09.2027</v>
      </c>
      <c r="T44" s="24">
        <f t="shared" si="9"/>
        <v>1.106091718001369</v>
      </c>
      <c r="U44" s="26">
        <f t="shared" si="10"/>
        <v>44.657534246575345</v>
      </c>
      <c r="V44" s="26">
        <f>IF(U44="","",U44*Справочник!$B$7/100)</f>
        <v>4.4657534246575343</v>
      </c>
      <c r="W44" s="24">
        <f>J44-Справочник!$B$4</f>
        <v>46</v>
      </c>
      <c r="X44" s="28">
        <f>IF(MIN(Комплектация!AA33:'Комплектация'!AB33)-Справочник!$B$4&lt;Справочник!$B$3,1,0)+IF(MIN(Комплектация!AK33:'Комплектация'!AL33)-Справочник!$B$4&lt;Справочник!$B$3,1,0)+IF(MIN(Комплектация!AU33:'Комплектация'!AV33)-Справочник!$B$4&lt;Справочник!$B$3,1,0)+IF(MIN(Комплектация!BE33:'Комплектация'!BF33)-Справочник!$B$4&lt;Справочник!$B$3,1,0)</f>
        <v>0</v>
      </c>
      <c r="Y44" s="33">
        <f>Справочник!$B$8</f>
        <v>4650000</v>
      </c>
      <c r="Z44" s="33">
        <f t="shared" si="11"/>
        <v>3866904.9657534249</v>
      </c>
    </row>
    <row r="45" spans="1:26" x14ac:dyDescent="0.25">
      <c r="A45" s="52">
        <f>Комплектация!A34</f>
        <v>75188797</v>
      </c>
      <c r="B45" s="53" t="str">
        <f>Комплектация!C34</f>
        <v>15-1219-1П</v>
      </c>
      <c r="C45" s="53">
        <f>Комплектация!E34</f>
        <v>2020</v>
      </c>
      <c r="D45" s="53">
        <f t="shared" si="0"/>
        <v>6</v>
      </c>
      <c r="E45" s="54">
        <f t="shared" si="1"/>
        <v>18.75</v>
      </c>
      <c r="F45" s="55" t="str">
        <f>TEXT(Комплектация!V34,"0")&amp;"/"&amp;TEXT(Комплектация!AF34,"0")&amp;"/"&amp;TEXT(Комплектация!AP34,"0")&amp;"/"&amp;TEXT(Комплектация!AZ34,"0")</f>
        <v>2020/2020/2020/2020</v>
      </c>
      <c r="G45" s="56">
        <f>AVERAGE(Комплектация!V34,Комплектация!AF34,Комплектация!AP34,Комплектация!AZ34)</f>
        <v>2020</v>
      </c>
      <c r="H45" s="56">
        <f t="shared" si="2"/>
        <v>6</v>
      </c>
      <c r="I45" s="56">
        <f>AVERAGE(Комплектация!AA34:'Комплектация'!AB34,Комплектация!AK34:'Комплектация'!AL34,Комплектация!AU34:'Комплектация'!AV34,Комплектация!BE34:'Комплектация'!BF34)</f>
        <v>57.75</v>
      </c>
      <c r="J45" s="56">
        <f>MIN(Комплектация!AA34:'Комплектация'!AB34,Комплектация!AK34:'Комплектация'!AL34,Комплектация!AU34:'Комплектация'!AV34,Комплектация!BE34:'Комплектация'!BF34)</f>
        <v>55</v>
      </c>
      <c r="K45" s="54">
        <f t="shared" si="3"/>
        <v>0</v>
      </c>
      <c r="L45" s="54">
        <f t="shared" si="4"/>
        <v>20</v>
      </c>
      <c r="M45" s="54">
        <f t="shared" si="5"/>
        <v>6</v>
      </c>
      <c r="N45" s="54">
        <f t="shared" si="6"/>
        <v>15.827054794520548</v>
      </c>
      <c r="O45" s="54">
        <f t="shared" si="7"/>
        <v>84.172945205479451</v>
      </c>
      <c r="P45" s="50"/>
      <c r="Q45" s="57" t="str">
        <f t="shared" si="8"/>
        <v/>
      </c>
      <c r="R45" s="23" t="str">
        <f>IF(Комплектация!G34="",Комплектация!I34,IF(Комплектация!I34="",Комплектация!G34,IF(DATE(VALUE(RIGHT(Комплектация!G34,4)),VALUE(MID(Комплектация!G34,4,2)),VALUE(LEFT(Комплектация!G34,2)))&gt;=DATE(VALUE(RIGHT(Комплектация!I34,4)),VALUE(MID(Комплектация!I34,4,2)),VALUE(LEFT(Комплектация!I34,2))),Комплектация!G34,Комплектация!I34)))</f>
        <v>26.11.2025</v>
      </c>
      <c r="S45" s="23" t="str">
        <f>Комплектация!L34</f>
        <v>26.11.2027</v>
      </c>
      <c r="T45" s="25">
        <f t="shared" si="9"/>
        <v>1.3086926762491444</v>
      </c>
      <c r="U45" s="27">
        <f t="shared" si="10"/>
        <v>34.520547945205479</v>
      </c>
      <c r="V45" s="27">
        <f>IF(U45="","",U45*Справочник!$B$7/100)</f>
        <v>3.4520547945205475</v>
      </c>
      <c r="W45" s="25">
        <f>J45-Справочник!$B$4</f>
        <v>40</v>
      </c>
      <c r="X45" s="29">
        <f>IF(MIN(Комплектация!AA34:'Комплектация'!AB34)-Справочник!$B$4&lt;Справочник!$B$3,1,0)+IF(MIN(Комплектация!AK34:'Комплектация'!AL34)-Справочник!$B$4&lt;Справочник!$B$3,1,0)+IF(MIN(Комплектация!AU34:'Комплектация'!AV34)-Справочник!$B$4&lt;Справочник!$B$3,1,0)+IF(MIN(Комплектация!BE34:'Комплектация'!BF34)-Справочник!$B$4&lt;Справочник!$B$3,1,0)</f>
        <v>0</v>
      </c>
      <c r="Y45" s="34">
        <f>Справочник!$B$8</f>
        <v>4650000</v>
      </c>
      <c r="Z45" s="34">
        <f t="shared" si="11"/>
        <v>3914041.9520547944</v>
      </c>
    </row>
    <row r="46" spans="1:26" x14ac:dyDescent="0.25">
      <c r="A46" s="45">
        <f>Комплектация!A35</f>
        <v>75188995</v>
      </c>
      <c r="B46" s="46" t="str">
        <f>Комплектация!C35</f>
        <v>15-1219-1П</v>
      </c>
      <c r="C46" s="46">
        <f>Комплектация!E35</f>
        <v>2020</v>
      </c>
      <c r="D46" s="46">
        <f t="shared" si="0"/>
        <v>6</v>
      </c>
      <c r="E46" s="47">
        <f t="shared" si="1"/>
        <v>18.75</v>
      </c>
      <c r="F46" s="48" t="str">
        <f>TEXT(Комплектация!V35,"0")&amp;"/"&amp;TEXT(Комплектация!AF35,"0")&amp;"/"&amp;TEXT(Комплектация!AP35,"0")&amp;"/"&amp;TEXT(Комплектация!AZ35,"0")</f>
        <v>2020/2020/2020/2020</v>
      </c>
      <c r="G46" s="49">
        <f>AVERAGE(Комплектация!V35,Комплектация!AF35,Комплектация!AP35,Комплектация!AZ35)</f>
        <v>2020</v>
      </c>
      <c r="H46" s="49">
        <f t="shared" si="2"/>
        <v>6</v>
      </c>
      <c r="I46" s="49">
        <f>AVERAGE(Комплектация!AA35:'Комплектация'!AB35,Комплектация!AK35:'Комплектация'!AL35,Комплектация!AU35:'Комплектация'!AV35,Комплектация!BE35:'Комплектация'!BF35)</f>
        <v>62.375</v>
      </c>
      <c r="J46" s="49">
        <f>MIN(Комплектация!AA35:'Комплектация'!AB35,Комплектация!AK35:'Комплектация'!AL35,Комплектация!AU35:'Комплектация'!AV35,Комплектация!BE35:'Комплектация'!BF35)</f>
        <v>60</v>
      </c>
      <c r="K46" s="47">
        <f t="shared" si="3"/>
        <v>0</v>
      </c>
      <c r="L46" s="47">
        <f t="shared" si="4"/>
        <v>20</v>
      </c>
      <c r="M46" s="47">
        <f t="shared" si="5"/>
        <v>6</v>
      </c>
      <c r="N46" s="47">
        <f t="shared" si="6"/>
        <v>16.210616438356162</v>
      </c>
      <c r="O46" s="47">
        <f t="shared" si="7"/>
        <v>83.789383561643831</v>
      </c>
      <c r="P46" s="50"/>
      <c r="Q46" s="51" t="str">
        <f t="shared" si="8"/>
        <v/>
      </c>
      <c r="R46" s="22" t="str">
        <f>IF(Комплектация!G35="",Комплектация!I35,IF(Комплектация!I35="",Комплектация!G35,IF(DATE(VALUE(RIGHT(Комплектация!G35,4)),VALUE(MID(Комплектация!G35,4,2)),VALUE(LEFT(Комплектация!G35,2)))&gt;=DATE(VALUE(RIGHT(Комплектация!I35,4)),VALUE(MID(Комплектация!I35,4,2)),VALUE(LEFT(Комплектация!I35,2))),Комплектация!G35,Комплектация!I35)))</f>
        <v>29.10.2025</v>
      </c>
      <c r="S46" s="22" t="str">
        <f>Комплектация!L35</f>
        <v>29.10.2027</v>
      </c>
      <c r="T46" s="24">
        <f t="shared" si="9"/>
        <v>1.2320328542094456</v>
      </c>
      <c r="U46" s="26">
        <f t="shared" si="10"/>
        <v>38.356164383561641</v>
      </c>
      <c r="V46" s="26">
        <f>IF(U46="","",U46*Справочник!$B$7/100)</f>
        <v>3.8356164383561637</v>
      </c>
      <c r="W46" s="24">
        <f>J46-Справочник!$B$4</f>
        <v>45</v>
      </c>
      <c r="X46" s="28">
        <f>IF(MIN(Комплектация!AA35:'Комплектация'!AB35)-Справочник!$B$4&lt;Справочник!$B$3,1,0)+IF(MIN(Комплектация!AK35:'Комплектация'!AL35)-Справочник!$B$4&lt;Справочник!$B$3,1,0)+IF(MIN(Комплектация!AU35:'Комплектация'!AV35)-Справочник!$B$4&lt;Справочник!$B$3,1,0)+IF(MIN(Комплектация!BE35:'Комплектация'!BF35)-Справочник!$B$4&lt;Справочник!$B$3,1,0)</f>
        <v>0</v>
      </c>
      <c r="Y46" s="33">
        <f>Справочник!$B$8</f>
        <v>4650000</v>
      </c>
      <c r="Z46" s="33">
        <f t="shared" si="11"/>
        <v>3896206.3356164382</v>
      </c>
    </row>
    <row r="47" spans="1:26" x14ac:dyDescent="0.25">
      <c r="A47" s="52">
        <f>Комплектация!A36</f>
        <v>75183293</v>
      </c>
      <c r="B47" s="53" t="str">
        <f>Комплектация!C36</f>
        <v>15-1219-1П</v>
      </c>
      <c r="C47" s="53">
        <f>Комплектация!E36</f>
        <v>2020</v>
      </c>
      <c r="D47" s="53">
        <f t="shared" si="0"/>
        <v>6</v>
      </c>
      <c r="E47" s="54">
        <f t="shared" si="1"/>
        <v>18.75</v>
      </c>
      <c r="F47" s="55" t="str">
        <f>TEXT(Комплектация!V36,"0")&amp;"/"&amp;TEXT(Комплектация!AF36,"0")&amp;"/"&amp;TEXT(Комплектация!AP36,"0")&amp;"/"&amp;TEXT(Комплектация!AZ36,"0")</f>
        <v>2020/2020/2020/2020</v>
      </c>
      <c r="G47" s="56">
        <f>AVERAGE(Комплектация!V36,Комплектация!AF36,Комплектация!AP36,Комплектация!AZ36)</f>
        <v>2020</v>
      </c>
      <c r="H47" s="56">
        <f t="shared" si="2"/>
        <v>6</v>
      </c>
      <c r="I47" s="56">
        <f>AVERAGE(Комплектация!AA36:'Комплектация'!AB36,Комплектация!AK36:'Комплектация'!AL36,Комплектация!AU36:'Комплектация'!AV36,Комплектация!BE36:'Комплектация'!BF36)</f>
        <v>58.875</v>
      </c>
      <c r="J47" s="56">
        <f>MIN(Комплектация!AA36:'Комплектация'!AB36,Комплектация!AK36:'Комплектация'!AL36,Комплектация!AU36:'Комплектация'!AV36,Комплектация!BE36:'Комплектация'!BF36)</f>
        <v>54</v>
      </c>
      <c r="K47" s="54">
        <f t="shared" si="3"/>
        <v>0</v>
      </c>
      <c r="L47" s="54">
        <f t="shared" si="4"/>
        <v>20</v>
      </c>
      <c r="M47" s="54">
        <f t="shared" si="5"/>
        <v>6</v>
      </c>
      <c r="N47" s="54">
        <f t="shared" si="6"/>
        <v>15.183219178082192</v>
      </c>
      <c r="O47" s="54">
        <f t="shared" si="7"/>
        <v>84.816780821917803</v>
      </c>
      <c r="P47" s="50"/>
      <c r="Q47" s="57" t="str">
        <f t="shared" si="8"/>
        <v/>
      </c>
      <c r="R47" s="23" t="str">
        <f>IF(Комплектация!G36="",Комплектация!I36,IF(Комплектация!I36="",Комплектация!G36,IF(DATE(VALUE(RIGHT(Комплектация!G36,4)),VALUE(MID(Комплектация!G36,4,2)),VALUE(LEFT(Комплектация!G36,2)))&gt;=DATE(VALUE(RIGHT(Комплектация!I36,4)),VALUE(MID(Комплектация!I36,4,2)),VALUE(LEFT(Комплектация!I36,2))),Комплектация!G36,Комплектация!I36)))</f>
        <v>12.01.2026</v>
      </c>
      <c r="S47" s="23" t="str">
        <f>Комплектация!L36</f>
        <v>12.01.2028</v>
      </c>
      <c r="T47" s="25">
        <f t="shared" si="9"/>
        <v>1.4373716632443532</v>
      </c>
      <c r="U47" s="27">
        <f t="shared" si="10"/>
        <v>28.082191780821919</v>
      </c>
      <c r="V47" s="27">
        <f>IF(U47="","",U47*Справочник!$B$7/100)</f>
        <v>2.8082191780821919</v>
      </c>
      <c r="W47" s="25">
        <f>J47-Справочник!$B$4</f>
        <v>39</v>
      </c>
      <c r="X47" s="29">
        <f>IF(MIN(Комплектация!AA36:'Комплектация'!AB36)-Справочник!$B$4&lt;Справочник!$B$3,1,0)+IF(MIN(Комплектация!AK36:'Комплектация'!AL36)-Справочник!$B$4&lt;Справочник!$B$3,1,0)+IF(MIN(Комплектация!AU36:'Комплектация'!AV36)-Справочник!$B$4&lt;Справочник!$B$3,1,0)+IF(MIN(Комплектация!BE36:'Комплектация'!BF36)-Справочник!$B$4&lt;Справочник!$B$3,1,0)</f>
        <v>0</v>
      </c>
      <c r="Y47" s="34">
        <f>Справочник!$B$8</f>
        <v>4650000</v>
      </c>
      <c r="Z47" s="34">
        <f t="shared" si="11"/>
        <v>3943980.3082191776</v>
      </c>
    </row>
    <row r="48" spans="1:26" x14ac:dyDescent="0.25">
      <c r="A48" s="45">
        <f>Комплектация!A37</f>
        <v>75176891</v>
      </c>
      <c r="B48" s="46" t="str">
        <f>Комплектация!C37</f>
        <v>15-1219-1П</v>
      </c>
      <c r="C48" s="46">
        <f>Комплектация!E37</f>
        <v>2020</v>
      </c>
      <c r="D48" s="46">
        <f t="shared" ref="D48:D79" si="12">MAX(0,YEAR($B$5)-C48)</f>
        <v>6</v>
      </c>
      <c r="E48" s="47">
        <f t="shared" ref="E48:E79" si="13">MIN(100,D48/$B$6*100)</f>
        <v>18.75</v>
      </c>
      <c r="F48" s="48" t="str">
        <f>TEXT(Комплектация!V37,"0")&amp;"/"&amp;TEXT(Комплектация!AF37,"0")&amp;"/"&amp;TEXT(Комплектация!AP37,"0")&amp;"/"&amp;TEXT(Комплектация!AZ37,"0")</f>
        <v>2020/2020/2020/2020</v>
      </c>
      <c r="G48" s="49">
        <f>AVERAGE(Комплектация!V37,Комплектация!AF37,Комплектация!AP37,Комплектация!AZ37)</f>
        <v>2020</v>
      </c>
      <c r="H48" s="49">
        <f t="shared" ref="H48:H79" si="14">MAX(0,YEAR($B$5)-G48)</f>
        <v>6</v>
      </c>
      <c r="I48" s="49">
        <f>AVERAGE(Комплектация!AA37:'Комплектация'!AB37,Комплектация!AK37:'Комплектация'!AL37,Комплектация!AU37:'Комплектация'!AV37,Комплектация!BE37:'Комплектация'!BF37)</f>
        <v>54.125</v>
      </c>
      <c r="J48" s="49">
        <f>MIN(Комплектация!AA37:'Комплектация'!AB37,Комплектация!AK37:'Комплектация'!AL37,Комплектация!AU37:'Комплектация'!AV37,Комплектация!BE37:'Комплектация'!BF37)</f>
        <v>47</v>
      </c>
      <c r="K48" s="47">
        <f t="shared" ref="K48:K79" si="15">MAX(0,MIN(100,($B$7-J48)/($B$7-$B$8)*100))</f>
        <v>13.043478260869565</v>
      </c>
      <c r="L48" s="47">
        <f t="shared" ref="L48:L79" si="16">MAX(0,MIN(100,H48/$B$9*100))</f>
        <v>20</v>
      </c>
      <c r="M48" s="47">
        <f t="shared" ref="M48:M79" si="17">MAX(K48,X48/4*100)*$B$10+L48*$B$11</f>
        <v>23.5</v>
      </c>
      <c r="N48" s="47">
        <f t="shared" ref="N48:N79" si="18">MIN(100,E48*$B$12+M48*$B$13+V48)</f>
        <v>24.618150684931507</v>
      </c>
      <c r="O48" s="47">
        <f t="shared" ref="O48:O79" si="19">100-N48</f>
        <v>75.381849315068493</v>
      </c>
      <c r="P48" s="50"/>
      <c r="Q48" s="51" t="str">
        <f t="shared" ref="Q48:Q79" si="20">IF(P48="","",P48*O48/100)</f>
        <v/>
      </c>
      <c r="R48" s="22" t="str">
        <f>IF(Комплектация!G37="",Комплектация!I37,IF(Комплектация!I37="",Комплектация!G37,IF(DATE(VALUE(RIGHT(Комплектация!G37,4)),VALUE(MID(Комплектация!G37,4,2)),VALUE(LEFT(Комплектация!G37,2)))&gt;=DATE(VALUE(RIGHT(Комплектация!I37,4)),VALUE(MID(Комплектация!I37,4,2)),VALUE(LEFT(Комплектация!I37,2))),Комплектация!G37,Комплектация!I37)))</f>
        <v>23.11.2025</v>
      </c>
      <c r="S48" s="22" t="str">
        <f>Комплектация!L37</f>
        <v>23.11.2027</v>
      </c>
      <c r="T48" s="24">
        <f t="shared" ref="T48:T79" si="21">IF(S48="","",MAX(0,(DATE(VALUE(RIGHT(S48,4)),VALUE(MID(S48,4,2)),VALUE(LEFT(S48,2)))-$B$5)/365.25))</f>
        <v>1.3004791238877482</v>
      </c>
      <c r="U48" s="26">
        <f t="shared" ref="U48:U79" si="22">IF(OR(R48="",S48=""),"",MAX(0,MIN(100,($B$5-DATE(VALUE(RIGHT(R48,4)),VALUE(MID(R48,4,2)),VALUE(LEFT(R48,2))))/(DATE(VALUE(RIGHT(S48,4)),VALUE(MID(S48,4,2)),VALUE(LEFT(S48,2)))-DATE(VALUE(RIGHT(R48,4)),VALUE(MID(R48,4,2)),VALUE(LEFT(R48,2))))*100)))</f>
        <v>34.93150684931507</v>
      </c>
      <c r="V48" s="26">
        <f>IF(U48="","",U48*Справочник!$B$7/100)</f>
        <v>3.493150684931507</v>
      </c>
      <c r="W48" s="24">
        <f>J48-Справочник!$B$4</f>
        <v>32</v>
      </c>
      <c r="X48" s="28">
        <f>IF(MIN(Комплектация!AA37:'Комплектация'!AB37)-Справочник!$B$4&lt;Справочник!$B$3,1,0)+IF(MIN(Комплектация!AK37:'Комплектация'!AL37)-Справочник!$B$4&lt;Справочник!$B$3,1,0)+IF(MIN(Комплектация!AU37:'Комплектация'!AV37)-Справочник!$B$4&lt;Справочник!$B$3,1,0)+IF(MIN(Комплектация!BE37:'Комплектация'!BF37)-Справочник!$B$4&lt;Справочник!$B$3,1,0)</f>
        <v>1</v>
      </c>
      <c r="Y48" s="33">
        <f>Справочник!$B$8</f>
        <v>4650000</v>
      </c>
      <c r="Z48" s="33">
        <f t="shared" ref="Z48:Z79" si="23">Y48*O48/100</f>
        <v>3505255.993150685</v>
      </c>
    </row>
    <row r="49" spans="1:26" x14ac:dyDescent="0.25">
      <c r="A49" s="52">
        <f>Комплектация!A38</f>
        <v>75176990</v>
      </c>
      <c r="B49" s="53" t="str">
        <f>Комплектация!C38</f>
        <v>15-1219-1П</v>
      </c>
      <c r="C49" s="53">
        <f>Комплектация!E38</f>
        <v>2020</v>
      </c>
      <c r="D49" s="53">
        <f t="shared" si="12"/>
        <v>6</v>
      </c>
      <c r="E49" s="54">
        <f t="shared" si="13"/>
        <v>18.75</v>
      </c>
      <c r="F49" s="55" t="str">
        <f>TEXT(Комплектация!V38,"0")&amp;"/"&amp;TEXT(Комплектация!AF38,"0")&amp;"/"&amp;TEXT(Комплектация!AP38,"0")&amp;"/"&amp;TEXT(Комплектация!AZ38,"0")</f>
        <v>2020/2020/2020/2020</v>
      </c>
      <c r="G49" s="56">
        <f>AVERAGE(Комплектация!V38,Комплектация!AF38,Комплектация!AP38,Комплектация!AZ38)</f>
        <v>2020</v>
      </c>
      <c r="H49" s="56">
        <f t="shared" si="14"/>
        <v>6</v>
      </c>
      <c r="I49" s="56">
        <f>AVERAGE(Комплектация!AA38:'Комплектация'!AB38,Комплектация!AK38:'Комплектация'!AL38,Комплектация!AU38:'Комплектация'!AV38,Комплектация!BE38:'Комплектация'!BF38)</f>
        <v>56</v>
      </c>
      <c r="J49" s="56">
        <f>MIN(Комплектация!AA38:'Комплектация'!AB38,Комплектация!AK38:'Комплектация'!AL38,Комплектация!AU38:'Комплектация'!AV38,Комплектация!BE38:'Комплектация'!BF38)</f>
        <v>52</v>
      </c>
      <c r="K49" s="54">
        <f t="shared" si="15"/>
        <v>0</v>
      </c>
      <c r="L49" s="54">
        <f t="shared" si="16"/>
        <v>20</v>
      </c>
      <c r="M49" s="54">
        <f t="shared" si="17"/>
        <v>6</v>
      </c>
      <c r="N49" s="54">
        <f t="shared" si="18"/>
        <v>16.840753424657535</v>
      </c>
      <c r="O49" s="54">
        <f t="shared" si="19"/>
        <v>83.159246575342465</v>
      </c>
      <c r="P49" s="50"/>
      <c r="Q49" s="57" t="str">
        <f t="shared" si="20"/>
        <v/>
      </c>
      <c r="R49" s="23" t="str">
        <f>IF(Комплектация!G38="",Комплектация!I38,IF(Комплектация!I38="",Комплектация!G38,IF(DATE(VALUE(RIGHT(Комплектация!G38,4)),VALUE(MID(Комплектация!G38,4,2)),VALUE(LEFT(Комплектация!G38,2)))&gt;=DATE(VALUE(RIGHT(Комплектация!I38,4)),VALUE(MID(Комплектация!I38,4,2)),VALUE(LEFT(Комплектация!I38,2))),Комплектация!G38,Комплектация!I38)))</f>
        <v>13.09.2025</v>
      </c>
      <c r="S49" s="23" t="str">
        <f>Комплектация!L38</f>
        <v>13.09.2027</v>
      </c>
      <c r="T49" s="25">
        <f t="shared" si="21"/>
        <v>1.106091718001369</v>
      </c>
      <c r="U49" s="27">
        <f t="shared" si="22"/>
        <v>44.657534246575345</v>
      </c>
      <c r="V49" s="27">
        <f>IF(U49="","",U49*Справочник!$B$7/100)</f>
        <v>4.4657534246575343</v>
      </c>
      <c r="W49" s="25">
        <f>J49-Справочник!$B$4</f>
        <v>37</v>
      </c>
      <c r="X49" s="29">
        <f>IF(MIN(Комплектация!AA38:'Комплектация'!AB38)-Справочник!$B$4&lt;Справочник!$B$3,1,0)+IF(MIN(Комплектация!AK38:'Комплектация'!AL38)-Справочник!$B$4&lt;Справочник!$B$3,1,0)+IF(MIN(Комплектация!AU38:'Комплектация'!AV38)-Справочник!$B$4&lt;Справочник!$B$3,1,0)+IF(MIN(Комплектация!BE38:'Комплектация'!BF38)-Справочник!$B$4&lt;Справочник!$B$3,1,0)</f>
        <v>0</v>
      </c>
      <c r="Y49" s="34">
        <f>Справочник!$B$8</f>
        <v>4650000</v>
      </c>
      <c r="Z49" s="34">
        <f t="shared" si="23"/>
        <v>3866904.9657534249</v>
      </c>
    </row>
    <row r="50" spans="1:26" x14ac:dyDescent="0.25">
      <c r="A50" s="45">
        <f>Комплектация!A39</f>
        <v>75182998</v>
      </c>
      <c r="B50" s="46" t="str">
        <f>Комплектация!C39</f>
        <v>15-1219-1П</v>
      </c>
      <c r="C50" s="46">
        <f>Комплектация!E39</f>
        <v>2020</v>
      </c>
      <c r="D50" s="46">
        <f t="shared" si="12"/>
        <v>6</v>
      </c>
      <c r="E50" s="47">
        <f t="shared" si="13"/>
        <v>18.75</v>
      </c>
      <c r="F50" s="48" t="str">
        <f>TEXT(Комплектация!V39,"0")&amp;"/"&amp;TEXT(Комплектация!AF39,"0")&amp;"/"&amp;TEXT(Комплектация!AP39,"0")&amp;"/"&amp;TEXT(Комплектация!AZ39,"0")</f>
        <v>2020/2020/2020/2020</v>
      </c>
      <c r="G50" s="49">
        <f>AVERAGE(Комплектация!V39,Комплектация!AF39,Комплектация!AP39,Комплектация!AZ39)</f>
        <v>2020</v>
      </c>
      <c r="H50" s="49">
        <f t="shared" si="14"/>
        <v>6</v>
      </c>
      <c r="I50" s="49">
        <f>AVERAGE(Комплектация!AA39:'Комплектация'!AB39,Комплектация!AK39:'Комплектация'!AL39,Комплектация!AU39:'Комплектация'!AV39,Комплектация!BE39:'Комплектация'!BF39)</f>
        <v>58</v>
      </c>
      <c r="J50" s="49">
        <f>MIN(Комплектация!AA39:'Комплектация'!AB39,Комплектация!AK39:'Комплектация'!AL39,Комплектация!AU39:'Комплектация'!AV39,Комплектация!BE39:'Комплектация'!BF39)</f>
        <v>51</v>
      </c>
      <c r="K50" s="47">
        <f t="shared" si="15"/>
        <v>0</v>
      </c>
      <c r="L50" s="47">
        <f t="shared" si="16"/>
        <v>20</v>
      </c>
      <c r="M50" s="47">
        <f t="shared" si="17"/>
        <v>6</v>
      </c>
      <c r="N50" s="47">
        <f t="shared" si="18"/>
        <v>16.416095890410958</v>
      </c>
      <c r="O50" s="47">
        <f t="shared" si="19"/>
        <v>83.583904109589042</v>
      </c>
      <c r="P50" s="50"/>
      <c r="Q50" s="51" t="str">
        <f t="shared" si="20"/>
        <v/>
      </c>
      <c r="R50" s="22" t="str">
        <f>IF(Комплектация!G39="",Комплектация!I39,IF(Комплектация!I39="",Комплектация!G39,IF(DATE(VALUE(RIGHT(Комплектация!G39,4)),VALUE(MID(Комплектация!G39,4,2)),VALUE(LEFT(Комплектация!G39,2)))&gt;=DATE(VALUE(RIGHT(Комплектация!I39,4)),VALUE(MID(Комплектация!I39,4,2)),VALUE(LEFT(Комплектация!I39,2))),Комплектация!G39,Комплектация!I39)))</f>
        <v>14.10.2025</v>
      </c>
      <c r="S50" s="22" t="str">
        <f>Комплектация!L39</f>
        <v>14.10.2027</v>
      </c>
      <c r="T50" s="24">
        <f t="shared" si="21"/>
        <v>1.1909650924024642</v>
      </c>
      <c r="U50" s="26">
        <f t="shared" si="22"/>
        <v>40.410958904109592</v>
      </c>
      <c r="V50" s="26">
        <f>IF(U50="","",U50*Справочник!$B$7/100)</f>
        <v>4.0410958904109586</v>
      </c>
      <c r="W50" s="24">
        <f>J50-Справочник!$B$4</f>
        <v>36</v>
      </c>
      <c r="X50" s="28">
        <f>IF(MIN(Комплектация!AA39:'Комплектация'!AB39)-Справочник!$B$4&lt;Справочник!$B$3,1,0)+IF(MIN(Комплектация!AK39:'Комплектация'!AL39)-Справочник!$B$4&lt;Справочник!$B$3,1,0)+IF(MIN(Комплектация!AU39:'Комплектация'!AV39)-Справочник!$B$4&lt;Справочник!$B$3,1,0)+IF(MIN(Комплектация!BE39:'Комплектация'!BF39)-Справочник!$B$4&lt;Справочник!$B$3,1,0)</f>
        <v>0</v>
      </c>
      <c r="Y50" s="33">
        <f>Справочник!$B$8</f>
        <v>4650000</v>
      </c>
      <c r="Z50" s="33">
        <f t="shared" si="23"/>
        <v>3886651.5410958906</v>
      </c>
    </row>
    <row r="51" spans="1:26" x14ac:dyDescent="0.25">
      <c r="A51" s="52">
        <f>Комплектация!A40</f>
        <v>75164996</v>
      </c>
      <c r="B51" s="53" t="str">
        <f>Комплектация!C40</f>
        <v>15-1219-1П</v>
      </c>
      <c r="C51" s="53">
        <f>Комплектация!E40</f>
        <v>2020</v>
      </c>
      <c r="D51" s="53">
        <f t="shared" si="12"/>
        <v>6</v>
      </c>
      <c r="E51" s="54">
        <f t="shared" si="13"/>
        <v>18.75</v>
      </c>
      <c r="F51" s="55" t="str">
        <f>TEXT(Комплектация!V40,"0")&amp;"/"&amp;TEXT(Комплектация!AF40,"0")&amp;"/"&amp;TEXT(Комплектация!AP40,"0")&amp;"/"&amp;TEXT(Комплектация!AZ40,"0")</f>
        <v>2020/2020/2020/2020</v>
      </c>
      <c r="G51" s="56">
        <f>AVERAGE(Комплектация!V40,Комплектация!AF40,Комплектация!AP40,Комплектация!AZ40)</f>
        <v>2020</v>
      </c>
      <c r="H51" s="56">
        <f t="shared" si="14"/>
        <v>6</v>
      </c>
      <c r="I51" s="56">
        <f>AVERAGE(Комплектация!AA40:'Комплектация'!AB40,Комплектация!AK40:'Комплектация'!AL40,Комплектация!AU40:'Комплектация'!AV40,Комплектация!BE40:'Комплектация'!BF40)</f>
        <v>57.75</v>
      </c>
      <c r="J51" s="56">
        <f>MIN(Комплектация!AA40:'Комплектация'!AB40,Комплектация!AK40:'Комплектация'!AL40,Комплектация!AU40:'Комплектация'!AV40,Комплектация!BE40:'Комплектация'!BF40)</f>
        <v>51</v>
      </c>
      <c r="K51" s="54">
        <f t="shared" si="15"/>
        <v>0</v>
      </c>
      <c r="L51" s="54">
        <f t="shared" si="16"/>
        <v>20</v>
      </c>
      <c r="M51" s="54">
        <f t="shared" si="17"/>
        <v>6</v>
      </c>
      <c r="N51" s="54">
        <f t="shared" si="18"/>
        <v>15.895547945205479</v>
      </c>
      <c r="O51" s="54">
        <f t="shared" si="19"/>
        <v>84.104452054794521</v>
      </c>
      <c r="P51" s="50"/>
      <c r="Q51" s="57" t="str">
        <f t="shared" si="20"/>
        <v/>
      </c>
      <c r="R51" s="23" t="str">
        <f>IF(Комплектация!G40="",Комплектация!I40,IF(Комплектация!I40="",Комплектация!G40,IF(DATE(VALUE(RIGHT(Комплектация!G40,4)),VALUE(MID(Комплектация!G40,4,2)),VALUE(LEFT(Комплектация!G40,2)))&gt;=DATE(VALUE(RIGHT(Комплектация!I40,4)),VALUE(MID(Комплектация!I40,4,2)),VALUE(LEFT(Комплектация!I40,2))),Комплектация!G40,Комплектация!I40)))</f>
        <v>21.11.2025</v>
      </c>
      <c r="S51" s="23" t="str">
        <f>Комплектация!L40</f>
        <v>21.11.2027</v>
      </c>
      <c r="T51" s="25">
        <f t="shared" si="21"/>
        <v>1.2950034223134839</v>
      </c>
      <c r="U51" s="27">
        <f t="shared" si="22"/>
        <v>35.205479452054796</v>
      </c>
      <c r="V51" s="27">
        <f>IF(U51="","",U51*Справочник!$B$7/100)</f>
        <v>3.5205479452054793</v>
      </c>
      <c r="W51" s="25">
        <f>J51-Справочник!$B$4</f>
        <v>36</v>
      </c>
      <c r="X51" s="29">
        <f>IF(MIN(Комплектация!AA40:'Комплектация'!AB40)-Справочник!$B$4&lt;Справочник!$B$3,1,0)+IF(MIN(Комплектация!AK40:'Комплектация'!AL40)-Справочник!$B$4&lt;Справочник!$B$3,1,0)+IF(MIN(Комплектация!AU40:'Комплектация'!AV40)-Справочник!$B$4&lt;Справочник!$B$3,1,0)+IF(MIN(Комплектация!BE40:'Комплектация'!BF40)-Справочник!$B$4&lt;Справочник!$B$3,1,0)</f>
        <v>0</v>
      </c>
      <c r="Y51" s="34">
        <f>Справочник!$B$8</f>
        <v>4650000</v>
      </c>
      <c r="Z51" s="34">
        <f t="shared" si="23"/>
        <v>3910857.0205479455</v>
      </c>
    </row>
    <row r="52" spans="1:26" x14ac:dyDescent="0.25">
      <c r="A52" s="45">
        <f>Комплектация!A41</f>
        <v>75165399</v>
      </c>
      <c r="B52" s="46" t="str">
        <f>Комплектация!C41</f>
        <v>15-1219-1П</v>
      </c>
      <c r="C52" s="46">
        <f>Комплектация!E41</f>
        <v>2020</v>
      </c>
      <c r="D52" s="46">
        <f t="shared" si="12"/>
        <v>6</v>
      </c>
      <c r="E52" s="47">
        <f t="shared" si="13"/>
        <v>18.75</v>
      </c>
      <c r="F52" s="48" t="str">
        <f>TEXT(Комплектация!V41,"0")&amp;"/"&amp;TEXT(Комплектация!AF41,"0")&amp;"/"&amp;TEXT(Комплектация!AP41,"0")&amp;"/"&amp;TEXT(Комплектация!AZ41,"0")</f>
        <v>2020/2020/2020/2020</v>
      </c>
      <c r="G52" s="49">
        <f>AVERAGE(Комплектация!V41,Комплектация!AF41,Комплектация!AP41,Комплектация!AZ41)</f>
        <v>2020</v>
      </c>
      <c r="H52" s="49">
        <f t="shared" si="14"/>
        <v>6</v>
      </c>
      <c r="I52" s="49">
        <f>AVERAGE(Комплектация!AA41:'Комплектация'!AB41,Комплектация!AK41:'Комплектация'!AL41,Комплектация!AU41:'Комплектация'!AV41,Комплектация!BE41:'Комплектация'!BF41)</f>
        <v>58.25</v>
      </c>
      <c r="J52" s="49">
        <f>MIN(Комплектация!AA41:'Комплектация'!AB41,Комплектация!AK41:'Комплектация'!AL41,Комплектация!AU41:'Комплектация'!AV41,Комплектация!BE41:'Комплектация'!BF41)</f>
        <v>54</v>
      </c>
      <c r="K52" s="47">
        <f t="shared" si="15"/>
        <v>0</v>
      </c>
      <c r="L52" s="47">
        <f t="shared" si="16"/>
        <v>20</v>
      </c>
      <c r="M52" s="47">
        <f t="shared" si="17"/>
        <v>6</v>
      </c>
      <c r="N52" s="47">
        <f t="shared" si="18"/>
        <v>16.087328767123289</v>
      </c>
      <c r="O52" s="47">
        <f t="shared" si="19"/>
        <v>83.912671232876704</v>
      </c>
      <c r="P52" s="50"/>
      <c r="Q52" s="51" t="str">
        <f t="shared" si="20"/>
        <v/>
      </c>
      <c r="R52" s="22" t="str">
        <f>IF(Комплектация!G41="",Комплектация!I41,IF(Комплектация!I41="",Комплектация!G41,IF(DATE(VALUE(RIGHT(Комплектация!G41,4)),VALUE(MID(Комплектация!G41,4,2)),VALUE(LEFT(Комплектация!G41,2)))&gt;=DATE(VALUE(RIGHT(Комплектация!I41,4)),VALUE(MID(Комплектация!I41,4,2)),VALUE(LEFT(Комплектация!I41,2))),Комплектация!G41,Комплектация!I41)))</f>
        <v>07.11.2025</v>
      </c>
      <c r="S52" s="22" t="str">
        <f>Комплектация!L41</f>
        <v>07.11.2027</v>
      </c>
      <c r="T52" s="24">
        <f t="shared" si="21"/>
        <v>1.2566735112936345</v>
      </c>
      <c r="U52" s="26">
        <f t="shared" si="22"/>
        <v>37.123287671232873</v>
      </c>
      <c r="V52" s="26">
        <f>IF(U52="","",U52*Справочник!$B$7/100)</f>
        <v>3.7123287671232874</v>
      </c>
      <c r="W52" s="24">
        <f>J52-Справочник!$B$4</f>
        <v>39</v>
      </c>
      <c r="X52" s="28">
        <f>IF(MIN(Комплектация!AA41:'Комплектация'!AB41)-Справочник!$B$4&lt;Справочник!$B$3,1,0)+IF(MIN(Комплектация!AK41:'Комплектация'!AL41)-Справочник!$B$4&lt;Справочник!$B$3,1,0)+IF(MIN(Комплектация!AU41:'Комплектация'!AV41)-Справочник!$B$4&lt;Справочник!$B$3,1,0)+IF(MIN(Комплектация!BE41:'Комплектация'!BF41)-Справочник!$B$4&lt;Справочник!$B$3,1,0)</f>
        <v>0</v>
      </c>
      <c r="Y52" s="33">
        <f>Справочник!$B$8</f>
        <v>4650000</v>
      </c>
      <c r="Z52" s="33">
        <f t="shared" si="23"/>
        <v>3901939.2123287665</v>
      </c>
    </row>
    <row r="53" spans="1:26" x14ac:dyDescent="0.25">
      <c r="A53" s="52">
        <f>Комплектация!A42</f>
        <v>75165498</v>
      </c>
      <c r="B53" s="53" t="str">
        <f>Комплектация!C42</f>
        <v>15-1219-1П</v>
      </c>
      <c r="C53" s="53">
        <f>Комплектация!E42</f>
        <v>2020</v>
      </c>
      <c r="D53" s="53">
        <f t="shared" si="12"/>
        <v>6</v>
      </c>
      <c r="E53" s="54">
        <f t="shared" si="13"/>
        <v>18.75</v>
      </c>
      <c r="F53" s="55" t="str">
        <f>TEXT(Комплектация!V42,"0")&amp;"/"&amp;TEXT(Комплектация!AF42,"0")&amp;"/"&amp;TEXT(Комплектация!AP42,"0")&amp;"/"&amp;TEXT(Комплектация!AZ42,"0")</f>
        <v>2020/2020/2020/2020</v>
      </c>
      <c r="G53" s="56">
        <f>AVERAGE(Комплектация!V42,Комплектация!AF42,Комплектация!AP42,Комплектация!AZ42)</f>
        <v>2020</v>
      </c>
      <c r="H53" s="56">
        <f t="shared" si="14"/>
        <v>6</v>
      </c>
      <c r="I53" s="56">
        <f>AVERAGE(Комплектация!AA42:'Комплектация'!AB42,Комплектация!AK42:'Комплектация'!AL42,Комплектация!AU42:'Комплектация'!AV42,Комплектация!BE42:'Комплектация'!BF42)</f>
        <v>59.875</v>
      </c>
      <c r="J53" s="56">
        <f>MIN(Комплектация!AA42:'Комплектация'!AB42,Комплектация!AK42:'Комплектация'!AL42,Комплектация!AU42:'Комплектация'!AV42,Комплектация!BE42:'Комплектация'!BF42)</f>
        <v>56</v>
      </c>
      <c r="K53" s="54">
        <f t="shared" si="15"/>
        <v>0</v>
      </c>
      <c r="L53" s="54">
        <f t="shared" si="16"/>
        <v>20</v>
      </c>
      <c r="M53" s="54">
        <f t="shared" si="17"/>
        <v>6</v>
      </c>
      <c r="N53" s="54">
        <f t="shared" si="18"/>
        <v>16.114726027397261</v>
      </c>
      <c r="O53" s="54">
        <f t="shared" si="19"/>
        <v>83.885273972602732</v>
      </c>
      <c r="P53" s="50"/>
      <c r="Q53" s="57" t="str">
        <f t="shared" si="20"/>
        <v/>
      </c>
      <c r="R53" s="23" t="str">
        <f>IF(Комплектация!G42="",Комплектация!I42,IF(Комплектация!I42="",Комплектация!G42,IF(DATE(VALUE(RIGHT(Комплектация!G42,4)),VALUE(MID(Комплектация!G42,4,2)),VALUE(LEFT(Комплектация!G42,2)))&gt;=DATE(VALUE(RIGHT(Комплектация!I42,4)),VALUE(MID(Комплектация!I42,4,2)),VALUE(LEFT(Комплектация!I42,2))),Комплектация!G42,Комплектация!I42)))</f>
        <v>05.11.2025</v>
      </c>
      <c r="S53" s="23" t="str">
        <f>Комплектация!L42</f>
        <v>05.11.2027</v>
      </c>
      <c r="T53" s="25">
        <f t="shared" si="21"/>
        <v>1.2511978097193703</v>
      </c>
      <c r="U53" s="27">
        <f t="shared" si="22"/>
        <v>37.397260273972606</v>
      </c>
      <c r="V53" s="27">
        <f>IF(U53="","",U53*Справочник!$B$7/100)</f>
        <v>3.739726027397261</v>
      </c>
      <c r="W53" s="25">
        <f>J53-Справочник!$B$4</f>
        <v>41</v>
      </c>
      <c r="X53" s="29">
        <f>IF(MIN(Комплектация!AA42:'Комплектация'!AB42)-Справочник!$B$4&lt;Справочник!$B$3,1,0)+IF(MIN(Комплектация!AK42:'Комплектация'!AL42)-Справочник!$B$4&lt;Справочник!$B$3,1,0)+IF(MIN(Комплектация!AU42:'Комплектация'!AV42)-Справочник!$B$4&lt;Справочник!$B$3,1,0)+IF(MIN(Комплектация!BE42:'Комплектация'!BF42)-Справочник!$B$4&lt;Справочник!$B$3,1,0)</f>
        <v>0</v>
      </c>
      <c r="Y53" s="34">
        <f>Справочник!$B$8</f>
        <v>4650000</v>
      </c>
      <c r="Z53" s="34">
        <f t="shared" si="23"/>
        <v>3900665.2397260275</v>
      </c>
    </row>
    <row r="54" spans="1:26" x14ac:dyDescent="0.25">
      <c r="A54" s="45">
        <f>Комплектация!A43</f>
        <v>75175091</v>
      </c>
      <c r="B54" s="46" t="str">
        <f>Комплектация!C43</f>
        <v>15-1219-1П</v>
      </c>
      <c r="C54" s="46">
        <f>Комплектация!E43</f>
        <v>2020</v>
      </c>
      <c r="D54" s="46">
        <f t="shared" si="12"/>
        <v>6</v>
      </c>
      <c r="E54" s="47">
        <f t="shared" si="13"/>
        <v>18.75</v>
      </c>
      <c r="F54" s="48" t="str">
        <f>TEXT(Комплектация!V43,"0")&amp;"/"&amp;TEXT(Комплектация!AF43,"0")&amp;"/"&amp;TEXT(Комплектация!AP43,"0")&amp;"/"&amp;TEXT(Комплектация!AZ43,"0")</f>
        <v>2020/2020/2020/2020</v>
      </c>
      <c r="G54" s="49">
        <f>AVERAGE(Комплектация!V43,Комплектация!AF43,Комплектация!AP43,Комплектация!AZ43)</f>
        <v>2020</v>
      </c>
      <c r="H54" s="49">
        <f t="shared" si="14"/>
        <v>6</v>
      </c>
      <c r="I54" s="49">
        <f>AVERAGE(Комплектация!AA43:'Комплектация'!AB43,Комплектация!AK43:'Комплектация'!AL43,Комплектация!AU43:'Комплектация'!AV43,Комплектация!BE43:'Комплектация'!BF43)</f>
        <v>60.125</v>
      </c>
      <c r="J54" s="49">
        <f>MIN(Комплектация!AA43:'Комплектация'!AB43,Комплектация!AK43:'Комплектация'!AL43,Комплектация!AU43:'Комплектация'!AV43,Комплектация!BE43:'Комплектация'!BF43)</f>
        <v>56</v>
      </c>
      <c r="K54" s="47">
        <f t="shared" si="15"/>
        <v>0</v>
      </c>
      <c r="L54" s="47">
        <f t="shared" si="16"/>
        <v>20</v>
      </c>
      <c r="M54" s="47">
        <f t="shared" si="17"/>
        <v>6</v>
      </c>
      <c r="N54" s="47">
        <f t="shared" si="18"/>
        <v>15.950342465753424</v>
      </c>
      <c r="O54" s="47">
        <f t="shared" si="19"/>
        <v>84.049657534246577</v>
      </c>
      <c r="P54" s="50"/>
      <c r="Q54" s="51" t="str">
        <f t="shared" si="20"/>
        <v/>
      </c>
      <c r="R54" s="22" t="str">
        <f>IF(Комплектация!G43="",Комплектация!I43,IF(Комплектация!I43="",Комплектация!G43,IF(DATE(VALUE(RIGHT(Комплектация!G43,4)),VALUE(MID(Комплектация!G43,4,2)),VALUE(LEFT(Комплектация!G43,2)))&gt;=DATE(VALUE(RIGHT(Комплектация!I43,4)),VALUE(MID(Комплектация!I43,4,2)),VALUE(LEFT(Комплектация!I43,2))),Комплектация!G43,Комплектация!I43)))</f>
        <v>17.11.2025</v>
      </c>
      <c r="S54" s="22" t="str">
        <f>Комплектация!L43</f>
        <v>17.11.2027</v>
      </c>
      <c r="T54" s="24">
        <f t="shared" si="21"/>
        <v>1.2840520191649556</v>
      </c>
      <c r="U54" s="26">
        <f t="shared" si="22"/>
        <v>35.753424657534246</v>
      </c>
      <c r="V54" s="26">
        <f>IF(U54="","",U54*Справочник!$B$7/100)</f>
        <v>3.5753424657534247</v>
      </c>
      <c r="W54" s="24">
        <f>J54-Справочник!$B$4</f>
        <v>41</v>
      </c>
      <c r="X54" s="28">
        <f>IF(MIN(Комплектация!AA43:'Комплектация'!AB43)-Справочник!$B$4&lt;Справочник!$B$3,1,0)+IF(MIN(Комплектация!AK43:'Комплектация'!AL43)-Справочник!$B$4&lt;Справочник!$B$3,1,0)+IF(MIN(Комплектация!AU43:'Комплектация'!AV43)-Справочник!$B$4&lt;Справочник!$B$3,1,0)+IF(MIN(Комплектация!BE43:'Комплектация'!BF43)-Справочник!$B$4&lt;Справочник!$B$3,1,0)</f>
        <v>0</v>
      </c>
      <c r="Y54" s="33">
        <f>Справочник!$B$8</f>
        <v>4650000</v>
      </c>
      <c r="Z54" s="33">
        <f t="shared" si="23"/>
        <v>3908309.0753424657</v>
      </c>
    </row>
    <row r="55" spans="1:26" x14ac:dyDescent="0.25">
      <c r="A55" s="52">
        <f>Комплектация!A44</f>
        <v>75175497</v>
      </c>
      <c r="B55" s="53" t="str">
        <f>Комплектация!C44</f>
        <v>15-1219-1П</v>
      </c>
      <c r="C55" s="53">
        <f>Комплектация!E44</f>
        <v>2020</v>
      </c>
      <c r="D55" s="53">
        <f t="shared" si="12"/>
        <v>6</v>
      </c>
      <c r="E55" s="54">
        <f t="shared" si="13"/>
        <v>18.75</v>
      </c>
      <c r="F55" s="55" t="str">
        <f>TEXT(Комплектация!V44,"0")&amp;"/"&amp;TEXT(Комплектация!AF44,"0")&amp;"/"&amp;TEXT(Комплектация!AP44,"0")&amp;"/"&amp;TEXT(Комплектация!AZ44,"0")</f>
        <v>2020/2020/2020/2020</v>
      </c>
      <c r="G55" s="56">
        <f>AVERAGE(Комплектация!V44,Комплектация!AF44,Комплектация!AP44,Комплектация!AZ44)</f>
        <v>2020</v>
      </c>
      <c r="H55" s="56">
        <f t="shared" si="14"/>
        <v>6</v>
      </c>
      <c r="I55" s="56">
        <f>AVERAGE(Комплектация!AA44:'Комплектация'!AB44,Комплектация!AK44:'Комплектация'!AL44,Комплектация!AU44:'Комплектация'!AV44,Комплектация!BE44:'Комплектация'!BF44)</f>
        <v>57.875</v>
      </c>
      <c r="J55" s="56">
        <f>MIN(Комплектация!AA44:'Комплектация'!AB44,Комплектация!AK44:'Комплектация'!AL44,Комплектация!AU44:'Комплектация'!AV44,Комплектация!BE44:'Комплектация'!BF44)</f>
        <v>49</v>
      </c>
      <c r="K55" s="54">
        <f t="shared" si="15"/>
        <v>4.3478260869565215</v>
      </c>
      <c r="L55" s="54">
        <f t="shared" si="16"/>
        <v>20</v>
      </c>
      <c r="M55" s="54">
        <f t="shared" si="17"/>
        <v>23.5</v>
      </c>
      <c r="N55" s="54">
        <f t="shared" si="18"/>
        <v>25.549657534246574</v>
      </c>
      <c r="O55" s="54">
        <f t="shared" si="19"/>
        <v>74.450342465753423</v>
      </c>
      <c r="P55" s="50"/>
      <c r="Q55" s="57" t="str">
        <f t="shared" si="20"/>
        <v/>
      </c>
      <c r="R55" s="23" t="str">
        <f>IF(Комплектация!G44="",Комплектация!I44,IF(Комплектация!I44="",Комплектация!G44,IF(DATE(VALUE(RIGHT(Комплектация!G44,4)),VALUE(MID(Комплектация!G44,4,2)),VALUE(LEFT(Комплектация!G44,2)))&gt;=DATE(VALUE(RIGHT(Комплектация!I44,4)),VALUE(MID(Комплектация!I44,4,2)),VALUE(LEFT(Комплектация!I44,2))),Комплектация!G44,Комплектация!I44)))</f>
        <v>16.09.2025</v>
      </c>
      <c r="S55" s="23" t="str">
        <f>Комплектация!L44</f>
        <v>16.09.2027</v>
      </c>
      <c r="T55" s="25">
        <f t="shared" si="21"/>
        <v>1.1143052703627652</v>
      </c>
      <c r="U55" s="27">
        <f t="shared" si="22"/>
        <v>44.246575342465754</v>
      </c>
      <c r="V55" s="27">
        <f>IF(U55="","",U55*Справочник!$B$7/100)</f>
        <v>4.4246575342465748</v>
      </c>
      <c r="W55" s="25">
        <f>J55-Справочник!$B$4</f>
        <v>34</v>
      </c>
      <c r="X55" s="29">
        <f>IF(MIN(Комплектация!AA44:'Комплектация'!AB44)-Справочник!$B$4&lt;Справочник!$B$3,1,0)+IF(MIN(Комплектация!AK44:'Комплектация'!AL44)-Справочник!$B$4&lt;Справочник!$B$3,1,0)+IF(MIN(Комплектация!AU44:'Комплектация'!AV44)-Справочник!$B$4&lt;Справочник!$B$3,1,0)+IF(MIN(Комплектация!BE44:'Комплектация'!BF44)-Справочник!$B$4&lt;Справочник!$B$3,1,0)</f>
        <v>1</v>
      </c>
      <c r="Y55" s="34">
        <f>Справочник!$B$8</f>
        <v>4650000</v>
      </c>
      <c r="Z55" s="34">
        <f t="shared" si="23"/>
        <v>3461940.9246575343</v>
      </c>
    </row>
    <row r="56" spans="1:26" x14ac:dyDescent="0.25">
      <c r="A56" s="45">
        <f>Комплектация!A45</f>
        <v>75176297</v>
      </c>
      <c r="B56" s="46" t="str">
        <f>Комплектация!C45</f>
        <v>15-1219-1П</v>
      </c>
      <c r="C56" s="46">
        <f>Комплектация!E45</f>
        <v>2020</v>
      </c>
      <c r="D56" s="46">
        <f t="shared" si="12"/>
        <v>6</v>
      </c>
      <c r="E56" s="47">
        <f t="shared" si="13"/>
        <v>18.75</v>
      </c>
      <c r="F56" s="48" t="str">
        <f>TEXT(Комплектация!V45,"0")&amp;"/"&amp;TEXT(Комплектация!AF45,"0")&amp;"/"&amp;TEXT(Комплектация!AP45,"0")&amp;"/"&amp;TEXT(Комплектация!AZ45,"0")</f>
        <v>2020/2020/2020/2020</v>
      </c>
      <c r="G56" s="49">
        <f>AVERAGE(Комплектация!V45,Комплектация!AF45,Комплектация!AP45,Комплектация!AZ45)</f>
        <v>2020</v>
      </c>
      <c r="H56" s="49">
        <f t="shared" si="14"/>
        <v>6</v>
      </c>
      <c r="I56" s="49">
        <f>AVERAGE(Комплектация!AA45:'Комплектация'!AB45,Комплектация!AK45:'Комплектация'!AL45,Комплектация!AU45:'Комплектация'!AV45,Комплектация!BE45:'Комплектация'!BF45)</f>
        <v>58.875</v>
      </c>
      <c r="J56" s="49">
        <f>MIN(Комплектация!AA45:'Комплектация'!AB45,Комплектация!AK45:'Комплектация'!AL45,Комплектация!AU45:'Комплектация'!AV45,Комплектация!BE45:'Комплектация'!BF45)</f>
        <v>54</v>
      </c>
      <c r="K56" s="47">
        <f t="shared" si="15"/>
        <v>0</v>
      </c>
      <c r="L56" s="47">
        <f t="shared" si="16"/>
        <v>20</v>
      </c>
      <c r="M56" s="47">
        <f t="shared" si="17"/>
        <v>6</v>
      </c>
      <c r="N56" s="47">
        <f t="shared" si="18"/>
        <v>15.662671232876711</v>
      </c>
      <c r="O56" s="47">
        <f t="shared" si="19"/>
        <v>84.337328767123296</v>
      </c>
      <c r="P56" s="50"/>
      <c r="Q56" s="51" t="str">
        <f t="shared" si="20"/>
        <v/>
      </c>
      <c r="R56" s="22" t="str">
        <f>IF(Комплектация!G45="",Комплектация!I45,IF(Комплектация!I45="",Комплектация!G45,IF(DATE(VALUE(RIGHT(Комплектация!G45,4)),VALUE(MID(Комплектация!G45,4,2)),VALUE(LEFT(Комплектация!G45,2)))&gt;=DATE(VALUE(RIGHT(Комплектация!I45,4)),VALUE(MID(Комплектация!I45,4,2)),VALUE(LEFT(Комплектация!I45,2))),Комплектация!G45,Комплектация!I45)))</f>
        <v>08.12.2025</v>
      </c>
      <c r="S56" s="22" t="str">
        <f>Комплектация!L45</f>
        <v>08.12.2027</v>
      </c>
      <c r="T56" s="24">
        <f t="shared" si="21"/>
        <v>1.3415468856947297</v>
      </c>
      <c r="U56" s="26">
        <f t="shared" si="22"/>
        <v>32.87671232876712</v>
      </c>
      <c r="V56" s="26">
        <f>IF(U56="","",U56*Справочник!$B$7/100)</f>
        <v>3.2876712328767121</v>
      </c>
      <c r="W56" s="24">
        <f>J56-Справочник!$B$4</f>
        <v>39</v>
      </c>
      <c r="X56" s="28">
        <f>IF(MIN(Комплектация!AA45:'Комплектация'!AB45)-Справочник!$B$4&lt;Справочник!$B$3,1,0)+IF(MIN(Комплектация!AK45:'Комплектация'!AL45)-Справочник!$B$4&lt;Справочник!$B$3,1,0)+IF(MIN(Комплектация!AU45:'Комплектация'!AV45)-Справочник!$B$4&lt;Справочник!$B$3,1,0)+IF(MIN(Комплектация!BE45:'Комплектация'!BF45)-Справочник!$B$4&lt;Справочник!$B$3,1,0)</f>
        <v>0</v>
      </c>
      <c r="Y56" s="33">
        <f>Справочник!$B$8</f>
        <v>4650000</v>
      </c>
      <c r="Z56" s="33">
        <f t="shared" si="23"/>
        <v>3921685.7876712335</v>
      </c>
    </row>
    <row r="57" spans="1:26" x14ac:dyDescent="0.25">
      <c r="A57" s="52">
        <f>Комплектация!A46</f>
        <v>75176396</v>
      </c>
      <c r="B57" s="53" t="str">
        <f>Комплектация!C46</f>
        <v>15-1219-1П</v>
      </c>
      <c r="C57" s="53">
        <f>Комплектация!E46</f>
        <v>2020</v>
      </c>
      <c r="D57" s="53">
        <f t="shared" si="12"/>
        <v>6</v>
      </c>
      <c r="E57" s="54">
        <f t="shared" si="13"/>
        <v>18.75</v>
      </c>
      <c r="F57" s="55" t="str">
        <f>TEXT(Комплектация!V46,"0")&amp;"/"&amp;TEXT(Комплектация!AF46,"0")&amp;"/"&amp;TEXT(Комплектация!AP46,"0")&amp;"/"&amp;TEXT(Комплектация!AZ46,"0")</f>
        <v>2020/2020/2020/2020</v>
      </c>
      <c r="G57" s="56">
        <f>AVERAGE(Комплектация!V46,Комплектация!AF46,Комплектация!AP46,Комплектация!AZ46)</f>
        <v>2020</v>
      </c>
      <c r="H57" s="56">
        <f t="shared" si="14"/>
        <v>6</v>
      </c>
      <c r="I57" s="56">
        <f>AVERAGE(Комплектация!AA46:'Комплектация'!AB46,Комплектация!AK46:'Комплектация'!AL46,Комплектация!AU46:'Комплектация'!AV46,Комплектация!BE46:'Комплектация'!BF46)</f>
        <v>55.625</v>
      </c>
      <c r="J57" s="56">
        <f>MIN(Комплектация!AA46:'Комплектация'!AB46,Комплектация!AK46:'Комплектация'!AL46,Комплектация!AU46:'Комплектация'!AV46,Комплектация!BE46:'Комплектация'!BF46)</f>
        <v>48</v>
      </c>
      <c r="K57" s="54">
        <f t="shared" si="15"/>
        <v>8.695652173913043</v>
      </c>
      <c r="L57" s="54">
        <f t="shared" si="16"/>
        <v>20</v>
      </c>
      <c r="M57" s="54">
        <f t="shared" si="17"/>
        <v>23.5</v>
      </c>
      <c r="N57" s="54">
        <f t="shared" si="18"/>
        <v>25.768835616438356</v>
      </c>
      <c r="O57" s="54">
        <f t="shared" si="19"/>
        <v>74.231164383561648</v>
      </c>
      <c r="P57" s="50"/>
      <c r="Q57" s="57" t="str">
        <f t="shared" si="20"/>
        <v/>
      </c>
      <c r="R57" s="23" t="str">
        <f>IF(Комплектация!G46="",Комплектация!I46,IF(Комплектация!I46="",Комплектация!G46,IF(DATE(VALUE(RIGHT(Комплектация!G46,4)),VALUE(MID(Комплектация!G46,4,2)),VALUE(LEFT(Комплектация!G46,2)))&gt;=DATE(VALUE(RIGHT(Комплектация!I46,4)),VALUE(MID(Комплектация!I46,4,2)),VALUE(LEFT(Комплектация!I46,2))),Комплектация!G46,Комплектация!I46)))</f>
        <v>31.08.2025</v>
      </c>
      <c r="S57" s="23" t="str">
        <f>Комплектация!L46</f>
        <v>31.08.2027</v>
      </c>
      <c r="T57" s="25">
        <f t="shared" si="21"/>
        <v>1.0704996577686516</v>
      </c>
      <c r="U57" s="27">
        <f t="shared" si="22"/>
        <v>46.438356164383556</v>
      </c>
      <c r="V57" s="27">
        <f>IF(U57="","",U57*Справочник!$B$7/100)</f>
        <v>4.6438356164383556</v>
      </c>
      <c r="W57" s="25">
        <f>J57-Справочник!$B$4</f>
        <v>33</v>
      </c>
      <c r="X57" s="29">
        <f>IF(MIN(Комплектация!AA46:'Комплектация'!AB46)-Справочник!$B$4&lt;Справочник!$B$3,1,0)+IF(MIN(Комплектация!AK46:'Комплектация'!AL46)-Справочник!$B$4&lt;Справочник!$B$3,1,0)+IF(MIN(Комплектация!AU46:'Комплектация'!AV46)-Справочник!$B$4&lt;Справочник!$B$3,1,0)+IF(MIN(Комплектация!BE46:'Комплектация'!BF46)-Справочник!$B$4&lt;Справочник!$B$3,1,0)</f>
        <v>1</v>
      </c>
      <c r="Y57" s="34">
        <f>Справочник!$B$8</f>
        <v>4650000</v>
      </c>
      <c r="Z57" s="34">
        <f t="shared" si="23"/>
        <v>3451749.1438356168</v>
      </c>
    </row>
    <row r="58" spans="1:26" x14ac:dyDescent="0.25">
      <c r="A58" s="45">
        <f>Комплектация!A47</f>
        <v>75163998</v>
      </c>
      <c r="B58" s="46" t="str">
        <f>Комплектация!C47</f>
        <v>15-1219-1П</v>
      </c>
      <c r="C58" s="46">
        <f>Комплектация!E47</f>
        <v>2020</v>
      </c>
      <c r="D58" s="46">
        <f t="shared" si="12"/>
        <v>6</v>
      </c>
      <c r="E58" s="47">
        <f t="shared" si="13"/>
        <v>18.75</v>
      </c>
      <c r="F58" s="48" t="str">
        <f>TEXT(Комплектация!V47,"0")&amp;"/"&amp;TEXT(Комплектация!AF47,"0")&amp;"/"&amp;TEXT(Комплектация!AP47,"0")&amp;"/"&amp;TEXT(Комплектация!AZ47,"0")</f>
        <v>2020/2020/2020/2020</v>
      </c>
      <c r="G58" s="49">
        <f>AVERAGE(Комплектация!V47,Комплектация!AF47,Комплектация!AP47,Комплектация!AZ47)</f>
        <v>2020</v>
      </c>
      <c r="H58" s="49">
        <f t="shared" si="14"/>
        <v>6</v>
      </c>
      <c r="I58" s="49">
        <f>AVERAGE(Комплектация!AA47:'Комплектация'!AB47,Комплектация!AK47:'Комплектация'!AL47,Комплектация!AU47:'Комплектация'!AV47,Комплектация!BE47:'Комплектация'!BF47)</f>
        <v>53.5</v>
      </c>
      <c r="J58" s="49">
        <f>MIN(Комплектация!AA47:'Комплектация'!AB47,Комплектация!AK47:'Комплектация'!AL47,Комплектация!AU47:'Комплектация'!AV47,Комплектация!BE47:'Комплектация'!BF47)</f>
        <v>52</v>
      </c>
      <c r="K58" s="47">
        <f t="shared" si="15"/>
        <v>0</v>
      </c>
      <c r="L58" s="47">
        <f t="shared" si="16"/>
        <v>20</v>
      </c>
      <c r="M58" s="47">
        <f t="shared" si="17"/>
        <v>6</v>
      </c>
      <c r="N58" s="47">
        <f t="shared" si="18"/>
        <v>15.991438356164384</v>
      </c>
      <c r="O58" s="47">
        <f t="shared" si="19"/>
        <v>84.00856164383562</v>
      </c>
      <c r="P58" s="50"/>
      <c r="Q58" s="51" t="str">
        <f t="shared" si="20"/>
        <v/>
      </c>
      <c r="R58" s="22" t="str">
        <f>IF(Комплектация!G47="",Комплектация!I47,IF(Комплектация!I47="",Комплектация!G47,IF(DATE(VALUE(RIGHT(Комплектация!G47,4)),VALUE(MID(Комплектация!G47,4,2)),VALUE(LEFT(Комплектация!G47,2)))&gt;=DATE(VALUE(RIGHT(Комплектация!I47,4)),VALUE(MID(Комплектация!I47,4,2)),VALUE(LEFT(Комплектация!I47,2))),Комплектация!G47,Комплектация!I47)))</f>
        <v>14.11.2025</v>
      </c>
      <c r="S58" s="22" t="str">
        <f>Комплектация!L47</f>
        <v>14.11.2027</v>
      </c>
      <c r="T58" s="24">
        <f t="shared" si="21"/>
        <v>1.2758384668035592</v>
      </c>
      <c r="U58" s="26">
        <f t="shared" si="22"/>
        <v>36.164383561643838</v>
      </c>
      <c r="V58" s="26">
        <f>IF(U58="","",U58*Справочник!$B$7/100)</f>
        <v>3.6164383561643838</v>
      </c>
      <c r="W58" s="24">
        <f>J58-Справочник!$B$4</f>
        <v>37</v>
      </c>
      <c r="X58" s="28">
        <f>IF(MIN(Комплектация!AA47:'Комплектация'!AB47)-Справочник!$B$4&lt;Справочник!$B$3,1,0)+IF(MIN(Комплектация!AK47:'Комплектация'!AL47)-Справочник!$B$4&lt;Справочник!$B$3,1,0)+IF(MIN(Комплектация!AU47:'Комплектация'!AV47)-Справочник!$B$4&lt;Справочник!$B$3,1,0)+IF(MIN(Комплектация!BE47:'Комплектация'!BF47)-Справочник!$B$4&lt;Справочник!$B$3,1,0)</f>
        <v>0</v>
      </c>
      <c r="Y58" s="33">
        <f>Справочник!$B$8</f>
        <v>4650000</v>
      </c>
      <c r="Z58" s="33">
        <f t="shared" si="23"/>
        <v>3906398.1164383562</v>
      </c>
    </row>
    <row r="59" spans="1:26" x14ac:dyDescent="0.25">
      <c r="A59" s="52">
        <f>Комплектация!A48</f>
        <v>75164293</v>
      </c>
      <c r="B59" s="53" t="str">
        <f>Комплектация!C48</f>
        <v>15-1219-1П</v>
      </c>
      <c r="C59" s="53">
        <f>Комплектация!E48</f>
        <v>2020</v>
      </c>
      <c r="D59" s="53">
        <f t="shared" si="12"/>
        <v>6</v>
      </c>
      <c r="E59" s="54">
        <f t="shared" si="13"/>
        <v>18.75</v>
      </c>
      <c r="F59" s="55" t="str">
        <f>TEXT(Комплектация!V48,"0")&amp;"/"&amp;TEXT(Комплектация!AF48,"0")&amp;"/"&amp;TEXT(Комплектация!AP48,"0")&amp;"/"&amp;TEXT(Комплектация!AZ48,"0")</f>
        <v>2020/2020/2020/2020</v>
      </c>
      <c r="G59" s="56">
        <f>AVERAGE(Комплектация!V48,Комплектация!AF48,Комплектация!AP48,Комплектация!AZ48)</f>
        <v>2020</v>
      </c>
      <c r="H59" s="56">
        <f t="shared" si="14"/>
        <v>6</v>
      </c>
      <c r="I59" s="56">
        <f>AVERAGE(Комплектация!AA48:'Комплектация'!AB48,Комплектация!AK48:'Комплектация'!AL48,Комплектация!AU48:'Комплектация'!AV48,Комплектация!BE48:'Комплектация'!BF48)</f>
        <v>56.125</v>
      </c>
      <c r="J59" s="56">
        <f>MIN(Комплектация!AA48:'Комплектация'!AB48,Комплектация!AK48:'Комплектация'!AL48,Комплектация!AU48:'Комплектация'!AV48,Комплектация!BE48:'Комплектация'!BF48)</f>
        <v>52</v>
      </c>
      <c r="K59" s="54">
        <f t="shared" si="15"/>
        <v>0</v>
      </c>
      <c r="L59" s="54">
        <f t="shared" si="16"/>
        <v>20</v>
      </c>
      <c r="M59" s="54">
        <f t="shared" si="17"/>
        <v>6</v>
      </c>
      <c r="N59" s="54">
        <f t="shared" si="18"/>
        <v>17.087328767123289</v>
      </c>
      <c r="O59" s="54">
        <f t="shared" si="19"/>
        <v>82.912671232876704</v>
      </c>
      <c r="P59" s="50"/>
      <c r="Q59" s="57" t="str">
        <f t="shared" si="20"/>
        <v/>
      </c>
      <c r="R59" s="23" t="str">
        <f>IF(Комплектация!G48="",Комплектация!I48,IF(Комплектация!I48="",Комплектация!G48,IF(DATE(VALUE(RIGHT(Комплектация!G48,4)),VALUE(MID(Комплектация!G48,4,2)),VALUE(LEFT(Комплектация!G48,2)))&gt;=DATE(VALUE(RIGHT(Комплектация!I48,4)),VALUE(MID(Комплектация!I48,4,2)),VALUE(LEFT(Комплектация!I48,2))),Комплектация!G48,Комплектация!I48)))</f>
        <v>26.08.2025</v>
      </c>
      <c r="S59" s="23" t="str">
        <f>Комплектация!L48</f>
        <v>26.08.2027</v>
      </c>
      <c r="T59" s="25">
        <f t="shared" si="21"/>
        <v>1.0568104038329911</v>
      </c>
      <c r="U59" s="27">
        <f t="shared" si="22"/>
        <v>47.12328767123288</v>
      </c>
      <c r="V59" s="27">
        <f>IF(U59="","",U59*Справочник!$B$7/100)</f>
        <v>4.7123287671232879</v>
      </c>
      <c r="W59" s="25">
        <f>J59-Справочник!$B$4</f>
        <v>37</v>
      </c>
      <c r="X59" s="29">
        <f>IF(MIN(Комплектация!AA48:'Комплектация'!AB48)-Справочник!$B$4&lt;Справочник!$B$3,1,0)+IF(MIN(Комплектация!AK48:'Комплектация'!AL48)-Справочник!$B$4&lt;Справочник!$B$3,1,0)+IF(MIN(Комплектация!AU48:'Комплектация'!AV48)-Справочник!$B$4&lt;Справочник!$B$3,1,0)+IF(MIN(Комплектация!BE48:'Комплектация'!BF48)-Справочник!$B$4&lt;Справочник!$B$3,1,0)</f>
        <v>0</v>
      </c>
      <c r="Y59" s="34">
        <f>Справочник!$B$8</f>
        <v>4650000</v>
      </c>
      <c r="Z59" s="34">
        <f t="shared" si="23"/>
        <v>3855439.2123287665</v>
      </c>
    </row>
    <row r="60" spans="1:26" x14ac:dyDescent="0.25">
      <c r="A60" s="45">
        <f>Комплектация!A49</f>
        <v>75187492</v>
      </c>
      <c r="B60" s="46" t="str">
        <f>Комплектация!C49</f>
        <v>15-1219-1П</v>
      </c>
      <c r="C60" s="46">
        <f>Комплектация!E49</f>
        <v>2020</v>
      </c>
      <c r="D60" s="46">
        <f t="shared" si="12"/>
        <v>6</v>
      </c>
      <c r="E60" s="47">
        <f t="shared" si="13"/>
        <v>18.75</v>
      </c>
      <c r="F60" s="48" t="str">
        <f>TEXT(Комплектация!V49,"0")&amp;"/"&amp;TEXT(Комплектация!AF49,"0")&amp;"/"&amp;TEXT(Комплектация!AP49,"0")&amp;"/"&amp;TEXT(Комплектация!AZ49,"0")</f>
        <v>2020/2020/2020/2020</v>
      </c>
      <c r="G60" s="49">
        <f>AVERAGE(Комплектация!V49,Комплектация!AF49,Комплектация!AP49,Комплектация!AZ49)</f>
        <v>2020</v>
      </c>
      <c r="H60" s="49">
        <f t="shared" si="14"/>
        <v>6</v>
      </c>
      <c r="I60" s="49">
        <f>AVERAGE(Комплектация!AA49:'Комплектация'!AB49,Комплектация!AK49:'Комплектация'!AL49,Комплектация!AU49:'Комплектация'!AV49,Комплектация!BE49:'Комплектация'!BF49)</f>
        <v>59.5</v>
      </c>
      <c r="J60" s="49">
        <f>MIN(Комплектация!AA49:'Комплектация'!AB49,Комплектация!AK49:'Комплектация'!AL49,Комплектация!AU49:'Комплектация'!AV49,Комплектация!BE49:'Комплектация'!BF49)</f>
        <v>55</v>
      </c>
      <c r="K60" s="47">
        <f t="shared" si="15"/>
        <v>0</v>
      </c>
      <c r="L60" s="47">
        <f t="shared" si="16"/>
        <v>20</v>
      </c>
      <c r="M60" s="47">
        <f t="shared" si="17"/>
        <v>6</v>
      </c>
      <c r="N60" s="47">
        <f t="shared" si="18"/>
        <v>16.196917808219176</v>
      </c>
      <c r="O60" s="47">
        <f t="shared" si="19"/>
        <v>83.803082191780817</v>
      </c>
      <c r="P60" s="50"/>
      <c r="Q60" s="51" t="str">
        <f t="shared" si="20"/>
        <v/>
      </c>
      <c r="R60" s="22" t="str">
        <f>IF(Комплектация!G49="",Комплектация!I49,IF(Комплектация!I49="",Комплектация!G49,IF(DATE(VALUE(RIGHT(Комплектация!G49,4)),VALUE(MID(Комплектация!G49,4,2)),VALUE(LEFT(Комплектация!G49,2)))&gt;=DATE(VALUE(RIGHT(Комплектация!I49,4)),VALUE(MID(Комплектация!I49,4,2)),VALUE(LEFT(Комплектация!I49,2))),Комплектация!G49,Комплектация!I49)))</f>
        <v>30.10.2025</v>
      </c>
      <c r="S60" s="22" t="str">
        <f>Комплектация!L49</f>
        <v>30.10.2027</v>
      </c>
      <c r="T60" s="24">
        <f t="shared" si="21"/>
        <v>1.2347707049965777</v>
      </c>
      <c r="U60" s="26">
        <f t="shared" si="22"/>
        <v>38.219178082191782</v>
      </c>
      <c r="V60" s="26">
        <f>IF(U60="","",U60*Справочник!$B$7/100)</f>
        <v>3.8219178082191778</v>
      </c>
      <c r="W60" s="24">
        <f>J60-Справочник!$B$4</f>
        <v>40</v>
      </c>
      <c r="X60" s="28">
        <f>IF(MIN(Комплектация!AA49:'Комплектация'!AB49)-Справочник!$B$4&lt;Справочник!$B$3,1,0)+IF(MIN(Комплектация!AK49:'Комплектация'!AL49)-Справочник!$B$4&lt;Справочник!$B$3,1,0)+IF(MIN(Комплектация!AU49:'Комплектация'!AV49)-Справочник!$B$4&lt;Справочник!$B$3,1,0)+IF(MIN(Комплектация!BE49:'Комплектация'!BF49)-Справочник!$B$4&lt;Справочник!$B$3,1,0)</f>
        <v>0</v>
      </c>
      <c r="Y60" s="33">
        <f>Справочник!$B$8</f>
        <v>4650000</v>
      </c>
      <c r="Z60" s="33">
        <f t="shared" si="23"/>
        <v>3896843.3219178081</v>
      </c>
    </row>
    <row r="61" spans="1:26" x14ac:dyDescent="0.25">
      <c r="A61" s="52">
        <f>Комплектация!A50</f>
        <v>75188896</v>
      </c>
      <c r="B61" s="53" t="str">
        <f>Комплектация!C50</f>
        <v>15-1219-1П</v>
      </c>
      <c r="C61" s="53">
        <f>Комплектация!E50</f>
        <v>2020</v>
      </c>
      <c r="D61" s="53">
        <f t="shared" si="12"/>
        <v>6</v>
      </c>
      <c r="E61" s="54">
        <f t="shared" si="13"/>
        <v>18.75</v>
      </c>
      <c r="F61" s="55" t="str">
        <f>TEXT(Комплектация!V50,"0")&amp;"/"&amp;TEXT(Комплектация!AF50,"0")&amp;"/"&amp;TEXT(Комплектация!AP50,"0")&amp;"/"&amp;TEXT(Комплектация!AZ50,"0")</f>
        <v>2020/2020/2020/2020</v>
      </c>
      <c r="G61" s="56">
        <f>AVERAGE(Комплектация!V50,Комплектация!AF50,Комплектация!AP50,Комплектация!AZ50)</f>
        <v>2020</v>
      </c>
      <c r="H61" s="56">
        <f t="shared" si="14"/>
        <v>6</v>
      </c>
      <c r="I61" s="56">
        <f>AVERAGE(Комплектация!AA50:'Комплектация'!AB50,Комплектация!AK50:'Комплектация'!AL50,Комплектация!AU50:'Комплектация'!AV50,Комплектация!BE50:'Комплектация'!BF50)</f>
        <v>62.375</v>
      </c>
      <c r="J61" s="56">
        <f>MIN(Комплектация!AA50:'Комплектация'!AB50,Комплектация!AK50:'Комплектация'!AL50,Комплектация!AU50:'Комплектация'!AV50,Комплектация!BE50:'Комплектация'!BF50)</f>
        <v>60</v>
      </c>
      <c r="K61" s="54">
        <f t="shared" si="15"/>
        <v>0</v>
      </c>
      <c r="L61" s="54">
        <f t="shared" si="16"/>
        <v>20</v>
      </c>
      <c r="M61" s="54">
        <f t="shared" si="17"/>
        <v>6</v>
      </c>
      <c r="N61" s="54">
        <f t="shared" si="18"/>
        <v>15.580479452054794</v>
      </c>
      <c r="O61" s="54">
        <f t="shared" si="19"/>
        <v>84.419520547945211</v>
      </c>
      <c r="P61" s="50"/>
      <c r="Q61" s="57" t="str">
        <f t="shared" si="20"/>
        <v/>
      </c>
      <c r="R61" s="23" t="str">
        <f>IF(Комплектация!G50="",Комплектация!I50,IF(Комплектация!I50="",Комплектация!G50,IF(DATE(VALUE(RIGHT(Комплектация!G50,4)),VALUE(MID(Комплектация!G50,4,2)),VALUE(LEFT(Комплектация!G50,2)))&gt;=DATE(VALUE(RIGHT(Комплектация!I50,4)),VALUE(MID(Комплектация!I50,4,2)),VALUE(LEFT(Комплектация!I50,2))),Комплектация!G50,Комплектация!I50)))</f>
        <v>14.12.2025</v>
      </c>
      <c r="S61" s="23" t="str">
        <f>Комплектация!L50</f>
        <v>14.12.2027</v>
      </c>
      <c r="T61" s="25">
        <f t="shared" si="21"/>
        <v>1.3579739904175223</v>
      </c>
      <c r="U61" s="27">
        <f t="shared" si="22"/>
        <v>32.054794520547944</v>
      </c>
      <c r="V61" s="27">
        <f>IF(U61="","",U61*Справочник!$B$7/100)</f>
        <v>3.2054794520547945</v>
      </c>
      <c r="W61" s="25">
        <f>J61-Справочник!$B$4</f>
        <v>45</v>
      </c>
      <c r="X61" s="29">
        <f>IF(MIN(Комплектация!AA50:'Комплектация'!AB50)-Справочник!$B$4&lt;Справочник!$B$3,1,0)+IF(MIN(Комплектация!AK50:'Комплектация'!AL50)-Справочник!$B$4&lt;Справочник!$B$3,1,0)+IF(MIN(Комплектация!AU50:'Комплектация'!AV50)-Справочник!$B$4&lt;Справочник!$B$3,1,0)+IF(MIN(Комплектация!BE50:'Комплектация'!BF50)-Справочник!$B$4&lt;Справочник!$B$3,1,0)</f>
        <v>0</v>
      </c>
      <c r="Y61" s="34">
        <f>Справочник!$B$8</f>
        <v>4650000</v>
      </c>
      <c r="Z61" s="34">
        <f t="shared" si="23"/>
        <v>3925507.7054794524</v>
      </c>
    </row>
    <row r="62" spans="1:26" x14ac:dyDescent="0.25">
      <c r="A62" s="45">
        <f>Комплектация!A51</f>
        <v>75176594</v>
      </c>
      <c r="B62" s="46" t="str">
        <f>Комплектация!C51</f>
        <v>15-1219-1П</v>
      </c>
      <c r="C62" s="46">
        <f>Комплектация!E51</f>
        <v>2020</v>
      </c>
      <c r="D62" s="46">
        <f t="shared" si="12"/>
        <v>6</v>
      </c>
      <c r="E62" s="47">
        <f t="shared" si="13"/>
        <v>18.75</v>
      </c>
      <c r="F62" s="48" t="str">
        <f>TEXT(Комплектация!V51,"0")&amp;"/"&amp;TEXT(Комплектация!AF51,"0")&amp;"/"&amp;TEXT(Комплектация!AP51,"0")&amp;"/"&amp;TEXT(Комплектация!AZ51,"0")</f>
        <v>2020/2020/2020/2020</v>
      </c>
      <c r="G62" s="49">
        <f>AVERAGE(Комплектация!V51,Комплектация!AF51,Комплектация!AP51,Комплектация!AZ51)</f>
        <v>2020</v>
      </c>
      <c r="H62" s="49">
        <f t="shared" si="14"/>
        <v>6</v>
      </c>
      <c r="I62" s="49">
        <f>AVERAGE(Комплектация!AA51:'Комплектация'!AB51,Комплектация!AK51:'Комплектация'!AL51,Комплектация!AU51:'Комплектация'!AV51,Комплектация!BE51:'Комплектация'!BF51)</f>
        <v>61.25</v>
      </c>
      <c r="J62" s="49">
        <f>MIN(Комплектация!AA51:'Комплектация'!AB51,Комплектация!AK51:'Комплектация'!AL51,Комплектация!AU51:'Комплектация'!AV51,Комплектация!BE51:'Комплектация'!BF51)</f>
        <v>59</v>
      </c>
      <c r="K62" s="47">
        <f t="shared" si="15"/>
        <v>0</v>
      </c>
      <c r="L62" s="47">
        <f t="shared" si="16"/>
        <v>20</v>
      </c>
      <c r="M62" s="47">
        <f t="shared" si="17"/>
        <v>6</v>
      </c>
      <c r="N62" s="47">
        <f t="shared" si="18"/>
        <v>14.48170314637483</v>
      </c>
      <c r="O62" s="47">
        <f t="shared" si="19"/>
        <v>85.518296853625174</v>
      </c>
      <c r="P62" s="50"/>
      <c r="Q62" s="51" t="str">
        <f t="shared" si="20"/>
        <v/>
      </c>
      <c r="R62" s="22" t="str">
        <f>IF(Комплектация!G51="",Комплектация!I51,IF(Комплектация!I51="",Комплектация!G51,IF(DATE(VALUE(RIGHT(Комплектация!G51,4)),VALUE(MID(Комплектация!G51,4,2)),VALUE(LEFT(Комплектация!G51,2)))&gt;=DATE(VALUE(RIGHT(Комплектация!I51,4)),VALUE(MID(Комплектация!I51,4,2)),VALUE(LEFT(Комплектация!I51,2))),Комплектация!G51,Комплектация!I51)))</f>
        <v>04.03.2026</v>
      </c>
      <c r="S62" s="22" t="str">
        <f>Комплектация!L51</f>
        <v>04.03.2028</v>
      </c>
      <c r="T62" s="24">
        <f t="shared" si="21"/>
        <v>1.5797399041752225</v>
      </c>
      <c r="U62" s="26">
        <f t="shared" si="22"/>
        <v>21.06703146374829</v>
      </c>
      <c r="V62" s="26">
        <f>IF(U62="","",U62*Справочник!$B$7/100)</f>
        <v>2.1067031463748291</v>
      </c>
      <c r="W62" s="24">
        <f>J62-Справочник!$B$4</f>
        <v>44</v>
      </c>
      <c r="X62" s="28">
        <f>IF(MIN(Комплектация!AA51:'Комплектация'!AB51)-Справочник!$B$4&lt;Справочник!$B$3,1,0)+IF(MIN(Комплектация!AK51:'Комплектация'!AL51)-Справочник!$B$4&lt;Справочник!$B$3,1,0)+IF(MIN(Комплектация!AU51:'Комплектация'!AV51)-Справочник!$B$4&lt;Справочник!$B$3,1,0)+IF(MIN(Комплектация!BE51:'Комплектация'!BF51)-Справочник!$B$4&lt;Справочник!$B$3,1,0)</f>
        <v>0</v>
      </c>
      <c r="Y62" s="33">
        <f>Справочник!$B$8</f>
        <v>4650000</v>
      </c>
      <c r="Z62" s="33">
        <f t="shared" si="23"/>
        <v>3976600.8036935707</v>
      </c>
    </row>
    <row r="63" spans="1:26" x14ac:dyDescent="0.25">
      <c r="A63" s="52">
        <f>Комплектация!A52</f>
        <v>75182394</v>
      </c>
      <c r="B63" s="53" t="str">
        <f>Комплектация!C52</f>
        <v>15-1219-1П</v>
      </c>
      <c r="C63" s="53">
        <f>Комплектация!E52</f>
        <v>2020</v>
      </c>
      <c r="D63" s="53">
        <f t="shared" si="12"/>
        <v>6</v>
      </c>
      <c r="E63" s="54">
        <f t="shared" si="13"/>
        <v>18.75</v>
      </c>
      <c r="F63" s="55" t="str">
        <f>TEXT(Комплектация!V52,"0")&amp;"/"&amp;TEXT(Комплектация!AF52,"0")&amp;"/"&amp;TEXT(Комплектация!AP52,"0")&amp;"/"&amp;TEXT(Комплектация!AZ52,"0")</f>
        <v>2020/2020/2020/2020</v>
      </c>
      <c r="G63" s="56">
        <f>AVERAGE(Комплектация!V52,Комплектация!AF52,Комплектация!AP52,Комплектация!AZ52)</f>
        <v>2020</v>
      </c>
      <c r="H63" s="56">
        <f t="shared" si="14"/>
        <v>6</v>
      </c>
      <c r="I63" s="56">
        <f>AVERAGE(Комплектация!AA52:'Комплектация'!AB52,Комплектация!AK52:'Комплектация'!AL52,Комплектация!AU52:'Комплектация'!AV52,Комплектация!BE52:'Комплектация'!BF52)</f>
        <v>61.75</v>
      </c>
      <c r="J63" s="56">
        <f>MIN(Комплектация!AA52:'Комплектация'!AB52,Комплектация!AK52:'Комплектация'!AL52,Комплектация!AU52:'Комплектация'!AV52,Комплектация!BE52:'Комплектация'!BF52)</f>
        <v>60</v>
      </c>
      <c r="K63" s="54">
        <f t="shared" si="15"/>
        <v>0</v>
      </c>
      <c r="L63" s="54">
        <f t="shared" si="16"/>
        <v>20</v>
      </c>
      <c r="M63" s="54">
        <f t="shared" si="17"/>
        <v>6</v>
      </c>
      <c r="N63" s="54">
        <f t="shared" si="18"/>
        <v>15.827054794520548</v>
      </c>
      <c r="O63" s="54">
        <f t="shared" si="19"/>
        <v>84.172945205479451</v>
      </c>
      <c r="P63" s="50"/>
      <c r="Q63" s="57" t="str">
        <f t="shared" si="20"/>
        <v/>
      </c>
      <c r="R63" s="23" t="str">
        <f>IF(Комплектация!G52="",Комплектация!I52,IF(Комплектация!I52="",Комплектация!G52,IF(DATE(VALUE(RIGHT(Комплектация!G52,4)),VALUE(MID(Комплектация!G52,4,2)),VALUE(LEFT(Комплектация!G52,2)))&gt;=DATE(VALUE(RIGHT(Комплектация!I52,4)),VALUE(MID(Комплектация!I52,4,2)),VALUE(LEFT(Комплектация!I52,2))),Комплектация!G52,Комплектация!I52)))</f>
        <v>26.11.2025</v>
      </c>
      <c r="S63" s="23" t="str">
        <f>Комплектация!L52</f>
        <v>26.11.2027</v>
      </c>
      <c r="T63" s="25">
        <f t="shared" si="21"/>
        <v>1.3086926762491444</v>
      </c>
      <c r="U63" s="27">
        <f t="shared" si="22"/>
        <v>34.520547945205479</v>
      </c>
      <c r="V63" s="27">
        <f>IF(U63="","",U63*Справочник!$B$7/100)</f>
        <v>3.4520547945205475</v>
      </c>
      <c r="W63" s="25">
        <f>J63-Справочник!$B$4</f>
        <v>45</v>
      </c>
      <c r="X63" s="29">
        <f>IF(MIN(Комплектация!AA52:'Комплектация'!AB52)-Справочник!$B$4&lt;Справочник!$B$3,1,0)+IF(MIN(Комплектация!AK52:'Комплектация'!AL52)-Справочник!$B$4&lt;Справочник!$B$3,1,0)+IF(MIN(Комплектация!AU52:'Комплектация'!AV52)-Справочник!$B$4&lt;Справочник!$B$3,1,0)+IF(MIN(Комплектация!BE52:'Комплектация'!BF52)-Справочник!$B$4&lt;Справочник!$B$3,1,0)</f>
        <v>0</v>
      </c>
      <c r="Y63" s="34">
        <f>Справочник!$B$8</f>
        <v>4650000</v>
      </c>
      <c r="Z63" s="34">
        <f t="shared" si="23"/>
        <v>3914041.9520547944</v>
      </c>
    </row>
    <row r="64" spans="1:26" x14ac:dyDescent="0.25">
      <c r="A64" s="45">
        <f>Комплектация!A53</f>
        <v>75189092</v>
      </c>
      <c r="B64" s="46" t="str">
        <f>Комплектация!C53</f>
        <v>15-1219-1П</v>
      </c>
      <c r="C64" s="46">
        <f>Комплектация!E53</f>
        <v>2020</v>
      </c>
      <c r="D64" s="46">
        <f t="shared" si="12"/>
        <v>6</v>
      </c>
      <c r="E64" s="47">
        <f t="shared" si="13"/>
        <v>18.75</v>
      </c>
      <c r="F64" s="48" t="str">
        <f>TEXT(Комплектация!V53,"0")&amp;"/"&amp;TEXT(Комплектация!AF53,"0")&amp;"/"&amp;TEXT(Комплектация!AP53,"0")&amp;"/"&amp;TEXT(Комплектация!AZ53,"0")</f>
        <v>2020/2020/2020/2020</v>
      </c>
      <c r="G64" s="49">
        <f>AVERAGE(Комплектация!V53,Комплектация!AF53,Комплектация!AP53,Комплектация!AZ53)</f>
        <v>2020</v>
      </c>
      <c r="H64" s="49">
        <f t="shared" si="14"/>
        <v>6</v>
      </c>
      <c r="I64" s="49">
        <f>AVERAGE(Комплектация!AA53:'Комплектация'!AB53,Комплектация!AK53:'Комплектация'!AL53,Комплектация!AU53:'Комплектация'!AV53,Комплектация!BE53:'Комплектация'!BF53)</f>
        <v>60.625</v>
      </c>
      <c r="J64" s="49">
        <f>MIN(Комплектация!AA53:'Комплектация'!AB53,Комплектация!AK53:'Комплектация'!AL53,Комплектация!AU53:'Комплектация'!AV53,Комплектация!BE53:'Комплектация'!BF53)</f>
        <v>58</v>
      </c>
      <c r="K64" s="47">
        <f t="shared" si="15"/>
        <v>0</v>
      </c>
      <c r="L64" s="47">
        <f t="shared" si="16"/>
        <v>20</v>
      </c>
      <c r="M64" s="47">
        <f t="shared" si="17"/>
        <v>6</v>
      </c>
      <c r="N64" s="47">
        <f t="shared" si="18"/>
        <v>15.785958904109588</v>
      </c>
      <c r="O64" s="47">
        <f t="shared" si="19"/>
        <v>84.214041095890408</v>
      </c>
      <c r="P64" s="50"/>
      <c r="Q64" s="51" t="str">
        <f t="shared" si="20"/>
        <v/>
      </c>
      <c r="R64" s="22" t="str">
        <f>IF(Комплектация!G53="",Комплектация!I53,IF(Комплектация!I53="",Комплектация!G53,IF(DATE(VALUE(RIGHT(Комплектация!G53,4)),VALUE(MID(Комплектация!G53,4,2)),VALUE(LEFT(Комплектация!G53,2)))&gt;=DATE(VALUE(RIGHT(Комплектация!I53,4)),VALUE(MID(Комплектация!I53,4,2)),VALUE(LEFT(Комплектация!I53,2))),Комплектация!G53,Комплектация!I53)))</f>
        <v>29.11.2025</v>
      </c>
      <c r="S64" s="22" t="str">
        <f>Комплектация!L53</f>
        <v>29.11.2027</v>
      </c>
      <c r="T64" s="24">
        <f t="shared" si="21"/>
        <v>1.3169062286105406</v>
      </c>
      <c r="U64" s="26">
        <f t="shared" si="22"/>
        <v>34.109589041095887</v>
      </c>
      <c r="V64" s="26">
        <f>IF(U64="","",U64*Справочник!$B$7/100)</f>
        <v>3.4109589041095889</v>
      </c>
      <c r="W64" s="24">
        <f>J64-Справочник!$B$4</f>
        <v>43</v>
      </c>
      <c r="X64" s="28">
        <f>IF(MIN(Комплектация!AA53:'Комплектация'!AB53)-Справочник!$B$4&lt;Справочник!$B$3,1,0)+IF(MIN(Комплектация!AK53:'Комплектация'!AL53)-Справочник!$B$4&lt;Справочник!$B$3,1,0)+IF(MIN(Комплектация!AU53:'Комплектация'!AV53)-Справочник!$B$4&lt;Справочник!$B$3,1,0)+IF(MIN(Комплектация!BE53:'Комплектация'!BF53)-Справочник!$B$4&lt;Справочник!$B$3,1,0)</f>
        <v>0</v>
      </c>
      <c r="Y64" s="33">
        <f>Справочник!$B$8</f>
        <v>4650000</v>
      </c>
      <c r="Z64" s="33">
        <f t="shared" si="23"/>
        <v>3915952.9109589038</v>
      </c>
    </row>
    <row r="65" spans="1:26" x14ac:dyDescent="0.25">
      <c r="A65" s="52">
        <f>Комплектация!A54</f>
        <v>75184192</v>
      </c>
      <c r="B65" s="53" t="str">
        <f>Комплектация!C54</f>
        <v>15-1219-1П</v>
      </c>
      <c r="C65" s="53">
        <f>Комплектация!E54</f>
        <v>2020</v>
      </c>
      <c r="D65" s="53">
        <f t="shared" si="12"/>
        <v>6</v>
      </c>
      <c r="E65" s="54">
        <f t="shared" si="13"/>
        <v>18.75</v>
      </c>
      <c r="F65" s="55" t="str">
        <f>TEXT(Комплектация!V54,"0")&amp;"/"&amp;TEXT(Комплектация!AF54,"0")&amp;"/"&amp;TEXT(Комплектация!AP54,"0")&amp;"/"&amp;TEXT(Комплектация!AZ54,"0")</f>
        <v>2020/2020/2020/2020</v>
      </c>
      <c r="G65" s="56">
        <f>AVERAGE(Комплектация!V54,Комплектация!AF54,Комплектация!AP54,Комплектация!AZ54)</f>
        <v>2020</v>
      </c>
      <c r="H65" s="56">
        <f t="shared" si="14"/>
        <v>6</v>
      </c>
      <c r="I65" s="56">
        <f>AVERAGE(Комплектация!AA54:'Комплектация'!AB54,Комплектация!AK54:'Комплектация'!AL54,Комплектация!AU54:'Комплектация'!AV54,Комплектация!BE54:'Комплектация'!BF54)</f>
        <v>54.75</v>
      </c>
      <c r="J65" s="56">
        <f>MIN(Комплектация!AA54:'Комплектация'!AB54,Комплектация!AK54:'Комплектация'!AL54,Комплектация!AU54:'Комплектация'!AV54,Комплектация!BE54:'Комплектация'!BF54)</f>
        <v>52</v>
      </c>
      <c r="K65" s="54">
        <f t="shared" si="15"/>
        <v>0</v>
      </c>
      <c r="L65" s="54">
        <f t="shared" si="16"/>
        <v>20</v>
      </c>
      <c r="M65" s="54">
        <f t="shared" si="17"/>
        <v>6</v>
      </c>
      <c r="N65" s="54">
        <f t="shared" si="18"/>
        <v>16.032534246575342</v>
      </c>
      <c r="O65" s="54">
        <f t="shared" si="19"/>
        <v>83.967465753424662</v>
      </c>
      <c r="P65" s="50"/>
      <c r="Q65" s="57" t="str">
        <f t="shared" si="20"/>
        <v/>
      </c>
      <c r="R65" s="23" t="str">
        <f>IF(Комплектация!G54="",Комплектация!I54,IF(Комплектация!I54="",Комплектация!G54,IF(DATE(VALUE(RIGHT(Комплектация!G54,4)),VALUE(MID(Комплектация!G54,4,2)),VALUE(LEFT(Комплектация!G54,2)))&gt;=DATE(VALUE(RIGHT(Комплектация!I54,4)),VALUE(MID(Комплектация!I54,4,2)),VALUE(LEFT(Комплектация!I54,2))),Комплектация!G54,Комплектация!I54)))</f>
        <v>11.11.2025</v>
      </c>
      <c r="S65" s="23" t="str">
        <f>Комплектация!L54</f>
        <v>11.11.2027</v>
      </c>
      <c r="T65" s="25">
        <f t="shared" si="21"/>
        <v>1.267624914442163</v>
      </c>
      <c r="U65" s="27">
        <f t="shared" si="22"/>
        <v>36.575342465753423</v>
      </c>
      <c r="V65" s="27">
        <f>IF(U65="","",U65*Справочник!$B$7/100)</f>
        <v>3.657534246575342</v>
      </c>
      <c r="W65" s="25">
        <f>J65-Справочник!$B$4</f>
        <v>37</v>
      </c>
      <c r="X65" s="29">
        <f>IF(MIN(Комплектация!AA54:'Комплектация'!AB54)-Справочник!$B$4&lt;Справочник!$B$3,1,0)+IF(MIN(Комплектация!AK54:'Комплектация'!AL54)-Справочник!$B$4&lt;Справочник!$B$3,1,0)+IF(MIN(Комплектация!AU54:'Комплектация'!AV54)-Справочник!$B$4&lt;Справочник!$B$3,1,0)+IF(MIN(Комплектация!BE54:'Комплектация'!BF54)-Справочник!$B$4&lt;Справочник!$B$3,1,0)</f>
        <v>0</v>
      </c>
      <c r="Y65" s="34">
        <f>Справочник!$B$8</f>
        <v>4650000</v>
      </c>
      <c r="Z65" s="34">
        <f t="shared" si="23"/>
        <v>3904487.1575342473</v>
      </c>
    </row>
    <row r="66" spans="1:26" x14ac:dyDescent="0.25">
      <c r="A66" s="45">
        <f>Комплектация!A55</f>
        <v>75184499</v>
      </c>
      <c r="B66" s="46" t="str">
        <f>Комплектация!C55</f>
        <v>15-1219-1П</v>
      </c>
      <c r="C66" s="46">
        <f>Комплектация!E55</f>
        <v>2020</v>
      </c>
      <c r="D66" s="46">
        <f t="shared" si="12"/>
        <v>6</v>
      </c>
      <c r="E66" s="47">
        <f t="shared" si="13"/>
        <v>18.75</v>
      </c>
      <c r="F66" s="48" t="str">
        <f>TEXT(Комплектация!V55,"0")&amp;"/"&amp;TEXT(Комплектация!AF55,"0")&amp;"/"&amp;TEXT(Комплектация!AP55,"0")&amp;"/"&amp;TEXT(Комплектация!AZ55,"0")</f>
        <v>2020/2020/2020/2020</v>
      </c>
      <c r="G66" s="49">
        <f>AVERAGE(Комплектация!V55,Комплектация!AF55,Комплектация!AP55,Комплектация!AZ55)</f>
        <v>2020</v>
      </c>
      <c r="H66" s="49">
        <f t="shared" si="14"/>
        <v>6</v>
      </c>
      <c r="I66" s="49">
        <f>AVERAGE(Комплектация!AA55:'Комплектация'!AB55,Комплектация!AK55:'Комплектация'!AL55,Комплектация!AU55:'Комплектация'!AV55,Комплектация!BE55:'Комплектация'!BF55)</f>
        <v>55.125</v>
      </c>
      <c r="J66" s="49">
        <f>MIN(Комплектация!AA55:'Комплектация'!AB55,Комплектация!AK55:'Комплектация'!AL55,Комплектация!AU55:'Комплектация'!AV55,Комплектация!BE55:'Комплектация'!BF55)</f>
        <v>52</v>
      </c>
      <c r="K66" s="47">
        <f t="shared" si="15"/>
        <v>0</v>
      </c>
      <c r="L66" s="47">
        <f t="shared" si="16"/>
        <v>20</v>
      </c>
      <c r="M66" s="47">
        <f t="shared" si="17"/>
        <v>6</v>
      </c>
      <c r="N66" s="47">
        <f t="shared" si="18"/>
        <v>15.635273972602739</v>
      </c>
      <c r="O66" s="47">
        <f t="shared" si="19"/>
        <v>84.364726027397268</v>
      </c>
      <c r="P66" s="50"/>
      <c r="Q66" s="51" t="str">
        <f t="shared" si="20"/>
        <v/>
      </c>
      <c r="R66" s="22" t="str">
        <f>IF(Комплектация!G55="",Комплектация!I55,IF(Комплектация!I55="",Комплектация!G55,IF(DATE(VALUE(RIGHT(Комплектация!G55,4)),VALUE(MID(Комплектация!G55,4,2)),VALUE(LEFT(Комплектация!G55,2)))&gt;=DATE(VALUE(RIGHT(Комплектация!I55,4)),VALUE(MID(Комплектация!I55,4,2)),VALUE(LEFT(Комплектация!I55,2))),Комплектация!G55,Комплектация!I55)))</f>
        <v>10.12.2025</v>
      </c>
      <c r="S66" s="22" t="str">
        <f>Комплектация!L55</f>
        <v>10.12.2027</v>
      </c>
      <c r="T66" s="24">
        <f t="shared" si="21"/>
        <v>1.3470225872689938</v>
      </c>
      <c r="U66" s="26">
        <f t="shared" si="22"/>
        <v>32.602739726027394</v>
      </c>
      <c r="V66" s="26">
        <f>IF(U66="","",U66*Справочник!$B$7/100)</f>
        <v>3.260273972602739</v>
      </c>
      <c r="W66" s="24">
        <f>J66-Справочник!$B$4</f>
        <v>37</v>
      </c>
      <c r="X66" s="28">
        <f>IF(MIN(Комплектация!AA55:'Комплектация'!AB55)-Справочник!$B$4&lt;Справочник!$B$3,1,0)+IF(MIN(Комплектация!AK55:'Комплектация'!AL55)-Справочник!$B$4&lt;Справочник!$B$3,1,0)+IF(MIN(Комплектация!AU55:'Комплектация'!AV55)-Справочник!$B$4&lt;Справочник!$B$3,1,0)+IF(MIN(Комплектация!BE55:'Комплектация'!BF55)-Справочник!$B$4&lt;Справочник!$B$3,1,0)</f>
        <v>0</v>
      </c>
      <c r="Y66" s="33">
        <f>Справочник!$B$8</f>
        <v>4650000</v>
      </c>
      <c r="Z66" s="33">
        <f t="shared" si="23"/>
        <v>3922959.7602739725</v>
      </c>
    </row>
    <row r="67" spans="1:26" x14ac:dyDescent="0.25">
      <c r="A67" s="52">
        <f>Комплектация!A56</f>
        <v>75184697</v>
      </c>
      <c r="B67" s="53" t="str">
        <f>Комплектация!C56</f>
        <v>15-1219-1П</v>
      </c>
      <c r="C67" s="53">
        <f>Комплектация!E56</f>
        <v>2020</v>
      </c>
      <c r="D67" s="53">
        <f t="shared" si="12"/>
        <v>6</v>
      </c>
      <c r="E67" s="54">
        <f t="shared" si="13"/>
        <v>18.75</v>
      </c>
      <c r="F67" s="55" t="str">
        <f>TEXT(Комплектация!V56,"0")&amp;"/"&amp;TEXT(Комплектация!AF56,"0")&amp;"/"&amp;TEXT(Комплектация!AP56,"0")&amp;"/"&amp;TEXT(Комплектация!AZ56,"0")</f>
        <v>2020/2020/2020/2020</v>
      </c>
      <c r="G67" s="56">
        <f>AVERAGE(Комплектация!V56,Комплектация!AF56,Комплектация!AP56,Комплектация!AZ56)</f>
        <v>2020</v>
      </c>
      <c r="H67" s="56">
        <f t="shared" si="14"/>
        <v>6</v>
      </c>
      <c r="I67" s="56">
        <f>AVERAGE(Комплектация!AA56:'Комплектация'!AB56,Комплектация!AK56:'Комплектация'!AL56,Комплектация!AU56:'Комплектация'!AV56,Комплектация!BE56:'Комплектация'!BF56)</f>
        <v>63.25</v>
      </c>
      <c r="J67" s="56">
        <f>MIN(Комплектация!AA56:'Комплектация'!AB56,Комплектация!AK56:'Комплектация'!AL56,Комплектация!AU56:'Комплектация'!AV56,Комплектация!BE56:'Комплектация'!BF56)</f>
        <v>63</v>
      </c>
      <c r="K67" s="54">
        <f t="shared" si="15"/>
        <v>0</v>
      </c>
      <c r="L67" s="54">
        <f t="shared" si="16"/>
        <v>20</v>
      </c>
      <c r="M67" s="54">
        <f t="shared" si="17"/>
        <v>6</v>
      </c>
      <c r="N67" s="54">
        <f t="shared" si="18"/>
        <v>16.155821917808218</v>
      </c>
      <c r="O67" s="54">
        <f t="shared" si="19"/>
        <v>83.844178082191775</v>
      </c>
      <c r="P67" s="50"/>
      <c r="Q67" s="57" t="str">
        <f t="shared" si="20"/>
        <v/>
      </c>
      <c r="R67" s="23" t="str">
        <f>IF(Комплектация!G56="",Комплектация!I56,IF(Комплектация!I56="",Комплектация!G56,IF(DATE(VALUE(RIGHT(Комплектация!G56,4)),VALUE(MID(Комплектация!G56,4,2)),VALUE(LEFT(Комплектация!G56,2)))&gt;=DATE(VALUE(RIGHT(Комплектация!I56,4)),VALUE(MID(Комплектация!I56,4,2)),VALUE(LEFT(Комплектация!I56,2))),Комплектация!G56,Комплектация!I56)))</f>
        <v>02.11.2025</v>
      </c>
      <c r="S67" s="23" t="str">
        <f>Комплектация!L56</f>
        <v>02.11.2027</v>
      </c>
      <c r="T67" s="25">
        <f t="shared" si="21"/>
        <v>1.2429842573579739</v>
      </c>
      <c r="U67" s="27">
        <f t="shared" si="22"/>
        <v>37.80821917808219</v>
      </c>
      <c r="V67" s="27">
        <f>IF(U67="","",U67*Справочник!$B$7/100)</f>
        <v>3.7808219178082192</v>
      </c>
      <c r="W67" s="25">
        <f>J67-Справочник!$B$4</f>
        <v>48</v>
      </c>
      <c r="X67" s="29">
        <f>IF(MIN(Комплектация!AA56:'Комплектация'!AB56)-Справочник!$B$4&lt;Справочник!$B$3,1,0)+IF(MIN(Комплектация!AK56:'Комплектация'!AL56)-Справочник!$B$4&lt;Справочник!$B$3,1,0)+IF(MIN(Комплектация!AU56:'Комплектация'!AV56)-Справочник!$B$4&lt;Справочник!$B$3,1,0)+IF(MIN(Комплектация!BE56:'Комплектация'!BF56)-Справочник!$B$4&lt;Справочник!$B$3,1,0)</f>
        <v>0</v>
      </c>
      <c r="Y67" s="34">
        <f>Справочник!$B$8</f>
        <v>4650000</v>
      </c>
      <c r="Z67" s="34">
        <f t="shared" si="23"/>
        <v>3898754.2808219176</v>
      </c>
    </row>
    <row r="68" spans="1:26" x14ac:dyDescent="0.25">
      <c r="A68" s="45">
        <f>Комплектация!A57</f>
        <v>75183392</v>
      </c>
      <c r="B68" s="46" t="str">
        <f>Комплектация!C57</f>
        <v>15-1219-1П</v>
      </c>
      <c r="C68" s="46">
        <f>Комплектация!E57</f>
        <v>2020</v>
      </c>
      <c r="D68" s="46">
        <f t="shared" si="12"/>
        <v>6</v>
      </c>
      <c r="E68" s="47">
        <f t="shared" si="13"/>
        <v>18.75</v>
      </c>
      <c r="F68" s="48" t="str">
        <f>TEXT(Комплектация!V57,"0")&amp;"/"&amp;TEXT(Комплектация!AF57,"0")&amp;"/"&amp;TEXT(Комплектация!AP57,"0")&amp;"/"&amp;TEXT(Комплектация!AZ57,"0")</f>
        <v>2020/2020/2020/2020</v>
      </c>
      <c r="G68" s="49">
        <f>AVERAGE(Комплектация!V57,Комплектация!AF57,Комплектация!AP57,Комплектация!AZ57)</f>
        <v>2020</v>
      </c>
      <c r="H68" s="49">
        <f t="shared" si="14"/>
        <v>6</v>
      </c>
      <c r="I68" s="49">
        <f>AVERAGE(Комплектация!AA57:'Комплектация'!AB57,Комплектация!AK57:'Комплектация'!AL57,Комплектация!AU57:'Комплектация'!AV57,Комплектация!BE57:'Комплектация'!BF57)</f>
        <v>61</v>
      </c>
      <c r="J68" s="49">
        <f>MIN(Комплектация!AA57:'Комплектация'!AB57,Комплектация!AK57:'Комплектация'!AL57,Комплектация!AU57:'Комплектация'!AV57,Комплектация!BE57:'Комплектация'!BF57)</f>
        <v>55</v>
      </c>
      <c r="K68" s="47">
        <f t="shared" si="15"/>
        <v>0</v>
      </c>
      <c r="L68" s="47">
        <f t="shared" si="16"/>
        <v>20</v>
      </c>
      <c r="M68" s="47">
        <f t="shared" si="17"/>
        <v>6</v>
      </c>
      <c r="N68" s="47">
        <f t="shared" si="18"/>
        <v>16.155821917808218</v>
      </c>
      <c r="O68" s="47">
        <f t="shared" si="19"/>
        <v>83.844178082191775</v>
      </c>
      <c r="P68" s="50"/>
      <c r="Q68" s="51" t="str">
        <f t="shared" si="20"/>
        <v/>
      </c>
      <c r="R68" s="22" t="str">
        <f>IF(Комплектация!G57="",Комплектация!I57,IF(Комплектация!I57="",Комплектация!G57,IF(DATE(VALUE(RIGHT(Комплектация!G57,4)),VALUE(MID(Комплектация!G57,4,2)),VALUE(LEFT(Комплектация!G57,2)))&gt;=DATE(VALUE(RIGHT(Комплектация!I57,4)),VALUE(MID(Комплектация!I57,4,2)),VALUE(LEFT(Комплектация!I57,2))),Комплектация!G57,Комплектация!I57)))</f>
        <v>02.11.2025</v>
      </c>
      <c r="S68" s="22" t="str">
        <f>Комплектация!L57</f>
        <v>02.11.2027</v>
      </c>
      <c r="T68" s="24">
        <f t="shared" si="21"/>
        <v>1.2429842573579739</v>
      </c>
      <c r="U68" s="26">
        <f t="shared" si="22"/>
        <v>37.80821917808219</v>
      </c>
      <c r="V68" s="26">
        <f>IF(U68="","",U68*Справочник!$B$7/100)</f>
        <v>3.7808219178082192</v>
      </c>
      <c r="W68" s="24">
        <f>J68-Справочник!$B$4</f>
        <v>40</v>
      </c>
      <c r="X68" s="28">
        <f>IF(MIN(Комплектация!AA57:'Комплектация'!AB57)-Справочник!$B$4&lt;Справочник!$B$3,1,0)+IF(MIN(Комплектация!AK57:'Комплектация'!AL57)-Справочник!$B$4&lt;Справочник!$B$3,1,0)+IF(MIN(Комплектация!AU57:'Комплектация'!AV57)-Справочник!$B$4&lt;Справочник!$B$3,1,0)+IF(MIN(Комплектация!BE57:'Комплектация'!BF57)-Справочник!$B$4&lt;Справочник!$B$3,1,0)</f>
        <v>0</v>
      </c>
      <c r="Y68" s="33">
        <f>Справочник!$B$8</f>
        <v>4650000</v>
      </c>
      <c r="Z68" s="33">
        <f t="shared" si="23"/>
        <v>3898754.2808219176</v>
      </c>
    </row>
    <row r="69" spans="1:26" x14ac:dyDescent="0.25">
      <c r="A69" s="52">
        <f>Комплектация!A58</f>
        <v>75165092</v>
      </c>
      <c r="B69" s="53" t="str">
        <f>Комплектация!C58</f>
        <v>15-1219-1П</v>
      </c>
      <c r="C69" s="53">
        <f>Комплектация!E58</f>
        <v>2020</v>
      </c>
      <c r="D69" s="53">
        <f t="shared" si="12"/>
        <v>6</v>
      </c>
      <c r="E69" s="54">
        <f t="shared" si="13"/>
        <v>18.75</v>
      </c>
      <c r="F69" s="55" t="str">
        <f>TEXT(Комплектация!V58,"0")&amp;"/"&amp;TEXT(Комплектация!AF58,"0")&amp;"/"&amp;TEXT(Комплектация!AP58,"0")&amp;"/"&amp;TEXT(Комплектация!AZ58,"0")</f>
        <v>2020/2020/2020/2020</v>
      </c>
      <c r="G69" s="56">
        <f>AVERAGE(Комплектация!V58,Комплектация!AF58,Комплектация!AP58,Комплектация!AZ58)</f>
        <v>2020</v>
      </c>
      <c r="H69" s="56">
        <f t="shared" si="14"/>
        <v>6</v>
      </c>
      <c r="I69" s="56">
        <f>AVERAGE(Комплектация!AA58:'Комплектация'!AB58,Комплектация!AK58:'Комплектация'!AL58,Комплектация!AU58:'Комплектация'!AV58,Комплектация!BE58:'Комплектация'!BF58)</f>
        <v>63.125</v>
      </c>
      <c r="J69" s="56">
        <f>MIN(Комплектация!AA58:'Комплектация'!AB58,Комплектация!AK58:'Комплектация'!AL58,Комплектация!AU58:'Комплектация'!AV58,Комплектация!BE58:'Комплектация'!BF58)</f>
        <v>62</v>
      </c>
      <c r="K69" s="54">
        <f t="shared" si="15"/>
        <v>0</v>
      </c>
      <c r="L69" s="54">
        <f t="shared" si="16"/>
        <v>20</v>
      </c>
      <c r="M69" s="54">
        <f t="shared" si="17"/>
        <v>6</v>
      </c>
      <c r="N69" s="54">
        <f t="shared" si="18"/>
        <v>16.799657534246574</v>
      </c>
      <c r="O69" s="54">
        <f t="shared" si="19"/>
        <v>83.200342465753423</v>
      </c>
      <c r="P69" s="50"/>
      <c r="Q69" s="57" t="str">
        <f t="shared" si="20"/>
        <v/>
      </c>
      <c r="R69" s="23" t="str">
        <f>IF(Комплектация!G58="",Комплектация!I58,IF(Комплектация!I58="",Комплектация!G58,IF(DATE(VALUE(RIGHT(Комплектация!G58,4)),VALUE(MID(Комплектация!G58,4,2)),VALUE(LEFT(Комплектация!G58,2)))&gt;=DATE(VALUE(RIGHT(Комплектация!I58,4)),VALUE(MID(Комплектация!I58,4,2)),VALUE(LEFT(Комплектация!I58,2))),Комплектация!G58,Комплектация!I58)))</f>
        <v>16.09.2025</v>
      </c>
      <c r="S69" s="23" t="str">
        <f>Комплектация!L58</f>
        <v>16.09.2027</v>
      </c>
      <c r="T69" s="25">
        <f t="shared" si="21"/>
        <v>1.1143052703627652</v>
      </c>
      <c r="U69" s="27">
        <f t="shared" si="22"/>
        <v>44.246575342465754</v>
      </c>
      <c r="V69" s="27">
        <f>IF(U69="","",U69*Справочник!$B$7/100)</f>
        <v>4.4246575342465748</v>
      </c>
      <c r="W69" s="25">
        <f>J69-Справочник!$B$4</f>
        <v>47</v>
      </c>
      <c r="X69" s="29">
        <f>IF(MIN(Комплектация!AA58:'Комплектация'!AB58)-Справочник!$B$4&lt;Справочник!$B$3,1,0)+IF(MIN(Комплектация!AK58:'Комплектация'!AL58)-Справочник!$B$4&lt;Справочник!$B$3,1,0)+IF(MIN(Комплектация!AU58:'Комплектация'!AV58)-Справочник!$B$4&lt;Справочник!$B$3,1,0)+IF(MIN(Комплектация!BE58:'Комплектация'!BF58)-Справочник!$B$4&lt;Справочник!$B$3,1,0)</f>
        <v>0</v>
      </c>
      <c r="Y69" s="34">
        <f>Справочник!$B$8</f>
        <v>4650000</v>
      </c>
      <c r="Z69" s="34">
        <f t="shared" si="23"/>
        <v>3868815.9246575343</v>
      </c>
    </row>
    <row r="70" spans="1:26" x14ac:dyDescent="0.25">
      <c r="A70" s="45">
        <f>Комплектация!A59</f>
        <v>75163899</v>
      </c>
      <c r="B70" s="46" t="str">
        <f>Комплектация!C59</f>
        <v>15-1219-1П</v>
      </c>
      <c r="C70" s="46">
        <f>Комплектация!E59</f>
        <v>2020</v>
      </c>
      <c r="D70" s="46">
        <f t="shared" si="12"/>
        <v>6</v>
      </c>
      <c r="E70" s="47">
        <f t="shared" si="13"/>
        <v>18.75</v>
      </c>
      <c r="F70" s="48" t="str">
        <f>TEXT(Комплектация!V59,"0")&amp;"/"&amp;TEXT(Комплектация!AF59,"0")&amp;"/"&amp;TEXT(Комплектация!AP59,"0")&amp;"/"&amp;TEXT(Комплектация!AZ59,"0")</f>
        <v>2020/2020/2020/2020</v>
      </c>
      <c r="G70" s="49">
        <f>AVERAGE(Комплектация!V59,Комплектация!AF59,Комплектация!AP59,Комплектация!AZ59)</f>
        <v>2020</v>
      </c>
      <c r="H70" s="49">
        <f t="shared" si="14"/>
        <v>6</v>
      </c>
      <c r="I70" s="49">
        <f>AVERAGE(Комплектация!AA59:'Комплектация'!AB59,Комплектация!AK59:'Комплектация'!AL59,Комплектация!AU59:'Комплектация'!AV59,Комплектация!BE59:'Комплектация'!BF59)</f>
        <v>55.25</v>
      </c>
      <c r="J70" s="49">
        <f>MIN(Комплектация!AA59:'Комплектация'!AB59,Комплектация!AK59:'Комплектация'!AL59,Комплектация!AU59:'Комплектация'!AV59,Комплектация!BE59:'Комплектация'!BF59)</f>
        <v>47</v>
      </c>
      <c r="K70" s="47">
        <f t="shared" si="15"/>
        <v>13.043478260869565</v>
      </c>
      <c r="L70" s="47">
        <f t="shared" si="16"/>
        <v>20</v>
      </c>
      <c r="M70" s="47">
        <f t="shared" si="17"/>
        <v>23.5</v>
      </c>
      <c r="N70" s="47">
        <f t="shared" si="18"/>
        <v>25.166095890410958</v>
      </c>
      <c r="O70" s="47">
        <f t="shared" si="19"/>
        <v>74.833904109589042</v>
      </c>
      <c r="P70" s="50"/>
      <c r="Q70" s="51" t="str">
        <f t="shared" si="20"/>
        <v/>
      </c>
      <c r="R70" s="22" t="str">
        <f>IF(Комплектация!G59="",Комплектация!I59,IF(Комплектация!I59="",Комплектация!G59,IF(DATE(VALUE(RIGHT(Комплектация!G59,4)),VALUE(MID(Комплектация!G59,4,2)),VALUE(LEFT(Комплектация!G59,2)))&gt;=DATE(VALUE(RIGHT(Комплектация!I59,4)),VALUE(MID(Комплектация!I59,4,2)),VALUE(LEFT(Комплектация!I59,2))),Комплектация!G59,Комплектация!I59)))</f>
        <v>14.10.2025</v>
      </c>
      <c r="S70" s="22" t="str">
        <f>Комплектация!L59</f>
        <v>14.10.2027</v>
      </c>
      <c r="T70" s="24">
        <f t="shared" si="21"/>
        <v>1.1909650924024642</v>
      </c>
      <c r="U70" s="26">
        <f t="shared" si="22"/>
        <v>40.410958904109592</v>
      </c>
      <c r="V70" s="26">
        <f>IF(U70="","",U70*Справочник!$B$7/100)</f>
        <v>4.0410958904109586</v>
      </c>
      <c r="W70" s="24">
        <f>J70-Справочник!$B$4</f>
        <v>32</v>
      </c>
      <c r="X70" s="28">
        <f>IF(MIN(Комплектация!AA59:'Комплектация'!AB59)-Справочник!$B$4&lt;Справочник!$B$3,1,0)+IF(MIN(Комплектация!AK59:'Комплектация'!AL59)-Справочник!$B$4&lt;Справочник!$B$3,1,0)+IF(MIN(Комплектация!AU59:'Комплектация'!AV59)-Справочник!$B$4&lt;Справочник!$B$3,1,0)+IF(MIN(Комплектация!BE59:'Комплектация'!BF59)-Справочник!$B$4&lt;Справочник!$B$3,1,0)</f>
        <v>1</v>
      </c>
      <c r="Y70" s="33">
        <f>Справочник!$B$8</f>
        <v>4650000</v>
      </c>
      <c r="Z70" s="33">
        <f t="shared" si="23"/>
        <v>3479776.5410958906</v>
      </c>
    </row>
    <row r="71" spans="1:26" x14ac:dyDescent="0.25">
      <c r="A71" s="52">
        <f>Комплектация!A60</f>
        <v>75165191</v>
      </c>
      <c r="B71" s="53" t="str">
        <f>Комплектация!C60</f>
        <v>15-1219-1П</v>
      </c>
      <c r="C71" s="53">
        <f>Комплектация!E60</f>
        <v>2020</v>
      </c>
      <c r="D71" s="53">
        <f t="shared" si="12"/>
        <v>6</v>
      </c>
      <c r="E71" s="54">
        <f t="shared" si="13"/>
        <v>18.75</v>
      </c>
      <c r="F71" s="55" t="str">
        <f>TEXT(Комплектация!V60,"0")&amp;"/"&amp;TEXT(Комплектация!AF60,"0")&amp;"/"&amp;TEXT(Комплектация!AP60,"0")&amp;"/"&amp;TEXT(Комплектация!AZ60,"0")</f>
        <v>2020/2020/2020/2020</v>
      </c>
      <c r="G71" s="56">
        <f>AVERAGE(Комплектация!V60,Комплектация!AF60,Комплектация!AP60,Комплектация!AZ60)</f>
        <v>2020</v>
      </c>
      <c r="H71" s="56">
        <f t="shared" si="14"/>
        <v>6</v>
      </c>
      <c r="I71" s="56">
        <f>AVERAGE(Комплектация!AA60:'Комплектация'!AB60,Комплектация!AK60:'Комплектация'!AL60,Комплектация!AU60:'Комплектация'!AV60,Комплектация!BE60:'Комплектация'!BF60)</f>
        <v>56</v>
      </c>
      <c r="J71" s="56">
        <f>MIN(Комплектация!AA60:'Комплектация'!AB60,Комплектация!AK60:'Комплектация'!AL60,Комплектация!AU60:'Комплектация'!AV60,Комплектация!BE60:'Комплектация'!BF60)</f>
        <v>54</v>
      </c>
      <c r="K71" s="54">
        <f t="shared" si="15"/>
        <v>0</v>
      </c>
      <c r="L71" s="54">
        <f t="shared" si="16"/>
        <v>20</v>
      </c>
      <c r="M71" s="54">
        <f t="shared" si="17"/>
        <v>6</v>
      </c>
      <c r="N71" s="54">
        <f t="shared" si="18"/>
        <v>16.416095890410958</v>
      </c>
      <c r="O71" s="54">
        <f t="shared" si="19"/>
        <v>83.583904109589042</v>
      </c>
      <c r="P71" s="50"/>
      <c r="Q71" s="57" t="str">
        <f t="shared" si="20"/>
        <v/>
      </c>
      <c r="R71" s="23" t="str">
        <f>IF(Комплектация!G60="",Комплектация!I60,IF(Комплектация!I60="",Комплектация!G60,IF(DATE(VALUE(RIGHT(Комплектация!G60,4)),VALUE(MID(Комплектация!G60,4,2)),VALUE(LEFT(Комплектация!G60,2)))&gt;=DATE(VALUE(RIGHT(Комплектация!I60,4)),VALUE(MID(Комплектация!I60,4,2)),VALUE(LEFT(Комплектация!I60,2))),Комплектация!G60,Комплектация!I60)))</f>
        <v>14.10.2025</v>
      </c>
      <c r="S71" s="23" t="str">
        <f>Комплектация!L60</f>
        <v>14.10.2027</v>
      </c>
      <c r="T71" s="25">
        <f t="shared" si="21"/>
        <v>1.1909650924024642</v>
      </c>
      <c r="U71" s="27">
        <f t="shared" si="22"/>
        <v>40.410958904109592</v>
      </c>
      <c r="V71" s="27">
        <f>IF(U71="","",U71*Справочник!$B$7/100)</f>
        <v>4.0410958904109586</v>
      </c>
      <c r="W71" s="25">
        <f>J71-Справочник!$B$4</f>
        <v>39</v>
      </c>
      <c r="X71" s="29">
        <f>IF(MIN(Комплектация!AA60:'Комплектация'!AB60)-Справочник!$B$4&lt;Справочник!$B$3,1,0)+IF(MIN(Комплектация!AK60:'Комплектация'!AL60)-Справочник!$B$4&lt;Справочник!$B$3,1,0)+IF(MIN(Комплектация!AU60:'Комплектация'!AV60)-Справочник!$B$4&lt;Справочник!$B$3,1,0)+IF(MIN(Комплектация!BE60:'Комплектация'!BF60)-Справочник!$B$4&lt;Справочник!$B$3,1,0)</f>
        <v>0</v>
      </c>
      <c r="Y71" s="34">
        <f>Справочник!$B$8</f>
        <v>4650000</v>
      </c>
      <c r="Z71" s="34">
        <f t="shared" si="23"/>
        <v>3886651.5410958906</v>
      </c>
    </row>
    <row r="72" spans="1:26" x14ac:dyDescent="0.25">
      <c r="A72" s="45">
        <f>Комплектация!A61</f>
        <v>75175596</v>
      </c>
      <c r="B72" s="46" t="str">
        <f>Комплектация!C61</f>
        <v>15-1219-1П</v>
      </c>
      <c r="C72" s="46">
        <f>Комплектация!E61</f>
        <v>2020</v>
      </c>
      <c r="D72" s="46">
        <f t="shared" si="12"/>
        <v>6</v>
      </c>
      <c r="E72" s="47">
        <f t="shared" si="13"/>
        <v>18.75</v>
      </c>
      <c r="F72" s="48" t="str">
        <f>TEXT(Комплектация!V61,"0")&amp;"/"&amp;TEXT(Комплектация!AF61,"0")&amp;"/"&amp;TEXT(Комплектация!AP61,"0")&amp;"/"&amp;TEXT(Комплектация!AZ61,"0")</f>
        <v>2020/2019/2019/2019</v>
      </c>
      <c r="G72" s="49">
        <f>AVERAGE(Комплектация!V61,Комплектация!AF61,Комплектация!AP61,Комплектация!AZ61)</f>
        <v>2019.25</v>
      </c>
      <c r="H72" s="49">
        <f t="shared" si="14"/>
        <v>6.75</v>
      </c>
      <c r="I72" s="49">
        <f>AVERAGE(Комплектация!AA61:'Комплектация'!AB61,Комплектация!AK61:'Комплектация'!AL61,Комплектация!AU61:'Комплектация'!AV61,Комплектация!BE61:'Комплектация'!BF61)</f>
        <v>51.5</v>
      </c>
      <c r="J72" s="49">
        <f>MIN(Комплектация!AA61:'Комплектация'!AB61,Комплектация!AK61:'Комплектация'!AL61,Комплектация!AU61:'Комплектация'!AV61,Комплектация!BE61:'Комплектация'!BF61)</f>
        <v>49</v>
      </c>
      <c r="K72" s="47">
        <f t="shared" si="15"/>
        <v>4.3478260869565215</v>
      </c>
      <c r="L72" s="47">
        <f t="shared" si="16"/>
        <v>22.5</v>
      </c>
      <c r="M72" s="47">
        <f t="shared" si="17"/>
        <v>41.75</v>
      </c>
      <c r="N72" s="47">
        <f t="shared" si="18"/>
        <v>33.428082191780824</v>
      </c>
      <c r="O72" s="47">
        <f t="shared" si="19"/>
        <v>66.571917808219183</v>
      </c>
      <c r="P72" s="50"/>
      <c r="Q72" s="51" t="str">
        <f t="shared" si="20"/>
        <v/>
      </c>
      <c r="R72" s="22" t="str">
        <f>IF(Комплектация!G61="",Комплектация!I61,IF(Комплектация!I61="",Комплектация!G61,IF(DATE(VALUE(RIGHT(Комплектация!G61,4)),VALUE(MID(Комплектация!G61,4,2)),VALUE(LEFT(Комплектация!G61,2)))&gt;=DATE(VALUE(RIGHT(Комплектация!I61,4)),VALUE(MID(Комплектация!I61,4,2)),VALUE(LEFT(Комплектация!I61,2))),Комплектация!G61,Комплектация!I61)))</f>
        <v>16.12.2025</v>
      </c>
      <c r="S72" s="22" t="str">
        <f>Комплектация!L61</f>
        <v>16.12.2027</v>
      </c>
      <c r="T72" s="24">
        <f t="shared" si="21"/>
        <v>1.3634496919917864</v>
      </c>
      <c r="U72" s="26">
        <f t="shared" si="22"/>
        <v>31.780821917808222</v>
      </c>
      <c r="V72" s="26">
        <f>IF(U72="","",U72*Справочник!$B$7/100)</f>
        <v>3.1780821917808222</v>
      </c>
      <c r="W72" s="24">
        <f>J72-Справочник!$B$4</f>
        <v>34</v>
      </c>
      <c r="X72" s="28">
        <f>IF(MIN(Комплектация!AA61:'Комплектация'!AB61)-Справочник!$B$4&lt;Справочник!$B$3,1,0)+IF(MIN(Комплектация!AK61:'Комплектация'!AL61)-Справочник!$B$4&lt;Справочник!$B$3,1,0)+IF(MIN(Комплектация!AU61:'Комплектация'!AV61)-Справочник!$B$4&lt;Справочник!$B$3,1,0)+IF(MIN(Комплектация!BE61:'Комплектация'!BF61)-Справочник!$B$4&lt;Справочник!$B$3,1,0)</f>
        <v>2</v>
      </c>
      <c r="Y72" s="33">
        <f>Справочник!$B$8</f>
        <v>4650000</v>
      </c>
      <c r="Z72" s="33">
        <f t="shared" si="23"/>
        <v>3095594.1780821919</v>
      </c>
    </row>
    <row r="73" spans="1:26" x14ac:dyDescent="0.25">
      <c r="A73" s="52">
        <f>Комплектация!A62</f>
        <v>75187393</v>
      </c>
      <c r="B73" s="53" t="str">
        <f>Комплектация!C62</f>
        <v>15-1219-1П</v>
      </c>
      <c r="C73" s="53">
        <f>Комплектация!E62</f>
        <v>2020</v>
      </c>
      <c r="D73" s="53">
        <f t="shared" si="12"/>
        <v>6</v>
      </c>
      <c r="E73" s="54">
        <f t="shared" si="13"/>
        <v>18.75</v>
      </c>
      <c r="F73" s="55" t="str">
        <f>TEXT(Комплектация!V62,"0")&amp;"/"&amp;TEXT(Комплектация!AF62,"0")&amp;"/"&amp;TEXT(Комплектация!AP62,"0")&amp;"/"&amp;TEXT(Комплектация!AZ62,"0")</f>
        <v>2020/2020/2020/2020</v>
      </c>
      <c r="G73" s="56">
        <f>AVERAGE(Комплектация!V62,Комплектация!AF62,Комплектация!AP62,Комплектация!AZ62)</f>
        <v>2020</v>
      </c>
      <c r="H73" s="56">
        <f t="shared" si="14"/>
        <v>6</v>
      </c>
      <c r="I73" s="56">
        <f>AVERAGE(Комплектация!AA62:'Комплектация'!AB62,Комплектация!AK62:'Комплектация'!AL62,Комплектация!AU62:'Комплектация'!AV62,Комплектация!BE62:'Комплектация'!BF62)</f>
        <v>59.75</v>
      </c>
      <c r="J73" s="56">
        <f>MIN(Комплектация!AA62:'Комплектация'!AB62,Комплектация!AK62:'Комплектация'!AL62,Комплектация!AU62:'Комплектация'!AV62,Комплектация!BE62:'Комплектация'!BF62)</f>
        <v>57</v>
      </c>
      <c r="K73" s="54">
        <f t="shared" si="15"/>
        <v>0</v>
      </c>
      <c r="L73" s="54">
        <f t="shared" si="16"/>
        <v>20</v>
      </c>
      <c r="M73" s="54">
        <f t="shared" si="17"/>
        <v>6</v>
      </c>
      <c r="N73" s="54">
        <f t="shared" si="18"/>
        <v>15.813356164383562</v>
      </c>
      <c r="O73" s="54">
        <f t="shared" si="19"/>
        <v>84.186643835616437</v>
      </c>
      <c r="P73" s="50"/>
      <c r="Q73" s="57" t="str">
        <f t="shared" si="20"/>
        <v/>
      </c>
      <c r="R73" s="23" t="str">
        <f>IF(Комплектация!G62="",Комплектация!I62,IF(Комплектация!I62="",Комплектация!G62,IF(DATE(VALUE(RIGHT(Комплектация!G62,4)),VALUE(MID(Комплектация!G62,4,2)),VALUE(LEFT(Комплектация!G62,2)))&gt;=DATE(VALUE(RIGHT(Комплектация!I62,4)),VALUE(MID(Комплектация!I62,4,2)),VALUE(LEFT(Комплектация!I62,2))),Комплектация!G62,Комплектация!I62)))</f>
        <v>27.11.2025</v>
      </c>
      <c r="S73" s="23" t="str">
        <f>Комплектация!L62</f>
        <v>27.11.2027</v>
      </c>
      <c r="T73" s="25">
        <f t="shared" si="21"/>
        <v>1.3114305270362765</v>
      </c>
      <c r="U73" s="27">
        <f t="shared" si="22"/>
        <v>34.383561643835613</v>
      </c>
      <c r="V73" s="27">
        <f>IF(U73="","",U73*Справочник!$B$7/100)</f>
        <v>3.4383561643835612</v>
      </c>
      <c r="W73" s="25">
        <f>J73-Справочник!$B$4</f>
        <v>42</v>
      </c>
      <c r="X73" s="29">
        <f>IF(MIN(Комплектация!AA62:'Комплектация'!AB62)-Справочник!$B$4&lt;Справочник!$B$3,1,0)+IF(MIN(Комплектация!AK62:'Комплектация'!AL62)-Справочник!$B$4&lt;Справочник!$B$3,1,0)+IF(MIN(Комплектация!AU62:'Комплектация'!AV62)-Справочник!$B$4&lt;Справочник!$B$3,1,0)+IF(MIN(Комплектация!BE62:'Комплектация'!BF62)-Справочник!$B$4&lt;Справочник!$B$3,1,0)</f>
        <v>0</v>
      </c>
      <c r="Y73" s="34">
        <f>Справочник!$B$8</f>
        <v>4650000</v>
      </c>
      <c r="Z73" s="34">
        <f t="shared" si="23"/>
        <v>3914678.9383561639</v>
      </c>
    </row>
    <row r="74" spans="1:26" x14ac:dyDescent="0.25">
      <c r="A74" s="45">
        <f>Комплектация!A63</f>
        <v>75188698</v>
      </c>
      <c r="B74" s="46" t="str">
        <f>Комплектация!C63</f>
        <v>15-1219-1П</v>
      </c>
      <c r="C74" s="46">
        <f>Комплектация!E63</f>
        <v>2020</v>
      </c>
      <c r="D74" s="46">
        <f t="shared" si="12"/>
        <v>6</v>
      </c>
      <c r="E74" s="47">
        <f t="shared" si="13"/>
        <v>18.75</v>
      </c>
      <c r="F74" s="48" t="str">
        <f>TEXT(Комплектация!V63,"0")&amp;"/"&amp;TEXT(Комплектация!AF63,"0")&amp;"/"&amp;TEXT(Комплектация!AP63,"0")&amp;"/"&amp;TEXT(Комплектация!AZ63,"0")</f>
        <v>2020/2020/2020/2020</v>
      </c>
      <c r="G74" s="49">
        <f>AVERAGE(Комплектация!V63,Комплектация!AF63,Комплектация!AP63,Комплектация!AZ63)</f>
        <v>2020</v>
      </c>
      <c r="H74" s="49">
        <f t="shared" si="14"/>
        <v>6</v>
      </c>
      <c r="I74" s="49">
        <f>AVERAGE(Комплектация!AA63:'Комплектация'!AB63,Комплектация!AK63:'Комплектация'!AL63,Комплектация!AU63:'Комплектация'!AV63,Комплектация!BE63:'Комплектация'!BF63)</f>
        <v>60.75</v>
      </c>
      <c r="J74" s="49">
        <f>MIN(Комплектация!AA63:'Комплектация'!AB63,Комплектация!AK63:'Комплектация'!AL63,Комплектация!AU63:'Комплектация'!AV63,Комплектация!BE63:'Комплектация'!BF63)</f>
        <v>58</v>
      </c>
      <c r="K74" s="47">
        <f t="shared" si="15"/>
        <v>0</v>
      </c>
      <c r="L74" s="47">
        <f t="shared" si="16"/>
        <v>20</v>
      </c>
      <c r="M74" s="47">
        <f t="shared" si="17"/>
        <v>6</v>
      </c>
      <c r="N74" s="47">
        <f t="shared" si="18"/>
        <v>16.703767123287669</v>
      </c>
      <c r="O74" s="47">
        <f t="shared" si="19"/>
        <v>83.296232876712338</v>
      </c>
      <c r="P74" s="50"/>
      <c r="Q74" s="51" t="str">
        <f t="shared" si="20"/>
        <v/>
      </c>
      <c r="R74" s="22" t="str">
        <f>IF(Комплектация!G63="",Комплектация!I63,IF(Комплектация!I63="",Комплектация!G63,IF(DATE(VALUE(RIGHT(Комплектация!G63,4)),VALUE(MID(Комплектация!G63,4,2)),VALUE(LEFT(Комплектация!G63,2)))&gt;=DATE(VALUE(RIGHT(Комплектация!I63,4)),VALUE(MID(Комплектация!I63,4,2)),VALUE(LEFT(Комплектация!I63,2))),Комплектация!G63,Комплектация!I63)))</f>
        <v>23.09.2025</v>
      </c>
      <c r="S74" s="22" t="str">
        <f>Комплектация!L63</f>
        <v>23.09.2027</v>
      </c>
      <c r="T74" s="24">
        <f t="shared" si="21"/>
        <v>1.1334702258726899</v>
      </c>
      <c r="U74" s="26">
        <f t="shared" si="22"/>
        <v>43.287671232876711</v>
      </c>
      <c r="V74" s="26">
        <f>IF(U74="","",U74*Справочник!$B$7/100)</f>
        <v>4.3287671232876708</v>
      </c>
      <c r="W74" s="24">
        <f>J74-Справочник!$B$4</f>
        <v>43</v>
      </c>
      <c r="X74" s="28">
        <f>IF(MIN(Комплектация!AA63:'Комплектация'!AB63)-Справочник!$B$4&lt;Справочник!$B$3,1,0)+IF(MIN(Комплектация!AK63:'Комплектация'!AL63)-Справочник!$B$4&lt;Справочник!$B$3,1,0)+IF(MIN(Комплектация!AU63:'Комплектация'!AV63)-Справочник!$B$4&lt;Справочник!$B$3,1,0)+IF(MIN(Комплектация!BE63:'Комплектация'!BF63)-Справочник!$B$4&lt;Справочник!$B$3,1,0)</f>
        <v>0</v>
      </c>
      <c r="Y74" s="33">
        <f>Справочник!$B$8</f>
        <v>4650000</v>
      </c>
      <c r="Z74" s="33">
        <f t="shared" si="23"/>
        <v>3873274.8287671236</v>
      </c>
    </row>
    <row r="75" spans="1:26" x14ac:dyDescent="0.25">
      <c r="A75" s="52">
        <f>Комплектация!A64</f>
        <v>75165597</v>
      </c>
      <c r="B75" s="53" t="str">
        <f>Комплектация!C64</f>
        <v>15-1219-1П</v>
      </c>
      <c r="C75" s="53">
        <f>Комплектация!E64</f>
        <v>2020</v>
      </c>
      <c r="D75" s="53">
        <f t="shared" si="12"/>
        <v>6</v>
      </c>
      <c r="E75" s="54">
        <f t="shared" si="13"/>
        <v>18.75</v>
      </c>
      <c r="F75" s="55" t="str">
        <f>TEXT(Комплектация!V64,"0")&amp;"/"&amp;TEXT(Комплектация!AF64,"0")&amp;"/"&amp;TEXT(Комплектация!AP64,"0")&amp;"/"&amp;TEXT(Комплектация!AZ64,"0")</f>
        <v>2020/2020/2020/2020</v>
      </c>
      <c r="G75" s="56">
        <f>AVERAGE(Комплектация!V64,Комплектация!AF64,Комплектация!AP64,Комплектация!AZ64)</f>
        <v>2020</v>
      </c>
      <c r="H75" s="56">
        <f t="shared" si="14"/>
        <v>6</v>
      </c>
      <c r="I75" s="56">
        <f>AVERAGE(Комплектация!AA64:'Комплектация'!AB64,Комплектация!AK64:'Комплектация'!AL64,Комплектация!AU64:'Комплектация'!AV64,Комплектация!BE64:'Комплектация'!BF64)</f>
        <v>57.75</v>
      </c>
      <c r="J75" s="56">
        <f>MIN(Комплектация!AA64:'Комплектация'!AB64,Комплектация!AK64:'Комплектация'!AL64,Комплектация!AU64:'Комплектация'!AV64,Комплектация!BE64:'Комплектация'!BF64)</f>
        <v>54</v>
      </c>
      <c r="K75" s="54">
        <f t="shared" si="15"/>
        <v>0</v>
      </c>
      <c r="L75" s="54">
        <f t="shared" si="16"/>
        <v>20</v>
      </c>
      <c r="M75" s="54">
        <f t="shared" si="17"/>
        <v>6</v>
      </c>
      <c r="N75" s="54">
        <f t="shared" si="18"/>
        <v>15.799657534246576</v>
      </c>
      <c r="O75" s="54">
        <f t="shared" si="19"/>
        <v>84.200342465753423</v>
      </c>
      <c r="P75" s="50"/>
      <c r="Q75" s="57" t="str">
        <f t="shared" si="20"/>
        <v/>
      </c>
      <c r="R75" s="23" t="str">
        <f>IF(Комплектация!G64="",Комплектация!I64,IF(Комплектация!I64="",Комплектация!G64,IF(DATE(VALUE(RIGHT(Комплектация!G64,4)),VALUE(MID(Комплектация!G64,4,2)),VALUE(LEFT(Комплектация!G64,2)))&gt;=DATE(VALUE(RIGHT(Комплектация!I64,4)),VALUE(MID(Комплектация!I64,4,2)),VALUE(LEFT(Комплектация!I64,2))),Комплектация!G64,Комплектация!I64)))</f>
        <v>28.11.2025</v>
      </c>
      <c r="S75" s="23" t="str">
        <f>Комплектация!L64</f>
        <v>28.11.2027</v>
      </c>
      <c r="T75" s="25">
        <f t="shared" si="21"/>
        <v>1.3141683778234086</v>
      </c>
      <c r="U75" s="27">
        <f t="shared" si="22"/>
        <v>34.246575342465754</v>
      </c>
      <c r="V75" s="27">
        <f>IF(U75="","",U75*Справочник!$B$7/100)</f>
        <v>3.4246575342465753</v>
      </c>
      <c r="W75" s="25">
        <f>J75-Справочник!$B$4</f>
        <v>39</v>
      </c>
      <c r="X75" s="29">
        <f>IF(MIN(Комплектация!AA64:'Комплектация'!AB64)-Справочник!$B$4&lt;Справочник!$B$3,1,0)+IF(MIN(Комплектация!AK64:'Комплектация'!AL64)-Справочник!$B$4&lt;Справочник!$B$3,1,0)+IF(MIN(Комплектация!AU64:'Комплектация'!AV64)-Справочник!$B$4&lt;Справочник!$B$3,1,0)+IF(MIN(Комплектация!BE64:'Комплектация'!BF64)-Справочник!$B$4&lt;Справочник!$B$3,1,0)</f>
        <v>0</v>
      </c>
      <c r="Y75" s="34">
        <f>Справочник!$B$8</f>
        <v>4650000</v>
      </c>
      <c r="Z75" s="34">
        <f t="shared" si="23"/>
        <v>3915315.9246575343</v>
      </c>
    </row>
    <row r="76" spans="1:26" x14ac:dyDescent="0.25">
      <c r="A76" s="45">
        <f>Комплектация!A65</f>
        <v>75164392</v>
      </c>
      <c r="B76" s="46" t="str">
        <f>Комплектация!C65</f>
        <v>15-1219-1П</v>
      </c>
      <c r="C76" s="46">
        <f>Комплектация!E65</f>
        <v>2020</v>
      </c>
      <c r="D76" s="46">
        <f t="shared" si="12"/>
        <v>6</v>
      </c>
      <c r="E76" s="47">
        <f t="shared" si="13"/>
        <v>18.75</v>
      </c>
      <c r="F76" s="48" t="str">
        <f>TEXT(Комплектация!V65,"0")&amp;"/"&amp;TEXT(Комплектация!AF65,"0")&amp;"/"&amp;TEXT(Комплектация!AP65,"0")&amp;"/"&amp;TEXT(Комплектация!AZ65,"0")</f>
        <v>2020/2020/2020/2020</v>
      </c>
      <c r="G76" s="49">
        <f>AVERAGE(Комплектация!V65,Комплектация!AF65,Комплектация!AP65,Комплектация!AZ65)</f>
        <v>2020</v>
      </c>
      <c r="H76" s="49">
        <f t="shared" si="14"/>
        <v>6</v>
      </c>
      <c r="I76" s="49">
        <f>AVERAGE(Комплектация!AA65:'Комплектация'!AB65,Комплектация!AK65:'Комплектация'!AL65,Комплектация!AU65:'Комплектация'!AV65,Комплектация!BE65:'Комплектация'!BF65)</f>
        <v>58</v>
      </c>
      <c r="J76" s="49">
        <f>MIN(Комплектация!AA65:'Комплектация'!AB65,Комплектация!AK65:'Комплектация'!AL65,Комплектация!AU65:'Комплектация'!AV65,Комплектация!BE65:'Комплектация'!BF65)</f>
        <v>56</v>
      </c>
      <c r="K76" s="47">
        <f t="shared" si="15"/>
        <v>0</v>
      </c>
      <c r="L76" s="47">
        <f t="shared" si="16"/>
        <v>20</v>
      </c>
      <c r="M76" s="47">
        <f t="shared" si="17"/>
        <v>6</v>
      </c>
      <c r="N76" s="47">
        <f t="shared" si="18"/>
        <v>15.142123287671232</v>
      </c>
      <c r="O76" s="47">
        <f t="shared" si="19"/>
        <v>84.857876712328761</v>
      </c>
      <c r="P76" s="50"/>
      <c r="Q76" s="51" t="str">
        <f t="shared" si="20"/>
        <v/>
      </c>
      <c r="R76" s="22" t="str">
        <f>IF(Комплектация!G65="",Комплектация!I65,IF(Комплектация!I65="",Комплектация!G65,IF(DATE(VALUE(RIGHT(Комплектация!G65,4)),VALUE(MID(Комплектация!G65,4,2)),VALUE(LEFT(Комплектация!G65,2)))&gt;=DATE(VALUE(RIGHT(Комплектация!I65,4)),VALUE(MID(Комплектация!I65,4,2)),VALUE(LEFT(Комплектация!I65,2))),Комплектация!G65,Комплектация!I65)))</f>
        <v>15.01.2026</v>
      </c>
      <c r="S76" s="22" t="str">
        <f>Комплектация!L65</f>
        <v>15.01.2028</v>
      </c>
      <c r="T76" s="24">
        <f t="shared" si="21"/>
        <v>1.4455852156057496</v>
      </c>
      <c r="U76" s="26">
        <f t="shared" si="22"/>
        <v>27.671232876712327</v>
      </c>
      <c r="V76" s="26">
        <f>IF(U76="","",U76*Справочник!$B$7/100)</f>
        <v>2.7671232876712328</v>
      </c>
      <c r="W76" s="24">
        <f>J76-Справочник!$B$4</f>
        <v>41</v>
      </c>
      <c r="X76" s="28">
        <f>IF(MIN(Комплектация!AA65:'Комплектация'!AB65)-Справочник!$B$4&lt;Справочник!$B$3,1,0)+IF(MIN(Комплектация!AK65:'Комплектация'!AL65)-Справочник!$B$4&lt;Справочник!$B$3,1,0)+IF(MIN(Комплектация!AU65:'Комплектация'!AV65)-Справочник!$B$4&lt;Справочник!$B$3,1,0)+IF(MIN(Комплектация!BE65:'Комплектация'!BF65)-Справочник!$B$4&lt;Справочник!$B$3,1,0)</f>
        <v>0</v>
      </c>
      <c r="Y76" s="33">
        <f>Справочник!$B$8</f>
        <v>4650000</v>
      </c>
      <c r="Z76" s="33">
        <f t="shared" si="23"/>
        <v>3945891.2671232875</v>
      </c>
    </row>
    <row r="77" spans="1:26" x14ac:dyDescent="0.25">
      <c r="A77" s="52">
        <f>Комплектация!A66</f>
        <v>77221786</v>
      </c>
      <c r="B77" s="53" t="str">
        <f>Комплектация!C66</f>
        <v>15-5103-7П</v>
      </c>
      <c r="C77" s="53">
        <f>Комплектация!E66</f>
        <v>2011</v>
      </c>
      <c r="D77" s="53">
        <f t="shared" si="12"/>
        <v>15</v>
      </c>
      <c r="E77" s="54">
        <f t="shared" si="13"/>
        <v>46.875</v>
      </c>
      <c r="F77" s="55" t="str">
        <f>TEXT(Комплектация!V66,"0")&amp;"/"&amp;TEXT(Комплектация!AF66,"0")&amp;"/"&amp;TEXT(Комплектация!AP66,"0")&amp;"/"&amp;TEXT(Комплектация!AZ66,"0")</f>
        <v>2010/2011/2001/2011</v>
      </c>
      <c r="G77" s="56">
        <f>AVERAGE(Комплектация!V66,Комплектация!AF66,Комплектация!AP66,Комплектация!AZ66)</f>
        <v>2008.25</v>
      </c>
      <c r="H77" s="56">
        <f t="shared" si="14"/>
        <v>17.75</v>
      </c>
      <c r="I77" s="56">
        <f>AVERAGE(Комплектация!AA66:'Комплектация'!AB66,Комплектация!AK66:'Комплектация'!AL66,Комплектация!AU66:'Комплектация'!AV66,Комплектация!BE66:'Комплектация'!BF66)</f>
        <v>68.25</v>
      </c>
      <c r="J77" s="56">
        <f>MIN(Комплектация!AA66:'Комплектация'!AB66,Комплектация!AK66:'Комплектация'!AL66,Комплектация!AU66:'Комплектация'!AV66,Комплектация!BE66:'Комплектация'!BF66)</f>
        <v>68</v>
      </c>
      <c r="K77" s="54">
        <f t="shared" si="15"/>
        <v>0</v>
      </c>
      <c r="L77" s="54">
        <f t="shared" si="16"/>
        <v>59.166666666666664</v>
      </c>
      <c r="M77" s="54">
        <f t="shared" si="17"/>
        <v>17.75</v>
      </c>
      <c r="N77" s="54">
        <f t="shared" si="18"/>
        <v>35.442062043795623</v>
      </c>
      <c r="O77" s="54">
        <f t="shared" si="19"/>
        <v>64.55793795620437</v>
      </c>
      <c r="P77" s="50"/>
      <c r="Q77" s="57" t="str">
        <f t="shared" si="20"/>
        <v/>
      </c>
      <c r="R77" s="23" t="str">
        <f>IF(Комплектация!G66="",Комплектация!I66,IF(Комплектация!I66="",Комплектация!G66,IF(DATE(VALUE(RIGHT(Комплектация!G66,4)),VALUE(MID(Комплектация!G66,4,2)),VALUE(LEFT(Комплектация!G66,2)))&gt;=DATE(VALUE(RIGHT(Комплектация!I66,4)),VALUE(MID(Комплектация!I66,4,2)),VALUE(LEFT(Комплектация!I66,2))),Комплектация!G66,Комплектация!I66)))</f>
        <v>27.08.2025</v>
      </c>
      <c r="S77" s="23" t="str">
        <f>Комплектация!L66</f>
        <v>27.08.2028</v>
      </c>
      <c r="T77" s="25">
        <f t="shared" si="21"/>
        <v>2.0616016427104724</v>
      </c>
      <c r="U77" s="27">
        <f t="shared" si="22"/>
        <v>31.295620437956206</v>
      </c>
      <c r="V77" s="27">
        <f>IF(U77="","",U77*Справочник!$B$7/100)</f>
        <v>3.1295620437956204</v>
      </c>
      <c r="W77" s="25">
        <f>J77-Справочник!$B$4</f>
        <v>53</v>
      </c>
      <c r="X77" s="29">
        <f>IF(MIN(Комплектация!AA66:'Комплектация'!AB66)-Справочник!$B$4&lt;Справочник!$B$3,1,0)+IF(MIN(Комплектация!AK66:'Комплектация'!AL66)-Справочник!$B$4&lt;Справочник!$B$3,1,0)+IF(MIN(Комплектация!AU66:'Комплектация'!AV66)-Справочник!$B$4&lt;Справочник!$B$3,1,0)+IF(MIN(Комплектация!BE66:'Комплектация'!BF66)-Справочник!$B$4&lt;Справочник!$B$3,1,0)</f>
        <v>0</v>
      </c>
      <c r="Y77" s="34">
        <f>Справочник!$B$8</f>
        <v>4650000</v>
      </c>
      <c r="Z77" s="34">
        <f t="shared" si="23"/>
        <v>3001944.1149635036</v>
      </c>
    </row>
    <row r="78" spans="1:26" x14ac:dyDescent="0.25">
      <c r="A78" s="45">
        <f>Комплектация!A67</f>
        <v>77205748</v>
      </c>
      <c r="B78" s="46" t="str">
        <f>Комплектация!C67</f>
        <v>15-1755П</v>
      </c>
      <c r="C78" s="46">
        <f>Комплектация!E67</f>
        <v>2013</v>
      </c>
      <c r="D78" s="46">
        <f t="shared" si="12"/>
        <v>13</v>
      </c>
      <c r="E78" s="47">
        <f t="shared" si="13"/>
        <v>40.625</v>
      </c>
      <c r="F78" s="48" t="str">
        <f>TEXT(Комплектация!V67,"0")&amp;"/"&amp;TEXT(Комплектация!AF67,"0")&amp;"/"&amp;TEXT(Комплектация!AP67,"0")&amp;"/"&amp;TEXT(Комплектация!AZ67,"0")</f>
        <v>2013/2012/2013/2012</v>
      </c>
      <c r="G78" s="49">
        <f>AVERAGE(Комплектация!V67,Комплектация!AF67,Комплектация!AP67,Комплектация!AZ67)</f>
        <v>2012.5</v>
      </c>
      <c r="H78" s="49">
        <f t="shared" si="14"/>
        <v>13.5</v>
      </c>
      <c r="I78" s="49">
        <f>AVERAGE(Комплектация!AA67:'Комплектация'!AB67,Комплектация!AK67:'Комплектация'!AL67,Комплектация!AU67:'Комплектация'!AV67,Комплектация!BE67:'Комплектация'!BF67)</f>
        <v>61.75</v>
      </c>
      <c r="J78" s="49">
        <f>MIN(Комплектация!AA67:'Комплектация'!AB67,Комплектация!AK67:'Комплектация'!AL67,Комплектация!AU67:'Комплектация'!AV67,Комплектация!BE67:'Комплектация'!BF67)</f>
        <v>60</v>
      </c>
      <c r="K78" s="47">
        <f t="shared" si="15"/>
        <v>0</v>
      </c>
      <c r="L78" s="47">
        <f t="shared" si="16"/>
        <v>45</v>
      </c>
      <c r="M78" s="47">
        <f t="shared" si="17"/>
        <v>13.5</v>
      </c>
      <c r="N78" s="47">
        <f t="shared" si="18"/>
        <v>31.857020547945204</v>
      </c>
      <c r="O78" s="47">
        <f t="shared" si="19"/>
        <v>68.142979452054789</v>
      </c>
      <c r="P78" s="50"/>
      <c r="Q78" s="51" t="str">
        <f t="shared" si="20"/>
        <v/>
      </c>
      <c r="R78" s="22" t="str">
        <f>IF(Комплектация!G67="",Комплектация!I67,IF(Комплектация!I67="",Комплектация!G67,IF(DATE(VALUE(RIGHT(Комплектация!G67,4)),VALUE(MID(Комплектация!G67,4,2)),VALUE(LEFT(Комплектация!G67,2)))&gt;=DATE(VALUE(RIGHT(Комплектация!I67,4)),VALUE(MID(Комплектация!I67,4,2)),VALUE(LEFT(Комплектация!I67,2))),Комплектация!G67,Комплектация!I67)))</f>
        <v>20.08.2025</v>
      </c>
      <c r="S78" s="22" t="str">
        <f>Комплектация!L67</f>
        <v>20.08.2027</v>
      </c>
      <c r="T78" s="24">
        <f t="shared" si="21"/>
        <v>1.0403832991101984</v>
      </c>
      <c r="U78" s="26">
        <f t="shared" si="22"/>
        <v>47.945205479452049</v>
      </c>
      <c r="V78" s="26">
        <f>IF(U78="","",U78*Справочник!$B$7/100)</f>
        <v>4.7945205479452051</v>
      </c>
      <c r="W78" s="24">
        <f>J78-Справочник!$B$4</f>
        <v>45</v>
      </c>
      <c r="X78" s="28">
        <f>IF(MIN(Комплектация!AA67:'Комплектация'!AB67)-Справочник!$B$4&lt;Справочник!$B$3,1,0)+IF(MIN(Комплектация!AK67:'Комплектация'!AL67)-Справочник!$B$4&lt;Справочник!$B$3,1,0)+IF(MIN(Комплектация!AU67:'Комплектация'!AV67)-Справочник!$B$4&lt;Справочник!$B$3,1,0)+IF(MIN(Комплектация!BE67:'Комплектация'!BF67)-Справочник!$B$4&lt;Справочник!$B$3,1,0)</f>
        <v>0</v>
      </c>
      <c r="Y78" s="33">
        <f>Справочник!$B$8</f>
        <v>4650000</v>
      </c>
      <c r="Z78" s="33">
        <f t="shared" si="23"/>
        <v>3168648.5445205476</v>
      </c>
    </row>
    <row r="79" spans="1:26" x14ac:dyDescent="0.25">
      <c r="A79" s="52">
        <f>Комплектация!A68</f>
        <v>77205847</v>
      </c>
      <c r="B79" s="53" t="str">
        <f>Комплектация!C68</f>
        <v>15-1755П</v>
      </c>
      <c r="C79" s="53">
        <f>Комплектация!E68</f>
        <v>2013</v>
      </c>
      <c r="D79" s="53">
        <f t="shared" si="12"/>
        <v>13</v>
      </c>
      <c r="E79" s="54">
        <f t="shared" si="13"/>
        <v>40.625</v>
      </c>
      <c r="F79" s="55" t="str">
        <f>TEXT(Комплектация!V68,"0")&amp;"/"&amp;TEXT(Комплектация!AF68,"0")&amp;"/"&amp;TEXT(Комплектация!AP68,"0")&amp;"/"&amp;TEXT(Комплектация!AZ68,"0")</f>
        <v>2013/2013/2013/2013</v>
      </c>
      <c r="G79" s="56">
        <f>AVERAGE(Комплектация!V68,Комплектация!AF68,Комплектация!AP68,Комплектация!AZ68)</f>
        <v>2013</v>
      </c>
      <c r="H79" s="56">
        <f t="shared" si="14"/>
        <v>13</v>
      </c>
      <c r="I79" s="56">
        <f>AVERAGE(Комплектация!AA68:'Комплектация'!AB68,Комплектация!AK68:'Комплектация'!AL68,Комплектация!AU68:'Комплектация'!AV68,Комплектация!BE68:'Комплектация'!BF68)</f>
        <v>68.25</v>
      </c>
      <c r="J79" s="56">
        <f>MIN(Комплектация!AA68:'Комплектация'!AB68,Комплектация!AK68:'Комплектация'!AL68,Комплектация!AU68:'Комплектация'!AV68,Комплектация!BE68:'Комплектация'!BF68)</f>
        <v>67</v>
      </c>
      <c r="K79" s="54">
        <f t="shared" si="15"/>
        <v>0</v>
      </c>
      <c r="L79" s="54">
        <f t="shared" si="16"/>
        <v>43.333333333333336</v>
      </c>
      <c r="M79" s="54">
        <f t="shared" si="17"/>
        <v>13</v>
      </c>
      <c r="N79" s="54">
        <f t="shared" si="18"/>
        <v>32.730308219178085</v>
      </c>
      <c r="O79" s="54">
        <f t="shared" si="19"/>
        <v>67.269691780821915</v>
      </c>
      <c r="P79" s="50"/>
      <c r="Q79" s="57" t="str">
        <f t="shared" si="20"/>
        <v/>
      </c>
      <c r="R79" s="23" t="str">
        <f>IF(Комплектация!G68="",Комплектация!I68,IF(Комплектация!I68="",Комплектация!G68,IF(DATE(VALUE(RIGHT(Комплектация!G68,4)),VALUE(MID(Комплектация!G68,4,2)),VALUE(LEFT(Комплектация!G68,2)))&gt;=DATE(VALUE(RIGHT(Комплектация!I68,4)),VALUE(MID(Комплектация!I68,4,2)),VALUE(LEFT(Комплектация!I68,2))),Комплектация!G68,Комплектация!I68)))</f>
        <v>30.05.2025</v>
      </c>
      <c r="S79" s="23" t="str">
        <f>Комплектация!L68</f>
        <v>30.05.2027</v>
      </c>
      <c r="T79" s="25">
        <f t="shared" si="21"/>
        <v>0.81587953456536622</v>
      </c>
      <c r="U79" s="27">
        <f t="shared" si="22"/>
        <v>59.178082191780824</v>
      </c>
      <c r="V79" s="27">
        <f>IF(U79="","",U79*Справочник!$B$7/100)</f>
        <v>5.9178082191780819</v>
      </c>
      <c r="W79" s="25">
        <f>J79-Справочник!$B$4</f>
        <v>52</v>
      </c>
      <c r="X79" s="29">
        <f>IF(MIN(Комплектация!AA68:'Комплектация'!AB68)-Справочник!$B$4&lt;Справочник!$B$3,1,0)+IF(MIN(Комплектация!AK68:'Комплектация'!AL68)-Справочник!$B$4&lt;Справочник!$B$3,1,0)+IF(MIN(Комплектация!AU68:'Комплектация'!AV68)-Справочник!$B$4&lt;Справочник!$B$3,1,0)+IF(MIN(Комплектация!BE68:'Комплектация'!BF68)-Справочник!$B$4&lt;Справочник!$B$3,1,0)</f>
        <v>0</v>
      </c>
      <c r="Y79" s="34">
        <f>Справочник!$B$8</f>
        <v>4650000</v>
      </c>
      <c r="Z79" s="34">
        <f t="shared" si="23"/>
        <v>3128040.6678082193</v>
      </c>
    </row>
    <row r="80" spans="1:26" x14ac:dyDescent="0.25">
      <c r="A80" s="45">
        <f>Комплектация!A69</f>
        <v>77205946</v>
      </c>
      <c r="B80" s="46" t="str">
        <f>Комплектация!C69</f>
        <v>15-1755П</v>
      </c>
      <c r="C80" s="46">
        <f>Комплектация!E69</f>
        <v>2013</v>
      </c>
      <c r="D80" s="46">
        <f t="shared" ref="D80:D111" si="24">MAX(0,YEAR($B$5)-C80)</f>
        <v>13</v>
      </c>
      <c r="E80" s="47">
        <f t="shared" ref="E80:E111" si="25">MIN(100,D80/$B$6*100)</f>
        <v>40.625</v>
      </c>
      <c r="F80" s="48" t="str">
        <f>TEXT(Комплектация!V69,"0")&amp;"/"&amp;TEXT(Комплектация!AF69,"0")&amp;"/"&amp;TEXT(Комплектация!AP69,"0")&amp;"/"&amp;TEXT(Комплектация!AZ69,"0")</f>
        <v>1995/2008/2009/1983</v>
      </c>
      <c r="G80" s="49">
        <f>AVERAGE(Комплектация!V69,Комплектация!AF69,Комплектация!AP69,Комплектация!AZ69)</f>
        <v>1998.75</v>
      </c>
      <c r="H80" s="49">
        <f t="shared" ref="H80:H111" si="26">MAX(0,YEAR($B$5)-G80)</f>
        <v>27.25</v>
      </c>
      <c r="I80" s="49">
        <f>AVERAGE(Комплектация!AA69:'Комплектация'!AB69,Комплектация!AK69:'Комплектация'!AL69,Комплектация!AU69:'Комплектация'!AV69,Комплектация!BE69:'Комплектация'!BF69)</f>
        <v>73</v>
      </c>
      <c r="J80" s="49">
        <f>MIN(Комплектация!AA69:'Комплектация'!AB69,Комплектация!AK69:'Комплектация'!AL69,Комплектация!AU69:'Комплектация'!AV69,Комплектация!BE69:'Комплектация'!BF69)</f>
        <v>72</v>
      </c>
      <c r="K80" s="47">
        <f t="shared" ref="K80:K111" si="27">MAX(0,MIN(100,($B$7-J80)/($B$7-$B$8)*100))</f>
        <v>0</v>
      </c>
      <c r="L80" s="47">
        <f t="shared" ref="L80:L111" si="28">MAX(0,MIN(100,H80/$B$9*100))</f>
        <v>90.833333333333329</v>
      </c>
      <c r="M80" s="47">
        <f t="shared" ref="M80:M111" si="29">MAX(K80,X80/4*100)*$B$10+L80*$B$11</f>
        <v>27.249999999999996</v>
      </c>
      <c r="N80" s="47">
        <f t="shared" ref="N80:N111" si="30">MIN(100,E80*$B$12+M80*$B$13+V80)</f>
        <v>36.307363013698634</v>
      </c>
      <c r="O80" s="47">
        <f t="shared" ref="O80:O111" si="31">100-N80</f>
        <v>63.692636986301366</v>
      </c>
      <c r="P80" s="50"/>
      <c r="Q80" s="51" t="str">
        <f t="shared" ref="Q80:Q111" si="32">IF(P80="","",P80*O80/100)</f>
        <v/>
      </c>
      <c r="R80" s="22" t="str">
        <f>IF(Комплектация!G69="",Комплектация!I69,IF(Комплектация!I69="",Комплектация!G69,IF(DATE(VALUE(RIGHT(Комплектация!G69,4)),VALUE(MID(Комплектация!G69,4,2)),VALUE(LEFT(Комплектация!G69,2)))&gt;=DATE(VALUE(RIGHT(Комплектация!I69,4)),VALUE(MID(Комплектация!I69,4,2)),VALUE(LEFT(Комплектация!I69,2))),Комплектация!G69,Комплектация!I69)))</f>
        <v>13.02.2026</v>
      </c>
      <c r="S80" s="22" t="str">
        <f>Комплектация!L69</f>
        <v>13.02.2028</v>
      </c>
      <c r="T80" s="24">
        <f t="shared" ref="T80:T111" si="33">IF(S80="","",MAX(0,(DATE(VALUE(RIGHT(S80,4)),VALUE(MID(S80,4,2)),VALUE(LEFT(S80,2)))-$B$5)/365.25))</f>
        <v>1.5249828884325805</v>
      </c>
      <c r="U80" s="26">
        <f t="shared" ref="U80:U111" si="34">IF(OR(R80="",S80=""),"",MAX(0,MIN(100,($B$5-DATE(VALUE(RIGHT(R80,4)),VALUE(MID(R80,4,2)),VALUE(LEFT(R80,2))))/(DATE(VALUE(RIGHT(S80,4)),VALUE(MID(S80,4,2)),VALUE(LEFT(S80,2)))-DATE(VALUE(RIGHT(R80,4)),VALUE(MID(R80,4,2)),VALUE(LEFT(R80,2))))*100)))</f>
        <v>23.698630136986303</v>
      </c>
      <c r="V80" s="26">
        <f>IF(U80="","",U80*Справочник!$B$7/100)</f>
        <v>2.3698630136986303</v>
      </c>
      <c r="W80" s="24">
        <f>J80-Справочник!$B$4</f>
        <v>57</v>
      </c>
      <c r="X80" s="28">
        <f>IF(MIN(Комплектация!AA69:'Комплектация'!AB69)-Справочник!$B$4&lt;Справочник!$B$3,1,0)+IF(MIN(Комплектация!AK69:'Комплектация'!AL69)-Справочник!$B$4&lt;Справочник!$B$3,1,0)+IF(MIN(Комплектация!AU69:'Комплектация'!AV69)-Справочник!$B$4&lt;Справочник!$B$3,1,0)+IF(MIN(Комплектация!BE69:'Комплектация'!BF69)-Справочник!$B$4&lt;Справочник!$B$3,1,0)</f>
        <v>0</v>
      </c>
      <c r="Y80" s="33">
        <f>Справочник!$B$8</f>
        <v>4650000</v>
      </c>
      <c r="Z80" s="33">
        <f t="shared" ref="Z80:Z111" si="35">Y80*O80/100</f>
        <v>2961707.6198630137</v>
      </c>
    </row>
    <row r="81" spans="1:26" x14ac:dyDescent="0.25">
      <c r="A81" s="52">
        <f>Комплектация!A70</f>
        <v>77221976</v>
      </c>
      <c r="B81" s="53" t="str">
        <f>Комплектация!C70</f>
        <v>15-150-04П</v>
      </c>
      <c r="C81" s="53">
        <f>Комплектация!E70</f>
        <v>2011</v>
      </c>
      <c r="D81" s="53">
        <f t="shared" si="24"/>
        <v>15</v>
      </c>
      <c r="E81" s="54">
        <f t="shared" si="25"/>
        <v>46.875</v>
      </c>
      <c r="F81" s="55" t="str">
        <f>TEXT(Комплектация!V70,"0")&amp;"/"&amp;TEXT(Комплектация!AF70,"0")&amp;"/"&amp;TEXT(Комплектация!AP70,"0")&amp;"/"&amp;TEXT(Комплектация!AZ70,"0")</f>
        <v>2011/2013/2014/2011</v>
      </c>
      <c r="G81" s="56">
        <f>AVERAGE(Комплектация!V70,Комплектация!AF70,Комплектация!AP70,Комплектация!AZ70)</f>
        <v>2012.25</v>
      </c>
      <c r="H81" s="56">
        <f t="shared" si="26"/>
        <v>13.75</v>
      </c>
      <c r="I81" s="56">
        <f>AVERAGE(Комплектация!AA70:'Комплектация'!AB70,Комплектация!AK70:'Комплектация'!AL70,Комплектация!AU70:'Комплектация'!AV70,Комплектация!BE70:'Комплектация'!BF70)</f>
        <v>66.25</v>
      </c>
      <c r="J81" s="56">
        <f>MIN(Комплектация!AA70:'Комплектация'!AB70,Комплектация!AK70:'Комплектация'!AL70,Комплектация!AU70:'Комплектация'!AV70,Комплектация!BE70:'Комплектация'!BF70)</f>
        <v>65</v>
      </c>
      <c r="K81" s="54">
        <f t="shared" si="27"/>
        <v>0</v>
      </c>
      <c r="L81" s="54">
        <f t="shared" si="28"/>
        <v>45.833333333333329</v>
      </c>
      <c r="M81" s="54">
        <f t="shared" si="29"/>
        <v>13.749999999999998</v>
      </c>
      <c r="N81" s="54">
        <f t="shared" si="30"/>
        <v>31.389142335766422</v>
      </c>
      <c r="O81" s="54">
        <f t="shared" si="31"/>
        <v>68.610857664233578</v>
      </c>
      <c r="P81" s="50"/>
      <c r="Q81" s="57" t="str">
        <f t="shared" si="32"/>
        <v/>
      </c>
      <c r="R81" s="23" t="str">
        <f>IF(Комплектация!G70="",Комплектация!I70,IF(Комплектация!I70="",Комплектация!G70,IF(DATE(VALUE(RIGHT(Комплектация!G70,4)),VALUE(MID(Комплектация!G70,4,2)),VALUE(LEFT(Комплектация!G70,2)))&gt;=DATE(VALUE(RIGHT(Комплектация!I70,4)),VALUE(MID(Комплектация!I70,4,2)),VALUE(LEFT(Комплектация!I70,2))),Комплектация!G70,Комплектация!I70)))</f>
        <v>09.04.2026</v>
      </c>
      <c r="S81" s="23" t="str">
        <f>Комплектация!L70</f>
        <v>09.04.2029</v>
      </c>
      <c r="T81" s="25">
        <f t="shared" si="33"/>
        <v>2.6776180698151952</v>
      </c>
      <c r="U81" s="27">
        <f t="shared" si="34"/>
        <v>10.766423357664232</v>
      </c>
      <c r="V81" s="27">
        <f>IF(U81="","",U81*Справочник!$B$7/100)</f>
        <v>1.0766423357664232</v>
      </c>
      <c r="W81" s="25">
        <f>J81-Справочник!$B$4</f>
        <v>50</v>
      </c>
      <c r="X81" s="29">
        <f>IF(MIN(Комплектация!AA70:'Комплектация'!AB70)-Справочник!$B$4&lt;Справочник!$B$3,1,0)+IF(MIN(Комплектация!AK70:'Комплектация'!AL70)-Справочник!$B$4&lt;Справочник!$B$3,1,0)+IF(MIN(Комплектация!AU70:'Комплектация'!AV70)-Справочник!$B$4&lt;Справочник!$B$3,1,0)+IF(MIN(Комплектация!BE70:'Комплектация'!BF70)-Справочник!$B$4&lt;Справочник!$B$3,1,0)</f>
        <v>0</v>
      </c>
      <c r="Y81" s="34">
        <f>Справочник!$B$8</f>
        <v>4650000</v>
      </c>
      <c r="Z81" s="34">
        <f t="shared" si="35"/>
        <v>3190404.8813868612</v>
      </c>
    </row>
    <row r="82" spans="1:26" x14ac:dyDescent="0.25">
      <c r="A82" s="45">
        <f>Комплектация!A71</f>
        <v>77224475</v>
      </c>
      <c r="B82" s="46" t="str">
        <f>Комплектация!C71</f>
        <v>15-5103-7П</v>
      </c>
      <c r="C82" s="46">
        <f>Комплектация!E71</f>
        <v>2011</v>
      </c>
      <c r="D82" s="46">
        <f t="shared" si="24"/>
        <v>15</v>
      </c>
      <c r="E82" s="47">
        <f t="shared" si="25"/>
        <v>46.875</v>
      </c>
      <c r="F82" s="48" t="str">
        <f>TEXT(Комплектация!V71,"0")&amp;"/"&amp;TEXT(Комплектация!AF71,"0")&amp;"/"&amp;TEXT(Комплектация!AP71,"0")&amp;"/"&amp;TEXT(Комплектация!AZ71,"0")</f>
        <v>2011/2011/2011/2011</v>
      </c>
      <c r="G82" s="49">
        <f>AVERAGE(Комплектация!V71,Комплектация!AF71,Комплектация!AP71,Комплектация!AZ71)</f>
        <v>2011</v>
      </c>
      <c r="H82" s="49">
        <f t="shared" si="26"/>
        <v>15</v>
      </c>
      <c r="I82" s="49">
        <f>AVERAGE(Комплектация!AA71:'Комплектация'!AB71,Комплектация!AK71:'Комплектация'!AL71,Комплектация!AU71:'Комплектация'!AV71,Комплектация!BE71:'Комплектация'!BF71)</f>
        <v>74</v>
      </c>
      <c r="J82" s="49">
        <f>MIN(Комплектация!AA71:'Комплектация'!AB71,Комплектация!AK71:'Комплектация'!AL71,Комплектация!AU71:'Комплектация'!AV71,Комплектация!BE71:'Комплектация'!BF71)</f>
        <v>74</v>
      </c>
      <c r="K82" s="47">
        <f t="shared" si="27"/>
        <v>0</v>
      </c>
      <c r="L82" s="47">
        <f t="shared" si="28"/>
        <v>50</v>
      </c>
      <c r="M82" s="47">
        <f t="shared" si="29"/>
        <v>15</v>
      </c>
      <c r="N82" s="47">
        <f t="shared" si="30"/>
        <v>33.473996350364963</v>
      </c>
      <c r="O82" s="47">
        <f t="shared" si="31"/>
        <v>66.526003649635044</v>
      </c>
      <c r="P82" s="50"/>
      <c r="Q82" s="51" t="str">
        <f t="shared" si="32"/>
        <v/>
      </c>
      <c r="R82" s="22" t="str">
        <f>IF(Комплектация!G71="",Комплектация!I71,IF(Комплектация!I71="",Комплектация!G71,IF(DATE(VALUE(RIGHT(Комплектация!G71,4)),VALUE(MID(Комплектация!G71,4,2)),VALUE(LEFT(Комплектация!G71,2)))&gt;=DATE(VALUE(RIGHT(Комплектация!I71,4)),VALUE(MID(Комплектация!I71,4,2)),VALUE(LEFT(Комплектация!I71,2))),Комплектация!G71,Комплектация!I71)))</f>
        <v>31.10.2025</v>
      </c>
      <c r="S82" s="22" t="str">
        <f>Комплектация!L71</f>
        <v>31.10.2028</v>
      </c>
      <c r="T82" s="24">
        <f t="shared" si="33"/>
        <v>2.239561943874059</v>
      </c>
      <c r="U82" s="26">
        <f t="shared" si="34"/>
        <v>25.364963503649633</v>
      </c>
      <c r="V82" s="26">
        <f>IF(U82="","",U82*Справочник!$B$7/100)</f>
        <v>2.5364963503649633</v>
      </c>
      <c r="W82" s="24">
        <f>J82-Справочник!$B$4</f>
        <v>59</v>
      </c>
      <c r="X82" s="28">
        <f>IF(MIN(Комплектация!AA71:'Комплектация'!AB71)-Справочник!$B$4&lt;Справочник!$B$3,1,0)+IF(MIN(Комплектация!AK71:'Комплектация'!AL71)-Справочник!$B$4&lt;Справочник!$B$3,1,0)+IF(MIN(Комплектация!AU71:'Комплектация'!AV71)-Справочник!$B$4&lt;Справочник!$B$3,1,0)+IF(MIN(Комплектация!BE71:'Комплектация'!BF71)-Справочник!$B$4&lt;Справочник!$B$3,1,0)</f>
        <v>0</v>
      </c>
      <c r="Y82" s="33">
        <f>Справочник!$B$8</f>
        <v>4650000</v>
      </c>
      <c r="Z82" s="33">
        <f t="shared" si="35"/>
        <v>3093459.1697080298</v>
      </c>
    </row>
    <row r="83" spans="1:26" x14ac:dyDescent="0.25">
      <c r="A83" s="52">
        <f>Комплектация!A72</f>
        <v>77221778</v>
      </c>
      <c r="B83" s="53" t="str">
        <f>Комплектация!C72</f>
        <v>15-150-04П</v>
      </c>
      <c r="C83" s="53">
        <f>Комплектация!E72</f>
        <v>2011</v>
      </c>
      <c r="D83" s="53">
        <f t="shared" si="24"/>
        <v>15</v>
      </c>
      <c r="E83" s="54">
        <f t="shared" si="25"/>
        <v>46.875</v>
      </c>
      <c r="F83" s="55" t="str">
        <f>TEXT(Комплектация!V72,"0")&amp;"/"&amp;TEXT(Комплектация!AF72,"0")&amp;"/"&amp;TEXT(Комплектация!AP72,"0")&amp;"/"&amp;TEXT(Комплектация!AZ72,"0")</f>
        <v>2013/2013/2013/2012</v>
      </c>
      <c r="G83" s="56">
        <f>AVERAGE(Комплектация!V72,Комплектация!AF72,Комплектация!AP72,Комплектация!AZ72)</f>
        <v>2012.75</v>
      </c>
      <c r="H83" s="56">
        <f t="shared" si="26"/>
        <v>13.25</v>
      </c>
      <c r="I83" s="56">
        <f>AVERAGE(Комплектация!AA72:'Комплектация'!AB72,Комплектация!AK72:'Комплектация'!AL72,Комплектация!AU72:'Комплектация'!AV72,Комплектация!BE72:'Комплектация'!BF72)</f>
        <v>72.75</v>
      </c>
      <c r="J83" s="56">
        <f>MIN(Комплектация!AA72:'Комплектация'!AB72,Комплектация!AK72:'Комплектация'!AL72,Комплектация!AU72:'Комплектация'!AV72,Комплектация!BE72:'Комплектация'!BF72)</f>
        <v>72</v>
      </c>
      <c r="K83" s="54">
        <f t="shared" si="27"/>
        <v>0</v>
      </c>
      <c r="L83" s="54">
        <f t="shared" si="28"/>
        <v>44.166666666666664</v>
      </c>
      <c r="M83" s="54">
        <f t="shared" si="29"/>
        <v>13.249999999999998</v>
      </c>
      <c r="N83" s="54">
        <f t="shared" si="30"/>
        <v>31.321624087591243</v>
      </c>
      <c r="O83" s="54">
        <f t="shared" si="31"/>
        <v>68.678375912408754</v>
      </c>
      <c r="P83" s="50"/>
      <c r="Q83" s="57" t="str">
        <f t="shared" si="32"/>
        <v/>
      </c>
      <c r="R83" s="23" t="str">
        <f>IF(Комплектация!G72="",Комплектация!I72,IF(Комплектация!I72="",Комплектация!G72,IF(DATE(VALUE(RIGHT(Комплектация!G72,4)),VALUE(MID(Комплектация!G72,4,2)),VALUE(LEFT(Комплектация!G72,2)))&gt;=DATE(VALUE(RIGHT(Комплектация!I72,4)),VALUE(MID(Комплектация!I72,4,2)),VALUE(LEFT(Комплектация!I72,2))),Комплектация!G72,Комплектация!I72)))</f>
        <v>20.03.2026</v>
      </c>
      <c r="S83" s="23" t="str">
        <f>Комплектация!L72</f>
        <v>20.03.2029</v>
      </c>
      <c r="T83" s="25">
        <f t="shared" si="33"/>
        <v>2.622861054072553</v>
      </c>
      <c r="U83" s="27">
        <f t="shared" si="34"/>
        <v>12.59124087591241</v>
      </c>
      <c r="V83" s="27">
        <f>IF(U83="","",U83*Справочник!$B$7/100)</f>
        <v>1.2591240875912411</v>
      </c>
      <c r="W83" s="25">
        <f>J83-Справочник!$B$4</f>
        <v>57</v>
      </c>
      <c r="X83" s="29">
        <f>IF(MIN(Комплектация!AA72:'Комплектация'!AB72)-Справочник!$B$4&lt;Справочник!$B$3,1,0)+IF(MIN(Комплектация!AK72:'Комплектация'!AL72)-Справочник!$B$4&lt;Справочник!$B$3,1,0)+IF(MIN(Комплектация!AU72:'Комплектация'!AV72)-Справочник!$B$4&lt;Справочник!$B$3,1,0)+IF(MIN(Комплектация!BE72:'Комплектация'!BF72)-Справочник!$B$4&lt;Справочник!$B$3,1,0)</f>
        <v>0</v>
      </c>
      <c r="Y83" s="34">
        <f>Справочник!$B$8</f>
        <v>4650000</v>
      </c>
      <c r="Z83" s="34">
        <f t="shared" si="35"/>
        <v>3193544.4799270071</v>
      </c>
    </row>
    <row r="84" spans="1:26" x14ac:dyDescent="0.25">
      <c r="A84" s="45">
        <f>Комплектация!A73</f>
        <v>77206183</v>
      </c>
      <c r="B84" s="46" t="str">
        <f>Комплектация!C73</f>
        <v>15-1755П</v>
      </c>
      <c r="C84" s="46">
        <f>Комплектация!E73</f>
        <v>2013</v>
      </c>
      <c r="D84" s="46">
        <f t="shared" si="24"/>
        <v>13</v>
      </c>
      <c r="E84" s="47">
        <f t="shared" si="25"/>
        <v>40.625</v>
      </c>
      <c r="F84" s="48" t="str">
        <f>TEXT(Комплектация!V73,"0")&amp;"/"&amp;TEXT(Комплектация!AF73,"0")&amp;"/"&amp;TEXT(Комплектация!AP73,"0")&amp;"/"&amp;TEXT(Комплектация!AZ73,"0")</f>
        <v>2019/2013/2012/2013</v>
      </c>
      <c r="G84" s="49">
        <f>AVERAGE(Комплектация!V73,Комплектация!AF73,Комплектация!AP73,Комплектация!AZ73)</f>
        <v>2014.25</v>
      </c>
      <c r="H84" s="49">
        <f t="shared" si="26"/>
        <v>11.75</v>
      </c>
      <c r="I84" s="49">
        <f>AVERAGE(Комплектация!AA73:'Комплектация'!AB73,Комплектация!AK73:'Комплектация'!AL73,Комплектация!AU73:'Комплектация'!AV73,Комплектация!BE73:'Комплектация'!BF73)</f>
        <v>59.5</v>
      </c>
      <c r="J84" s="49">
        <f>MIN(Комплектация!AA73:'Комплектация'!AB73,Комплектация!AK73:'Комплектация'!AL73,Комплектация!AU73:'Комплектация'!AV73,Комплектация!BE73:'Комплектация'!BF73)</f>
        <v>58</v>
      </c>
      <c r="K84" s="47">
        <f t="shared" si="27"/>
        <v>0</v>
      </c>
      <c r="L84" s="47">
        <f t="shared" si="28"/>
        <v>39.166666666666664</v>
      </c>
      <c r="M84" s="47">
        <f t="shared" si="29"/>
        <v>11.749999999999998</v>
      </c>
      <c r="N84" s="47">
        <f t="shared" si="30"/>
        <v>30.091609589041095</v>
      </c>
      <c r="O84" s="47">
        <f t="shared" si="31"/>
        <v>69.908390410958901</v>
      </c>
      <c r="P84" s="50"/>
      <c r="Q84" s="51" t="str">
        <f t="shared" si="32"/>
        <v/>
      </c>
      <c r="R84" s="22" t="str">
        <f>IF(Комплектация!G73="",Комплектация!I73,IF(Комплектация!I73="",Комплектация!G73,IF(DATE(VALUE(RIGHT(Комплектация!G73,4)),VALUE(MID(Комплектация!G73,4,2)),VALUE(LEFT(Комплектация!G73,2)))&gt;=DATE(VALUE(RIGHT(Комплектация!I73,4)),VALUE(MID(Комплектация!I73,4,2)),VALUE(LEFT(Комплектация!I73,2))),Комплектация!G73,Комплектация!I73)))</f>
        <v>24.10.2025</v>
      </c>
      <c r="S84" s="22" t="str">
        <f>Комплектация!L73</f>
        <v>24.10.2027</v>
      </c>
      <c r="T84" s="24">
        <f t="shared" si="33"/>
        <v>1.2183436002737851</v>
      </c>
      <c r="U84" s="26">
        <f t="shared" si="34"/>
        <v>39.041095890410958</v>
      </c>
      <c r="V84" s="26">
        <f>IF(U84="","",U84*Справочник!$B$7/100)</f>
        <v>3.904109589041096</v>
      </c>
      <c r="W84" s="24">
        <f>J84-Справочник!$B$4</f>
        <v>43</v>
      </c>
      <c r="X84" s="28">
        <f>IF(MIN(Комплектация!AA73:'Комплектация'!AB73)-Справочник!$B$4&lt;Справочник!$B$3,1,0)+IF(MIN(Комплектация!AK73:'Комплектация'!AL73)-Справочник!$B$4&lt;Справочник!$B$3,1,0)+IF(MIN(Комплектация!AU73:'Комплектация'!AV73)-Справочник!$B$4&lt;Справочник!$B$3,1,0)+IF(MIN(Комплектация!BE73:'Комплектация'!BF73)-Справочник!$B$4&lt;Справочник!$B$3,1,0)</f>
        <v>0</v>
      </c>
      <c r="Y84" s="33">
        <f>Справочник!$B$8</f>
        <v>4650000</v>
      </c>
      <c r="Z84" s="33">
        <f t="shared" si="35"/>
        <v>3250740.1541095888</v>
      </c>
    </row>
    <row r="85" spans="1:26" x14ac:dyDescent="0.25">
      <c r="A85" s="52">
        <f>Комплектация!A74</f>
        <v>77206001</v>
      </c>
      <c r="B85" s="53" t="str">
        <f>Комплектация!C74</f>
        <v>15-1755П</v>
      </c>
      <c r="C85" s="53">
        <f>Комплектация!E74</f>
        <v>2013</v>
      </c>
      <c r="D85" s="53">
        <f t="shared" si="24"/>
        <v>13</v>
      </c>
      <c r="E85" s="54">
        <f t="shared" si="25"/>
        <v>40.625</v>
      </c>
      <c r="F85" s="55" t="str">
        <f>TEXT(Комплектация!V74,"0")&amp;"/"&amp;TEXT(Комплектация!AF74,"0")&amp;"/"&amp;TEXT(Комплектация!AP74,"0")&amp;"/"&amp;TEXT(Комплектация!AZ74,"0")</f>
        <v>2013/2013/2013/2012</v>
      </c>
      <c r="G85" s="56">
        <f>AVERAGE(Комплектация!V74,Комплектация!AF74,Комплектация!AP74,Комплектация!AZ74)</f>
        <v>2012.75</v>
      </c>
      <c r="H85" s="56">
        <f t="shared" si="26"/>
        <v>13.25</v>
      </c>
      <c r="I85" s="56">
        <f>AVERAGE(Комплектация!AA74:'Комплектация'!AB74,Комплектация!AK74:'Комплектация'!AL74,Комплектация!AU74:'Комплектация'!AV74,Комплектация!BE74:'Комплектация'!BF74)</f>
        <v>74</v>
      </c>
      <c r="J85" s="56">
        <f>MIN(Комплектация!AA74:'Комплектация'!AB74,Комплектация!AK74:'Комплектация'!AL74,Комплектация!AU74:'Комплектация'!AV74,Комплектация!BE74:'Комплектация'!BF74)</f>
        <v>74</v>
      </c>
      <c r="K85" s="54">
        <f t="shared" si="27"/>
        <v>0</v>
      </c>
      <c r="L85" s="54">
        <f t="shared" si="28"/>
        <v>44.166666666666664</v>
      </c>
      <c r="M85" s="54">
        <f t="shared" si="29"/>
        <v>13.249999999999998</v>
      </c>
      <c r="N85" s="54">
        <f t="shared" si="30"/>
        <v>30.841609589041095</v>
      </c>
      <c r="O85" s="54">
        <f t="shared" si="31"/>
        <v>69.158390410958901</v>
      </c>
      <c r="P85" s="50"/>
      <c r="Q85" s="57" t="str">
        <f t="shared" si="32"/>
        <v/>
      </c>
      <c r="R85" s="23" t="str">
        <f>IF(Комплектация!G74="",Комплектация!I74,IF(Комплектация!I74="",Комплектация!G74,IF(DATE(VALUE(RIGHT(Комплектация!G74,4)),VALUE(MID(Комплектация!G74,4,2)),VALUE(LEFT(Комплектация!G74,2)))&gt;=DATE(VALUE(RIGHT(Комплектация!I74,4)),VALUE(MID(Комплектация!I74,4,2)),VALUE(LEFT(Комплектация!I74,2))),Комплектация!G74,Комплектация!I74)))</f>
        <v>24.10.2025</v>
      </c>
      <c r="S85" s="23" t="str">
        <f>Комплектация!L74</f>
        <v>24.10.2027</v>
      </c>
      <c r="T85" s="25">
        <f t="shared" si="33"/>
        <v>1.2183436002737851</v>
      </c>
      <c r="U85" s="27">
        <f t="shared" si="34"/>
        <v>39.041095890410958</v>
      </c>
      <c r="V85" s="27">
        <f>IF(U85="","",U85*Справочник!$B$7/100)</f>
        <v>3.904109589041096</v>
      </c>
      <c r="W85" s="25">
        <f>J85-Справочник!$B$4</f>
        <v>59</v>
      </c>
      <c r="X85" s="29">
        <f>IF(MIN(Комплектация!AA74:'Комплектация'!AB74)-Справочник!$B$4&lt;Справочник!$B$3,1,0)+IF(MIN(Комплектация!AK74:'Комплектация'!AL74)-Справочник!$B$4&lt;Справочник!$B$3,1,0)+IF(MIN(Комплектация!AU74:'Комплектация'!AV74)-Справочник!$B$4&lt;Справочник!$B$3,1,0)+IF(MIN(Комплектация!BE74:'Комплектация'!BF74)-Справочник!$B$4&lt;Справочник!$B$3,1,0)</f>
        <v>0</v>
      </c>
      <c r="Y85" s="34">
        <f>Справочник!$B$8</f>
        <v>4650000</v>
      </c>
      <c r="Z85" s="34">
        <f t="shared" si="35"/>
        <v>3215865.1541095888</v>
      </c>
    </row>
    <row r="86" spans="1:26" x14ac:dyDescent="0.25">
      <c r="A86" s="45">
        <f>Комплектация!A75</f>
        <v>77206175</v>
      </c>
      <c r="B86" s="46" t="str">
        <f>Комплектация!C75</f>
        <v>15-1755П</v>
      </c>
      <c r="C86" s="46">
        <f>Комплектация!E75</f>
        <v>2013</v>
      </c>
      <c r="D86" s="46">
        <f t="shared" si="24"/>
        <v>13</v>
      </c>
      <c r="E86" s="47">
        <f t="shared" si="25"/>
        <v>40.625</v>
      </c>
      <c r="F86" s="48" t="str">
        <f>TEXT(Комплектация!V75,"0")&amp;"/"&amp;TEXT(Комплектация!AF75,"0")&amp;"/"&amp;TEXT(Комплектация!AP75,"0")&amp;"/"&amp;TEXT(Комплектация!AZ75,"0")</f>
        <v>2013/2013/2013/2013</v>
      </c>
      <c r="G86" s="49">
        <f>AVERAGE(Комплектация!V75,Комплектация!AF75,Комплектация!AP75,Комплектация!AZ75)</f>
        <v>2013</v>
      </c>
      <c r="H86" s="49">
        <f t="shared" si="26"/>
        <v>13</v>
      </c>
      <c r="I86" s="49">
        <f>AVERAGE(Комплектация!AA75:'Комплектация'!AB75,Комплектация!AK75:'Комплектация'!AL75,Комплектация!AU75:'Комплектация'!AV75,Комплектация!BE75:'Комплектация'!BF75)</f>
        <v>68</v>
      </c>
      <c r="J86" s="49">
        <f>MIN(Комплектация!AA75:'Комплектация'!AB75,Комплектация!AK75:'Комплектация'!AL75,Комплектация!AU75:'Комплектация'!AV75,Комплектация!BE75:'Комплектация'!BF75)</f>
        <v>66</v>
      </c>
      <c r="K86" s="47">
        <f t="shared" si="27"/>
        <v>0</v>
      </c>
      <c r="L86" s="47">
        <f t="shared" si="28"/>
        <v>43.333333333333336</v>
      </c>
      <c r="M86" s="47">
        <f t="shared" si="29"/>
        <v>13</v>
      </c>
      <c r="N86" s="47">
        <f t="shared" si="30"/>
        <v>30.716609589041095</v>
      </c>
      <c r="O86" s="47">
        <f t="shared" si="31"/>
        <v>69.283390410958901</v>
      </c>
      <c r="P86" s="50"/>
      <c r="Q86" s="51" t="str">
        <f t="shared" si="32"/>
        <v/>
      </c>
      <c r="R86" s="22" t="str">
        <f>IF(Комплектация!G75="",Комплектация!I75,IF(Комплектация!I75="",Комплектация!G75,IF(DATE(VALUE(RIGHT(Комплектация!G75,4)),VALUE(MID(Комплектация!G75,4,2)),VALUE(LEFT(Комплектация!G75,2)))&gt;=DATE(VALUE(RIGHT(Комплектация!I75,4)),VALUE(MID(Комплектация!I75,4,2)),VALUE(LEFT(Комплектация!I75,2))),Комплектация!G75,Комплектация!I75)))</f>
        <v>24.10.2025</v>
      </c>
      <c r="S86" s="22" t="str">
        <f>Комплектация!L75</f>
        <v>24.10.2027</v>
      </c>
      <c r="T86" s="24">
        <f t="shared" si="33"/>
        <v>1.2183436002737851</v>
      </c>
      <c r="U86" s="26">
        <f t="shared" si="34"/>
        <v>39.041095890410958</v>
      </c>
      <c r="V86" s="26">
        <f>IF(U86="","",U86*Справочник!$B$7/100)</f>
        <v>3.904109589041096</v>
      </c>
      <c r="W86" s="24">
        <f>J86-Справочник!$B$4</f>
        <v>51</v>
      </c>
      <c r="X86" s="28">
        <f>IF(MIN(Комплектация!AA75:'Комплектация'!AB75)-Справочник!$B$4&lt;Справочник!$B$3,1,0)+IF(MIN(Комплектация!AK75:'Комплектация'!AL75)-Справочник!$B$4&lt;Справочник!$B$3,1,0)+IF(MIN(Комплектация!AU75:'Комплектация'!AV75)-Справочник!$B$4&lt;Справочник!$B$3,1,0)+IF(MIN(Комплектация!BE75:'Комплектация'!BF75)-Справочник!$B$4&lt;Справочник!$B$3,1,0)</f>
        <v>0</v>
      </c>
      <c r="Y86" s="33">
        <f>Справочник!$B$8</f>
        <v>4650000</v>
      </c>
      <c r="Z86" s="33">
        <f t="shared" si="35"/>
        <v>3221677.6541095888</v>
      </c>
    </row>
    <row r="87" spans="1:26" x14ac:dyDescent="0.25">
      <c r="A87" s="52">
        <f>Комплектация!A76</f>
        <v>77205763</v>
      </c>
      <c r="B87" s="53" t="str">
        <f>Комплектация!C76</f>
        <v>15-1755П</v>
      </c>
      <c r="C87" s="53">
        <f>Комплектация!E76</f>
        <v>2013</v>
      </c>
      <c r="D87" s="53">
        <f t="shared" si="24"/>
        <v>13</v>
      </c>
      <c r="E87" s="54">
        <f t="shared" si="25"/>
        <v>40.625</v>
      </c>
      <c r="F87" s="55" t="str">
        <f>TEXT(Комплектация!V76,"0")&amp;"/"&amp;TEXT(Комплектация!AF76,"0")&amp;"/"&amp;TEXT(Комплектация!AP76,"0")&amp;"/"&amp;TEXT(Комплектация!AZ76,"0")</f>
        <v>2013/2013/1990/2013</v>
      </c>
      <c r="G87" s="56">
        <f>AVERAGE(Комплектация!V76,Комплектация!AF76,Комплектация!AP76,Комплектация!AZ76)</f>
        <v>2007.25</v>
      </c>
      <c r="H87" s="56">
        <f t="shared" si="26"/>
        <v>18.75</v>
      </c>
      <c r="I87" s="56">
        <f>AVERAGE(Комплектация!AA76:'Комплектация'!AB76,Комплектация!AK76:'Комплектация'!AL76,Комплектация!AU76:'Комплектация'!AV76,Комплектация!BE76:'Комплектация'!BF76)</f>
        <v>62.75</v>
      </c>
      <c r="J87" s="56">
        <f>MIN(Комплектация!AA76:'Комплектация'!AB76,Комплектация!AK76:'Комплектация'!AL76,Комплектация!AU76:'Комплектация'!AV76,Комплектация!BE76:'Комплектация'!BF76)</f>
        <v>57</v>
      </c>
      <c r="K87" s="54">
        <f t="shared" si="27"/>
        <v>0</v>
      </c>
      <c r="L87" s="54">
        <f t="shared" si="28"/>
        <v>62.5</v>
      </c>
      <c r="M87" s="54">
        <f t="shared" si="29"/>
        <v>18.75</v>
      </c>
      <c r="N87" s="54">
        <f t="shared" si="30"/>
        <v>35.208047945205479</v>
      </c>
      <c r="O87" s="54">
        <f t="shared" si="31"/>
        <v>64.791952054794521</v>
      </c>
      <c r="P87" s="50"/>
      <c r="Q87" s="57" t="str">
        <f t="shared" si="32"/>
        <v/>
      </c>
      <c r="R87" s="23" t="str">
        <f>IF(Комплектация!G76="",Комплектация!I76,IF(Комплектация!I76="",Комплектация!G76,IF(DATE(VALUE(RIGHT(Комплектация!G76,4)),VALUE(MID(Комплектация!G76,4,2)),VALUE(LEFT(Комплектация!G76,2)))&gt;=DATE(VALUE(RIGHT(Комплектация!I76,4)),VALUE(MID(Комплектация!I76,4,2)),VALUE(LEFT(Комплектация!I76,2))),Комплектация!G76,Комплектация!I76)))</f>
        <v>28.06.2025</v>
      </c>
      <c r="S87" s="23" t="str">
        <f>Комплектация!L76</f>
        <v>28.06.2027</v>
      </c>
      <c r="T87" s="25">
        <f t="shared" si="33"/>
        <v>0.89527720739219707</v>
      </c>
      <c r="U87" s="27">
        <f t="shared" si="34"/>
        <v>55.205479452054796</v>
      </c>
      <c r="V87" s="27">
        <f>IF(U87="","",U87*Справочник!$B$7/100)</f>
        <v>5.5205479452054798</v>
      </c>
      <c r="W87" s="25">
        <f>J87-Справочник!$B$4</f>
        <v>42</v>
      </c>
      <c r="X87" s="29">
        <f>IF(MIN(Комплектация!AA76:'Комплектация'!AB76)-Справочник!$B$4&lt;Справочник!$B$3,1,0)+IF(MIN(Комплектация!AK76:'Комплектация'!AL76)-Справочник!$B$4&lt;Справочник!$B$3,1,0)+IF(MIN(Комплектация!AU76:'Комплектация'!AV76)-Справочник!$B$4&lt;Справочник!$B$3,1,0)+IF(MIN(Комплектация!BE76:'Комплектация'!BF76)-Справочник!$B$4&lt;Справочник!$B$3,1,0)</f>
        <v>0</v>
      </c>
      <c r="Y87" s="34">
        <f>Справочник!$B$8</f>
        <v>4650000</v>
      </c>
      <c r="Z87" s="34">
        <f t="shared" si="35"/>
        <v>3012825.7705479455</v>
      </c>
    </row>
    <row r="88" spans="1:26" x14ac:dyDescent="0.25">
      <c r="A88" s="45">
        <f>Комплектация!A77</f>
        <v>77205920</v>
      </c>
      <c r="B88" s="46" t="str">
        <f>Комплектация!C77</f>
        <v>15-1755П</v>
      </c>
      <c r="C88" s="46">
        <f>Комплектация!E77</f>
        <v>2013</v>
      </c>
      <c r="D88" s="46">
        <f t="shared" si="24"/>
        <v>13</v>
      </c>
      <c r="E88" s="47">
        <f t="shared" si="25"/>
        <v>40.625</v>
      </c>
      <c r="F88" s="48" t="str">
        <f>TEXT(Комплектация!V77,"0")&amp;"/"&amp;TEXT(Комплектация!AF77,"0")&amp;"/"&amp;TEXT(Комплектация!AP77,"0")&amp;"/"&amp;TEXT(Комплектация!AZ77,"0")</f>
        <v>2013/2017/2004/2005</v>
      </c>
      <c r="G88" s="49">
        <f>AVERAGE(Комплектация!V77,Комплектация!AF77,Комплектация!AP77,Комплектация!AZ77)</f>
        <v>2009.75</v>
      </c>
      <c r="H88" s="49">
        <f t="shared" si="26"/>
        <v>16.25</v>
      </c>
      <c r="I88" s="49">
        <f>AVERAGE(Комплектация!AA77:'Комплектация'!AB77,Комплектация!AK77:'Комплектация'!AL77,Комплектация!AU77:'Комплектация'!AV77,Комплектация!BE77:'Комплектация'!BF77)</f>
        <v>73</v>
      </c>
      <c r="J88" s="49">
        <f>MIN(Комплектация!AA77:'Комплектация'!AB77,Комплектация!AK77:'Комплектация'!AL77,Комплектация!AU77:'Комплектация'!AV77,Комплектация!BE77:'Комплектация'!BF77)</f>
        <v>71</v>
      </c>
      <c r="K88" s="47">
        <f t="shared" si="27"/>
        <v>0</v>
      </c>
      <c r="L88" s="47">
        <f t="shared" si="28"/>
        <v>54.166666666666664</v>
      </c>
      <c r="M88" s="47">
        <f t="shared" si="29"/>
        <v>16.25</v>
      </c>
      <c r="N88" s="47">
        <f t="shared" si="30"/>
        <v>30.793664383561644</v>
      </c>
      <c r="O88" s="47">
        <f t="shared" si="31"/>
        <v>69.206335616438352</v>
      </c>
      <c r="P88" s="50"/>
      <c r="Q88" s="51" t="str">
        <f t="shared" si="32"/>
        <v/>
      </c>
      <c r="R88" s="22" t="str">
        <f>IF(Комплектация!G77="",Комплектация!I77,IF(Комплектация!I77="",Комплектация!G77,IF(DATE(VALUE(RIGHT(Комплектация!G77,4)),VALUE(MID(Комплектация!G77,4,2)),VALUE(LEFT(Комплектация!G77,2)))&gt;=DATE(VALUE(RIGHT(Комплектация!I77,4)),VALUE(MID(Комплектация!I77,4,2)),VALUE(LEFT(Комплектация!I77,2))),Комплектация!G77,Комплектация!I77)))</f>
        <v>14.02.2026</v>
      </c>
      <c r="S88" s="22" t="str">
        <f>Комплектация!L77</f>
        <v>14.02.2028</v>
      </c>
      <c r="T88" s="24">
        <f t="shared" si="33"/>
        <v>1.5277207392197125</v>
      </c>
      <c r="U88" s="26">
        <f t="shared" si="34"/>
        <v>23.56164383561644</v>
      </c>
      <c r="V88" s="26">
        <f>IF(U88="","",U88*Справочник!$B$7/100)</f>
        <v>2.3561643835616439</v>
      </c>
      <c r="W88" s="24">
        <f>J88-Справочник!$B$4</f>
        <v>56</v>
      </c>
      <c r="X88" s="28">
        <f>IF(MIN(Комплектация!AA77:'Комплектация'!AB77)-Справочник!$B$4&lt;Справочник!$B$3,1,0)+IF(MIN(Комплектация!AK77:'Комплектация'!AL77)-Справочник!$B$4&lt;Справочник!$B$3,1,0)+IF(MIN(Комплектация!AU77:'Комплектация'!AV77)-Справочник!$B$4&lt;Справочник!$B$3,1,0)+IF(MIN(Комплектация!BE77:'Комплектация'!BF77)-Справочник!$B$4&lt;Справочник!$B$3,1,0)</f>
        <v>0</v>
      </c>
      <c r="Y88" s="33">
        <f>Справочник!$B$8</f>
        <v>4650000</v>
      </c>
      <c r="Z88" s="33">
        <f t="shared" si="35"/>
        <v>3218094.6061643832</v>
      </c>
    </row>
    <row r="89" spans="1:26" x14ac:dyDescent="0.25">
      <c r="A89" s="52">
        <f>Комплектация!A78</f>
        <v>75187997</v>
      </c>
      <c r="B89" s="53" t="str">
        <f>Комплектация!C78</f>
        <v>15-1219-1П</v>
      </c>
      <c r="C89" s="53">
        <f>Комплектация!E78</f>
        <v>2020</v>
      </c>
      <c r="D89" s="53">
        <f t="shared" si="24"/>
        <v>6</v>
      </c>
      <c r="E89" s="54">
        <f t="shared" si="25"/>
        <v>18.75</v>
      </c>
      <c r="F89" s="55" t="str">
        <f>TEXT(Комплектация!V78,"0")&amp;"/"&amp;TEXT(Комплектация!AF78,"0")&amp;"/"&amp;TEXT(Комплектация!AP78,"0")&amp;"/"&amp;TEXT(Комплектация!AZ78,"0")</f>
        <v>2020/2020/2020/2020</v>
      </c>
      <c r="G89" s="56">
        <f>AVERAGE(Комплектация!V78,Комплектация!AF78,Комплектация!AP78,Комплектация!AZ78)</f>
        <v>2020</v>
      </c>
      <c r="H89" s="56">
        <f t="shared" si="26"/>
        <v>6</v>
      </c>
      <c r="I89" s="56">
        <f>AVERAGE(Комплектация!AA78:'Комплектация'!AB78,Комплектация!AK78:'Комплектация'!AL78,Комплектация!AU78:'Комплектация'!AV78,Комплектация!BE78:'Комплектация'!BF78)</f>
        <v>60.25</v>
      </c>
      <c r="J89" s="56">
        <f>MIN(Комплектация!AA78:'Комплектация'!AB78,Комплектация!AK78:'Комплектация'!AL78,Комплектация!AU78:'Комплектация'!AV78,Комплектация!BE78:'Комплектация'!BF78)</f>
        <v>58</v>
      </c>
      <c r="K89" s="54">
        <f t="shared" si="27"/>
        <v>0</v>
      </c>
      <c r="L89" s="54">
        <f t="shared" si="28"/>
        <v>20</v>
      </c>
      <c r="M89" s="54">
        <f t="shared" si="29"/>
        <v>6</v>
      </c>
      <c r="N89" s="54">
        <f t="shared" si="30"/>
        <v>16.416095890410958</v>
      </c>
      <c r="O89" s="54">
        <f t="shared" si="31"/>
        <v>83.583904109589042</v>
      </c>
      <c r="P89" s="50"/>
      <c r="Q89" s="57" t="str">
        <f t="shared" si="32"/>
        <v/>
      </c>
      <c r="R89" s="23" t="str">
        <f>IF(Комплектация!G78="",Комплектация!I78,IF(Комплектация!I78="",Комплектация!G78,IF(DATE(VALUE(RIGHT(Комплектация!G78,4)),VALUE(MID(Комплектация!G78,4,2)),VALUE(LEFT(Комплектация!G78,2)))&gt;=DATE(VALUE(RIGHT(Комплектация!I78,4)),VALUE(MID(Комплектация!I78,4,2)),VALUE(LEFT(Комплектация!I78,2))),Комплектация!G78,Комплектация!I78)))</f>
        <v>14.10.2025</v>
      </c>
      <c r="S89" s="23" t="str">
        <f>Комплектация!L78</f>
        <v>14.10.2027</v>
      </c>
      <c r="T89" s="25">
        <f t="shared" si="33"/>
        <v>1.1909650924024642</v>
      </c>
      <c r="U89" s="27">
        <f t="shared" si="34"/>
        <v>40.410958904109592</v>
      </c>
      <c r="V89" s="27">
        <f>IF(U89="","",U89*Справочник!$B$7/100)</f>
        <v>4.0410958904109586</v>
      </c>
      <c r="W89" s="25">
        <f>J89-Справочник!$B$4</f>
        <v>43</v>
      </c>
      <c r="X89" s="29">
        <f>IF(MIN(Комплектация!AA78:'Комплектация'!AB78)-Справочник!$B$4&lt;Справочник!$B$3,1,0)+IF(MIN(Комплектация!AK78:'Комплектация'!AL78)-Справочник!$B$4&lt;Справочник!$B$3,1,0)+IF(MIN(Комплектация!AU78:'Комплектация'!AV78)-Справочник!$B$4&lt;Справочник!$B$3,1,0)+IF(MIN(Комплектация!BE78:'Комплектация'!BF78)-Справочник!$B$4&lt;Справочник!$B$3,1,0)</f>
        <v>0</v>
      </c>
      <c r="Y89" s="34">
        <f>Справочник!$B$8</f>
        <v>4650000</v>
      </c>
      <c r="Z89" s="34">
        <f t="shared" si="35"/>
        <v>3886651.5410958906</v>
      </c>
    </row>
    <row r="90" spans="1:26" x14ac:dyDescent="0.25">
      <c r="A90" s="45">
        <f>Комплектация!A79</f>
        <v>75184291</v>
      </c>
      <c r="B90" s="46" t="str">
        <f>Комплектация!C79</f>
        <v>15-1219-1П</v>
      </c>
      <c r="C90" s="46">
        <f>Комплектация!E79</f>
        <v>2020</v>
      </c>
      <c r="D90" s="46">
        <f t="shared" si="24"/>
        <v>6</v>
      </c>
      <c r="E90" s="47">
        <f t="shared" si="25"/>
        <v>18.75</v>
      </c>
      <c r="F90" s="48" t="str">
        <f>TEXT(Комплектация!V79,"0")&amp;"/"&amp;TEXT(Комплектация!AF79,"0")&amp;"/"&amp;TEXT(Комплектация!AP79,"0")&amp;"/"&amp;TEXT(Комплектация!AZ79,"0")</f>
        <v>2020/2020/2020/2020</v>
      </c>
      <c r="G90" s="49">
        <f>AVERAGE(Комплектация!V79,Комплектация!AF79,Комплектация!AP79,Комплектация!AZ79)</f>
        <v>2020</v>
      </c>
      <c r="H90" s="49">
        <f t="shared" si="26"/>
        <v>6</v>
      </c>
      <c r="I90" s="49">
        <f>AVERAGE(Комплектация!AA79:'Комплектация'!AB79,Комплектация!AK79:'Комплектация'!AL79,Комплектация!AU79:'Комплектация'!AV79,Комплектация!BE79:'Комплектация'!BF79)</f>
        <v>59.375</v>
      </c>
      <c r="J90" s="49">
        <f>MIN(Комплектация!AA79:'Комплектация'!AB79,Комплектация!AK79:'Комплектация'!AL79,Комплектация!AU79:'Комплектация'!AV79,Комплектация!BE79:'Комплектация'!BF79)</f>
        <v>58</v>
      </c>
      <c r="K90" s="47">
        <f t="shared" si="27"/>
        <v>0</v>
      </c>
      <c r="L90" s="47">
        <f t="shared" si="28"/>
        <v>20</v>
      </c>
      <c r="M90" s="47">
        <f t="shared" si="29"/>
        <v>6</v>
      </c>
      <c r="N90" s="47">
        <f t="shared" si="30"/>
        <v>15.470890410958905</v>
      </c>
      <c r="O90" s="47">
        <f t="shared" si="31"/>
        <v>84.529109589041099</v>
      </c>
      <c r="P90" s="50"/>
      <c r="Q90" s="51" t="str">
        <f t="shared" si="32"/>
        <v/>
      </c>
      <c r="R90" s="22" t="str">
        <f>IF(Комплектация!G79="",Комплектация!I79,IF(Комплектация!I79="",Комплектация!G79,IF(DATE(VALUE(RIGHT(Комплектация!G79,4)),VALUE(MID(Комплектация!G79,4,2)),VALUE(LEFT(Комплектация!G79,2)))&gt;=DATE(VALUE(RIGHT(Комплектация!I79,4)),VALUE(MID(Комплектация!I79,4,2)),VALUE(LEFT(Комплектация!I79,2))),Комплектация!G79,Комплектация!I79)))</f>
        <v>22.12.2025</v>
      </c>
      <c r="S90" s="22" t="str">
        <f>Комплектация!L79</f>
        <v>22.12.2027</v>
      </c>
      <c r="T90" s="24">
        <f t="shared" si="33"/>
        <v>1.3798767967145791</v>
      </c>
      <c r="U90" s="26">
        <f t="shared" si="34"/>
        <v>30.958904109589042</v>
      </c>
      <c r="V90" s="26">
        <f>IF(U90="","",U90*Справочник!$B$7/100)</f>
        <v>3.095890410958904</v>
      </c>
      <c r="W90" s="24">
        <f>J90-Справочник!$B$4</f>
        <v>43</v>
      </c>
      <c r="X90" s="28">
        <f>IF(MIN(Комплектация!AA79:'Комплектация'!AB79)-Справочник!$B$4&lt;Справочник!$B$3,1,0)+IF(MIN(Комплектация!AK79:'Комплектация'!AL79)-Справочник!$B$4&lt;Справочник!$B$3,1,0)+IF(MIN(Комплектация!AU79:'Комплектация'!AV79)-Справочник!$B$4&lt;Справочник!$B$3,1,0)+IF(MIN(Комплектация!BE79:'Комплектация'!BF79)-Справочник!$B$4&lt;Справочник!$B$3,1,0)</f>
        <v>0</v>
      </c>
      <c r="Y90" s="33">
        <f>Справочник!$B$8</f>
        <v>4650000</v>
      </c>
      <c r="Z90" s="33">
        <f t="shared" si="35"/>
        <v>3930603.5958904112</v>
      </c>
    </row>
    <row r="91" spans="1:26" x14ac:dyDescent="0.25">
      <c r="A91" s="52">
        <f>Комплектация!A80</f>
        <v>75188193</v>
      </c>
      <c r="B91" s="53" t="str">
        <f>Комплектация!C80</f>
        <v>15-1219-1П</v>
      </c>
      <c r="C91" s="53">
        <f>Комплектация!E80</f>
        <v>2020</v>
      </c>
      <c r="D91" s="53">
        <f t="shared" si="24"/>
        <v>6</v>
      </c>
      <c r="E91" s="54">
        <f t="shared" si="25"/>
        <v>18.75</v>
      </c>
      <c r="F91" s="55" t="str">
        <f>TEXT(Комплектация!V80,"0")&amp;"/"&amp;TEXT(Комплектация!AF80,"0")&amp;"/"&amp;TEXT(Комплектация!AP80,"0")&amp;"/"&amp;TEXT(Комплектация!AZ80,"0")</f>
        <v>2020/2020/2020/2020</v>
      </c>
      <c r="G91" s="56">
        <f>AVERAGE(Комплектация!V80,Комплектация!AF80,Комплектация!AP80,Комплектация!AZ80)</f>
        <v>2020</v>
      </c>
      <c r="H91" s="56">
        <f t="shared" si="26"/>
        <v>6</v>
      </c>
      <c r="I91" s="56">
        <f>AVERAGE(Комплектация!AA80:'Комплектация'!AB80,Комплектация!AK80:'Комплектация'!AL80,Комплектация!AU80:'Комплектация'!AV80,Комплектация!BE80:'Комплектация'!BF80)</f>
        <v>60.625</v>
      </c>
      <c r="J91" s="56">
        <f>MIN(Комплектация!AA80:'Комплектация'!AB80,Комплектация!AK80:'Комплектация'!AL80,Комплектация!AU80:'Комплектация'!AV80,Комплектация!BE80:'Комплектация'!BF80)</f>
        <v>58</v>
      </c>
      <c r="K91" s="54">
        <f t="shared" si="27"/>
        <v>0</v>
      </c>
      <c r="L91" s="54">
        <f t="shared" si="28"/>
        <v>20</v>
      </c>
      <c r="M91" s="54">
        <f t="shared" si="29"/>
        <v>6</v>
      </c>
      <c r="N91" s="54">
        <f t="shared" si="30"/>
        <v>15.470890410958905</v>
      </c>
      <c r="O91" s="54">
        <f t="shared" si="31"/>
        <v>84.529109589041099</v>
      </c>
      <c r="P91" s="50"/>
      <c r="Q91" s="57" t="str">
        <f t="shared" si="32"/>
        <v/>
      </c>
      <c r="R91" s="23" t="str">
        <f>IF(Комплектация!G80="",Комплектация!I80,IF(Комплектация!I80="",Комплектация!G80,IF(DATE(VALUE(RIGHT(Комплектация!G80,4)),VALUE(MID(Комплектация!G80,4,2)),VALUE(LEFT(Комплектация!G80,2)))&gt;=DATE(VALUE(RIGHT(Комплектация!I80,4)),VALUE(MID(Комплектация!I80,4,2)),VALUE(LEFT(Комплектация!I80,2))),Комплектация!G80,Комплектация!I80)))</f>
        <v>22.12.2025</v>
      </c>
      <c r="S91" s="23" t="str">
        <f>Комплектация!L80</f>
        <v>22.12.2027</v>
      </c>
      <c r="T91" s="25">
        <f t="shared" si="33"/>
        <v>1.3798767967145791</v>
      </c>
      <c r="U91" s="27">
        <f t="shared" si="34"/>
        <v>30.958904109589042</v>
      </c>
      <c r="V91" s="27">
        <f>IF(U91="","",U91*Справочник!$B$7/100)</f>
        <v>3.095890410958904</v>
      </c>
      <c r="W91" s="25">
        <f>J91-Справочник!$B$4</f>
        <v>43</v>
      </c>
      <c r="X91" s="29">
        <f>IF(MIN(Комплектация!AA80:'Комплектация'!AB80)-Справочник!$B$4&lt;Справочник!$B$3,1,0)+IF(MIN(Комплектация!AK80:'Комплектация'!AL80)-Справочник!$B$4&lt;Справочник!$B$3,1,0)+IF(MIN(Комплектация!AU80:'Комплектация'!AV80)-Справочник!$B$4&lt;Справочник!$B$3,1,0)+IF(MIN(Комплектация!BE80:'Комплектация'!BF80)-Справочник!$B$4&lt;Справочник!$B$3,1,0)</f>
        <v>0</v>
      </c>
      <c r="Y91" s="34">
        <f>Справочник!$B$8</f>
        <v>4650000</v>
      </c>
      <c r="Z91" s="34">
        <f t="shared" si="35"/>
        <v>3930603.5958904112</v>
      </c>
    </row>
    <row r="92" spans="1:26" x14ac:dyDescent="0.25">
      <c r="A92" s="45">
        <f>Комплектация!A81</f>
        <v>77228856</v>
      </c>
      <c r="B92" s="46" t="str">
        <f>Комплектация!C81</f>
        <v>15-150-04П</v>
      </c>
      <c r="C92" s="46">
        <f>Комплектация!E81</f>
        <v>2015</v>
      </c>
      <c r="D92" s="46">
        <f t="shared" si="24"/>
        <v>11</v>
      </c>
      <c r="E92" s="47">
        <f t="shared" si="25"/>
        <v>34.375</v>
      </c>
      <c r="F92" s="48" t="str">
        <f>TEXT(Комплектация!V81,"0")&amp;"/"&amp;TEXT(Комплектация!AF81,"0")&amp;"/"&amp;TEXT(Комплектация!AP81,"0")&amp;"/"&amp;TEXT(Комплектация!AZ81,"0")</f>
        <v>2014/2015/2015/2015</v>
      </c>
      <c r="G92" s="49">
        <f>AVERAGE(Комплектация!V81,Комплектация!AF81,Комплектация!AP81,Комплектация!AZ81)</f>
        <v>2014.75</v>
      </c>
      <c r="H92" s="49">
        <f t="shared" si="26"/>
        <v>11.25</v>
      </c>
      <c r="I92" s="49">
        <f>AVERAGE(Комплектация!AA81:'Комплектация'!AB81,Комплектация!AK81:'Комплектация'!AL81,Комплектация!AU81:'Комплектация'!AV81,Комплектация!BE81:'Комплектация'!BF81)</f>
        <v>73.875</v>
      </c>
      <c r="J92" s="49">
        <f>MIN(Комплектация!AA81:'Комплектация'!AB81,Комплектация!AK81:'Комплектация'!AL81,Комплектация!AU81:'Комплектация'!AV81,Комплектация!BE81:'Комплектация'!BF81)</f>
        <v>73</v>
      </c>
      <c r="K92" s="47">
        <f t="shared" si="27"/>
        <v>0</v>
      </c>
      <c r="L92" s="47">
        <f t="shared" si="28"/>
        <v>37.5</v>
      </c>
      <c r="M92" s="47">
        <f t="shared" si="29"/>
        <v>11.25</v>
      </c>
      <c r="N92" s="47">
        <f t="shared" si="30"/>
        <v>25.987682481751825</v>
      </c>
      <c r="O92" s="47">
        <f t="shared" si="31"/>
        <v>74.012317518248182</v>
      </c>
      <c r="P92" s="50"/>
      <c r="Q92" s="51" t="str">
        <f t="shared" si="32"/>
        <v/>
      </c>
      <c r="R92" s="22" t="str">
        <f>IF(Комплектация!G81="",Комплектация!I81,IF(Комплектация!I81="",Комплектация!G81,IF(DATE(VALUE(RIGHT(Комплектация!G81,4)),VALUE(MID(Комплектация!G81,4,2)),VALUE(LEFT(Комплектация!G81,2)))&gt;=DATE(VALUE(RIGHT(Комплектация!I81,4)),VALUE(MID(Комплектация!I81,4,2)),VALUE(LEFT(Комплектация!I81,2))),Комплектация!G81,Комплектация!I81)))</f>
        <v>22.08.2025</v>
      </c>
      <c r="S92" s="22" t="str">
        <f>Комплектация!L81</f>
        <v>22.08.2028</v>
      </c>
      <c r="T92" s="24">
        <f t="shared" si="33"/>
        <v>2.0479123887748116</v>
      </c>
      <c r="U92" s="26">
        <f t="shared" si="34"/>
        <v>31.751824817518248</v>
      </c>
      <c r="V92" s="26">
        <f>IF(U92="","",U92*Справочник!$B$7/100)</f>
        <v>3.1751824817518246</v>
      </c>
      <c r="W92" s="24">
        <f>J92-Справочник!$B$4</f>
        <v>58</v>
      </c>
      <c r="X92" s="28">
        <f>IF(MIN(Комплектация!AA81:'Комплектация'!AB81)-Справочник!$B$4&lt;Справочник!$B$3,1,0)+IF(MIN(Комплектация!AK81:'Комплектация'!AL81)-Справочник!$B$4&lt;Справочник!$B$3,1,0)+IF(MIN(Комплектация!AU81:'Комплектация'!AV81)-Справочник!$B$4&lt;Справочник!$B$3,1,0)+IF(MIN(Комплектация!BE81:'Комплектация'!BF81)-Справочник!$B$4&lt;Справочник!$B$3,1,0)</f>
        <v>0</v>
      </c>
      <c r="Y92" s="33">
        <f>Справочник!$B$8</f>
        <v>4650000</v>
      </c>
      <c r="Z92" s="33">
        <f t="shared" si="35"/>
        <v>3441572.7645985405</v>
      </c>
    </row>
    <row r="93" spans="1:26" x14ac:dyDescent="0.25">
      <c r="A93" s="52">
        <f>Комплектация!A82</f>
        <v>77228757</v>
      </c>
      <c r="B93" s="53" t="str">
        <f>Комплектация!C82</f>
        <v>15-5103-7П</v>
      </c>
      <c r="C93" s="53">
        <f>Комплектация!E82</f>
        <v>2015</v>
      </c>
      <c r="D93" s="53">
        <f t="shared" si="24"/>
        <v>11</v>
      </c>
      <c r="E93" s="54">
        <f t="shared" si="25"/>
        <v>34.375</v>
      </c>
      <c r="F93" s="55" t="str">
        <f>TEXT(Комплектация!V82,"0")&amp;"/"&amp;TEXT(Комплектация!AF82,"0")&amp;"/"&amp;TEXT(Комплектация!AP82,"0")&amp;"/"&amp;TEXT(Комплектация!AZ82,"0")</f>
        <v>2018/2018/2018/2018</v>
      </c>
      <c r="G93" s="56">
        <f>AVERAGE(Комплектация!V82,Комплектация!AF82,Комплектация!AP82,Комплектация!AZ82)</f>
        <v>2018</v>
      </c>
      <c r="H93" s="56">
        <f t="shared" si="26"/>
        <v>8</v>
      </c>
      <c r="I93" s="56">
        <f>AVERAGE(Комплектация!AA82:'Комплектация'!AB82,Комплектация!AK82:'Комплектация'!AL82,Комплектация!AU82:'Комплектация'!AV82,Комплектация!BE82:'Комплектация'!BF82)</f>
        <v>54.25</v>
      </c>
      <c r="J93" s="56">
        <f>MIN(Комплектация!AA82:'Комплектация'!AB82,Комплектация!AK82:'Комплектация'!AL82,Комплектация!AU82:'Комплектация'!AV82,Комплектация!BE82:'Комплектация'!BF82)</f>
        <v>48</v>
      </c>
      <c r="K93" s="54">
        <f t="shared" si="27"/>
        <v>8.695652173913043</v>
      </c>
      <c r="L93" s="54">
        <f t="shared" si="28"/>
        <v>26.666666666666668</v>
      </c>
      <c r="M93" s="54">
        <f t="shared" si="29"/>
        <v>25.5</v>
      </c>
      <c r="N93" s="54">
        <f t="shared" si="30"/>
        <v>33.09443430656934</v>
      </c>
      <c r="O93" s="54">
        <f t="shared" si="31"/>
        <v>66.90556569343066</v>
      </c>
      <c r="P93" s="50"/>
      <c r="Q93" s="57" t="str">
        <f t="shared" si="32"/>
        <v/>
      </c>
      <c r="R93" s="23" t="str">
        <f>IF(Комплектация!G82="",Комплектация!I82,IF(Комплектация!I82="",Комплектация!G82,IF(DATE(VALUE(RIGHT(Комплектация!G82,4)),VALUE(MID(Комплектация!G82,4,2)),VALUE(LEFT(Комплектация!G82,2)))&gt;=DATE(VALUE(RIGHT(Комплектация!I82,4)),VALUE(MID(Комплектация!I82,4,2)),VALUE(LEFT(Комплектация!I82,2))),Комплектация!G82,Комплектация!I82)))</f>
        <v>24.08.2025</v>
      </c>
      <c r="S93" s="23" t="str">
        <f>Комплектация!L82</f>
        <v>24.08.2028</v>
      </c>
      <c r="T93" s="25">
        <f t="shared" si="33"/>
        <v>2.0533880903490758</v>
      </c>
      <c r="U93" s="27">
        <f t="shared" si="34"/>
        <v>31.569343065693428</v>
      </c>
      <c r="V93" s="27">
        <f>IF(U93="","",U93*Справочник!$B$7/100)</f>
        <v>3.1569343065693425</v>
      </c>
      <c r="W93" s="25">
        <f>J93-Справочник!$B$4</f>
        <v>33</v>
      </c>
      <c r="X93" s="29">
        <f>IF(MIN(Комплектация!AA82:'Комплектация'!AB82)-Справочник!$B$4&lt;Справочник!$B$3,1,0)+IF(MIN(Комплектация!AK82:'Комплектация'!AL82)-Справочник!$B$4&lt;Справочник!$B$3,1,0)+IF(MIN(Комплектация!AU82:'Комплектация'!AV82)-Справочник!$B$4&lt;Справочник!$B$3,1,0)+IF(MIN(Комплектация!BE82:'Комплектация'!BF82)-Справочник!$B$4&lt;Справочник!$B$3,1,0)</f>
        <v>1</v>
      </c>
      <c r="Y93" s="34">
        <f>Справочник!$B$8</f>
        <v>4650000</v>
      </c>
      <c r="Z93" s="34">
        <f t="shared" si="35"/>
        <v>3111108.8047445253</v>
      </c>
    </row>
    <row r="94" spans="1:26" x14ac:dyDescent="0.25">
      <c r="A94" s="45">
        <f>Комплектация!A83</f>
        <v>77228823</v>
      </c>
      <c r="B94" s="46" t="str">
        <f>Комплектация!C83</f>
        <v>15-150-04П</v>
      </c>
      <c r="C94" s="46">
        <f>Комплектация!E83</f>
        <v>2015</v>
      </c>
      <c r="D94" s="46">
        <f t="shared" si="24"/>
        <v>11</v>
      </c>
      <c r="E94" s="47">
        <f t="shared" si="25"/>
        <v>34.375</v>
      </c>
      <c r="F94" s="48" t="str">
        <f>TEXT(Комплектация!V83,"0")&amp;"/"&amp;TEXT(Комплектация!AF83,"0")&amp;"/"&amp;TEXT(Комплектация!AP83,"0")&amp;"/"&amp;TEXT(Комплектация!AZ83,"0")</f>
        <v>2015/2011/2013/2004</v>
      </c>
      <c r="G94" s="49">
        <f>AVERAGE(Комплектация!V83,Комплектация!AF83,Комплектация!AP83,Комплектация!AZ83)</f>
        <v>2010.75</v>
      </c>
      <c r="H94" s="49">
        <f t="shared" si="26"/>
        <v>15.25</v>
      </c>
      <c r="I94" s="49">
        <f>AVERAGE(Комплектация!AA83:'Комплектация'!AB83,Комплектация!AK83:'Комплектация'!AL83,Комплектация!AU83:'Комплектация'!AV83,Комплектация!BE83:'Комплектация'!BF83)</f>
        <v>38.125</v>
      </c>
      <c r="J94" s="49">
        <f>MIN(Комплектация!AA83:'Комплектация'!AB83,Комплектация!AK83:'Комплектация'!AL83,Комплектация!AU83:'Комплектация'!AV83,Комплектация!BE83:'Комплектация'!BF83)</f>
        <v>37</v>
      </c>
      <c r="K94" s="47">
        <f t="shared" si="27"/>
        <v>56.521739130434781</v>
      </c>
      <c r="L94" s="47">
        <f t="shared" si="28"/>
        <v>50.833333333333329</v>
      </c>
      <c r="M94" s="47">
        <f t="shared" si="29"/>
        <v>85.25</v>
      </c>
      <c r="N94" s="47">
        <f t="shared" si="30"/>
        <v>62.996806569343065</v>
      </c>
      <c r="O94" s="47">
        <f t="shared" si="31"/>
        <v>37.003193430656935</v>
      </c>
      <c r="P94" s="50"/>
      <c r="Q94" s="51" t="str">
        <f t="shared" si="32"/>
        <v/>
      </c>
      <c r="R94" s="22" t="str">
        <f>IF(Комплектация!G83="",Комплектация!I83,IF(Комплектация!I83="",Комплектация!G83,IF(DATE(VALUE(RIGHT(Комплектация!G83,4)),VALUE(MID(Комплектация!G83,4,2)),VALUE(LEFT(Комплектация!G83,2)))&gt;=DATE(VALUE(RIGHT(Комплектация!I83,4)),VALUE(MID(Комплектация!I83,4,2)),VALUE(LEFT(Комплектация!I83,2))),Комплектация!G83,Комплектация!I83)))</f>
        <v>21.08.2025</v>
      </c>
      <c r="S94" s="22" t="str">
        <f>Комплектация!L83</f>
        <v>21.08.2028</v>
      </c>
      <c r="T94" s="24">
        <f t="shared" si="33"/>
        <v>2.0451745379876796</v>
      </c>
      <c r="U94" s="26">
        <f t="shared" si="34"/>
        <v>31.843065693430656</v>
      </c>
      <c r="V94" s="26">
        <f>IF(U94="","",U94*Справочник!$B$7/100)</f>
        <v>3.1843065693430659</v>
      </c>
      <c r="W94" s="24">
        <f>J94-Справочник!$B$4</f>
        <v>22</v>
      </c>
      <c r="X94" s="28">
        <f>IF(MIN(Комплектация!AA83:'Комплектация'!AB83)-Справочник!$B$4&lt;Справочник!$B$3,1,0)+IF(MIN(Комплектация!AK83:'Комплектация'!AL83)-Справочник!$B$4&lt;Справочник!$B$3,1,0)+IF(MIN(Комплектация!AU83:'Комплектация'!AV83)-Справочник!$B$4&lt;Справочник!$B$3,1,0)+IF(MIN(Комплектация!BE83:'Комплектация'!BF83)-Справочник!$B$4&lt;Справочник!$B$3,1,0)</f>
        <v>4</v>
      </c>
      <c r="Y94" s="33">
        <f>Справочник!$B$8</f>
        <v>4650000</v>
      </c>
      <c r="Z94" s="33">
        <f t="shared" si="35"/>
        <v>1720648.4945255476</v>
      </c>
    </row>
    <row r="95" spans="1:26" x14ac:dyDescent="0.25">
      <c r="A95" s="52">
        <f>Комплектация!A84</f>
        <v>77224582</v>
      </c>
      <c r="B95" s="53" t="str">
        <f>Комплектация!C84</f>
        <v>15-5103-7П</v>
      </c>
      <c r="C95" s="53">
        <f>Комплектация!E84</f>
        <v>2012</v>
      </c>
      <c r="D95" s="53">
        <f t="shared" si="24"/>
        <v>14</v>
      </c>
      <c r="E95" s="54">
        <f t="shared" si="25"/>
        <v>43.75</v>
      </c>
      <c r="F95" s="55" t="str">
        <f>TEXT(Комплектация!V84,"0")&amp;"/"&amp;TEXT(Комплектация!AF84,"0")&amp;"/"&amp;TEXT(Комплектация!AP84,"0")&amp;"/"&amp;TEXT(Комплектация!AZ84,"0")</f>
        <v>2011/2011/2011/2012</v>
      </c>
      <c r="G95" s="56">
        <f>AVERAGE(Комплектация!V84,Комплектация!AF84,Комплектация!AP84,Комплектация!AZ84)</f>
        <v>2011.25</v>
      </c>
      <c r="H95" s="56">
        <f t="shared" si="26"/>
        <v>14.75</v>
      </c>
      <c r="I95" s="56">
        <f>AVERAGE(Комплектация!AA84:'Комплектация'!AB84,Комплектация!AK84:'Комплектация'!AL84,Комплектация!AU84:'Комплектация'!AV84,Комплектация!BE84:'Комплектация'!BF84)</f>
        <v>74</v>
      </c>
      <c r="J95" s="56">
        <f>MIN(Комплектация!AA84:'Комплектация'!AB84,Комплектация!AK84:'Комплектация'!AL84,Комплектация!AU84:'Комплектация'!AV84,Комплектация!BE84:'Комплектация'!BF84)</f>
        <v>74</v>
      </c>
      <c r="K95" s="54">
        <f t="shared" si="27"/>
        <v>0</v>
      </c>
      <c r="L95" s="54">
        <f t="shared" si="28"/>
        <v>49.166666666666664</v>
      </c>
      <c r="M95" s="54">
        <f t="shared" si="29"/>
        <v>14.749999999999998</v>
      </c>
      <c r="N95" s="54">
        <f t="shared" si="30"/>
        <v>31.795620437956202</v>
      </c>
      <c r="O95" s="54">
        <f t="shared" si="31"/>
        <v>68.204379562043798</v>
      </c>
      <c r="P95" s="50"/>
      <c r="Q95" s="57" t="str">
        <f t="shared" si="32"/>
        <v/>
      </c>
      <c r="R95" s="23" t="str">
        <f>IF(Комплектация!G84="",Комплектация!I84,IF(Комплектация!I84="",Комплектация!G84,IF(DATE(VALUE(RIGHT(Комплектация!G84,4)),VALUE(MID(Комплектация!G84,4,2)),VALUE(LEFT(Комплектация!G84,2)))&gt;=DATE(VALUE(RIGHT(Комплектация!I84,4)),VALUE(MID(Комплектация!I84,4,2)),VALUE(LEFT(Комплектация!I84,2))),Комплектация!G84,Комплектация!I84)))</f>
        <v>30.10.2025</v>
      </c>
      <c r="S95" s="23" t="str">
        <f>Комплектация!L84</f>
        <v>30.10.2028</v>
      </c>
      <c r="T95" s="25">
        <f t="shared" si="33"/>
        <v>2.236824093086927</v>
      </c>
      <c r="U95" s="27">
        <f t="shared" si="34"/>
        <v>25.456204379562042</v>
      </c>
      <c r="V95" s="27">
        <f>IF(U95="","",U95*Справочник!$B$7/100)</f>
        <v>2.5456204379562042</v>
      </c>
      <c r="W95" s="25">
        <f>J95-Справочник!$B$4</f>
        <v>59</v>
      </c>
      <c r="X95" s="29">
        <f>IF(MIN(Комплектация!AA84:'Комплектация'!AB84)-Справочник!$B$4&lt;Справочник!$B$3,1,0)+IF(MIN(Комплектация!AK84:'Комплектация'!AL84)-Справочник!$B$4&lt;Справочник!$B$3,1,0)+IF(MIN(Комплектация!AU84:'Комплектация'!AV84)-Справочник!$B$4&lt;Справочник!$B$3,1,0)+IF(MIN(Комплектация!BE84:'Комплектация'!BF84)-Справочник!$B$4&lt;Справочник!$B$3,1,0)</f>
        <v>0</v>
      </c>
      <c r="Y95" s="34">
        <f>Справочник!$B$8</f>
        <v>4650000</v>
      </c>
      <c r="Z95" s="34">
        <f t="shared" si="35"/>
        <v>3171503.6496350365</v>
      </c>
    </row>
    <row r="96" spans="1:26" x14ac:dyDescent="0.25">
      <c r="A96" s="45">
        <f>Комплектация!A85</f>
        <v>77228971</v>
      </c>
      <c r="B96" s="46" t="str">
        <f>Комплектация!C85</f>
        <v>15-150-04П</v>
      </c>
      <c r="C96" s="46">
        <f>Комплектация!E85</f>
        <v>2015</v>
      </c>
      <c r="D96" s="46">
        <f t="shared" si="24"/>
        <v>11</v>
      </c>
      <c r="E96" s="47">
        <f t="shared" si="25"/>
        <v>34.375</v>
      </c>
      <c r="F96" s="48" t="str">
        <f>TEXT(Комплектация!V85,"0")&amp;"/"&amp;TEXT(Комплектация!AF85,"0")&amp;"/"&amp;TEXT(Комплектация!AP85,"0")&amp;"/"&amp;TEXT(Комплектация!AZ85,"0")</f>
        <v>2014/2015/2015/2015</v>
      </c>
      <c r="G96" s="49">
        <f>AVERAGE(Комплектация!V85,Комплектация!AF85,Комплектация!AP85,Комплектация!AZ85)</f>
        <v>2014.75</v>
      </c>
      <c r="H96" s="49">
        <f t="shared" si="26"/>
        <v>11.25</v>
      </c>
      <c r="I96" s="49">
        <f>AVERAGE(Комплектация!AA85:'Комплектация'!AB85,Комплектация!AK85:'Комплектация'!AL85,Комплектация!AU85:'Комплектация'!AV85,Комплектация!BE85:'Комплектация'!BF85)</f>
        <v>48.5</v>
      </c>
      <c r="J96" s="49">
        <f>MIN(Комплектация!AA85:'Комплектация'!AB85,Комплектация!AK85:'Комплектация'!AL85,Комплектация!AU85:'Комплектация'!AV85,Комплектация!BE85:'Комплектация'!BF85)</f>
        <v>46</v>
      </c>
      <c r="K96" s="47">
        <f t="shared" si="27"/>
        <v>17.391304347826086</v>
      </c>
      <c r="L96" s="47">
        <f t="shared" si="28"/>
        <v>37.5</v>
      </c>
      <c r="M96" s="47">
        <f t="shared" si="29"/>
        <v>46.25</v>
      </c>
      <c r="N96" s="47">
        <f t="shared" si="30"/>
        <v>48.661040145985403</v>
      </c>
      <c r="O96" s="47">
        <f t="shared" si="31"/>
        <v>51.338959854014597</v>
      </c>
      <c r="P96" s="50"/>
      <c r="Q96" s="51" t="str">
        <f t="shared" si="32"/>
        <v/>
      </c>
      <c r="R96" s="22" t="str">
        <f>IF(Комплектация!G85="",Комплектация!I85,IF(Комплектация!I85="",Комплектация!G85,IF(DATE(VALUE(RIGHT(Комплектация!G85,4)),VALUE(MID(Комплектация!G85,4,2)),VALUE(LEFT(Комплектация!G85,2)))&gt;=DATE(VALUE(RIGHT(Комплектация!I85,4)),VALUE(MID(Комплектация!I85,4,2)),VALUE(LEFT(Комплектация!I85,2))),Комплектация!G85,Комплектация!I85)))</f>
        <v>02.02.2024</v>
      </c>
      <c r="S96" s="22" t="str">
        <f>Комплектация!L85</f>
        <v>02.02.2027</v>
      </c>
      <c r="T96" s="24">
        <f t="shared" si="33"/>
        <v>0.49555099247091033</v>
      </c>
      <c r="U96" s="26">
        <f t="shared" si="34"/>
        <v>83.485401459854018</v>
      </c>
      <c r="V96" s="26">
        <f>IF(U96="","",U96*Справочник!$B$7/100)</f>
        <v>8.3485401459854014</v>
      </c>
      <c r="W96" s="24">
        <f>J96-Справочник!$B$4</f>
        <v>31</v>
      </c>
      <c r="X96" s="28">
        <f>IF(MIN(Комплектация!AA85:'Комплектация'!AB85)-Справочник!$B$4&lt;Справочник!$B$3,1,0)+IF(MIN(Комплектация!AK85:'Комплектация'!AL85)-Справочник!$B$4&lt;Справочник!$B$3,1,0)+IF(MIN(Комплектация!AU85:'Комплектация'!AV85)-Справочник!$B$4&lt;Справочник!$B$3,1,0)+IF(MIN(Комплектация!BE85:'Комплектация'!BF85)-Справочник!$B$4&lt;Справочник!$B$3,1,0)</f>
        <v>2</v>
      </c>
      <c r="Y96" s="33">
        <f>Справочник!$B$8</f>
        <v>4650000</v>
      </c>
      <c r="Z96" s="33">
        <f t="shared" si="35"/>
        <v>2387261.6332116788</v>
      </c>
    </row>
    <row r="97" spans="1:26" x14ac:dyDescent="0.25">
      <c r="A97" s="52">
        <f>Комплектация!A86</f>
        <v>77222073</v>
      </c>
      <c r="B97" s="53" t="str">
        <f>Комплектация!C86</f>
        <v>15-5103-7П</v>
      </c>
      <c r="C97" s="53">
        <f>Комплектация!E86</f>
        <v>2011</v>
      </c>
      <c r="D97" s="53">
        <f t="shared" si="24"/>
        <v>15</v>
      </c>
      <c r="E97" s="54">
        <f t="shared" si="25"/>
        <v>46.875</v>
      </c>
      <c r="F97" s="55" t="str">
        <f>TEXT(Комплектация!V86,"0")&amp;"/"&amp;TEXT(Комплектация!AF86,"0")&amp;"/"&amp;TEXT(Комплектация!AP86,"0")&amp;"/"&amp;TEXT(Комплектация!AZ86,"0")</f>
        <v>2011/2011/2007/2011</v>
      </c>
      <c r="G97" s="56">
        <f>AVERAGE(Комплектация!V86,Комплектация!AF86,Комплектация!AP86,Комплектация!AZ86)</f>
        <v>2010</v>
      </c>
      <c r="H97" s="56">
        <f t="shared" si="26"/>
        <v>16</v>
      </c>
      <c r="I97" s="56">
        <f>AVERAGE(Комплектация!AA86:'Комплектация'!AB86,Комплектация!AK86:'Комплектация'!AL86,Комплектация!AU86:'Комплектация'!AV86,Комплектация!BE86:'Комплектация'!BF86)</f>
        <v>75</v>
      </c>
      <c r="J97" s="56">
        <f>MIN(Комплектация!AA86:'Комплектация'!AB86,Комплектация!AK86:'Комплектация'!AL86,Комплектация!AU86:'Комплектация'!AV86,Комплектация!BE86:'Комплектация'!BF86)</f>
        <v>75</v>
      </c>
      <c r="K97" s="54">
        <f t="shared" si="27"/>
        <v>0</v>
      </c>
      <c r="L97" s="54">
        <f t="shared" si="28"/>
        <v>53.333333333333336</v>
      </c>
      <c r="M97" s="54">
        <f t="shared" si="29"/>
        <v>16</v>
      </c>
      <c r="N97" s="54">
        <f t="shared" si="30"/>
        <v>34.977645985401459</v>
      </c>
      <c r="O97" s="54">
        <f t="shared" si="31"/>
        <v>65.022354014598534</v>
      </c>
      <c r="P97" s="50"/>
      <c r="Q97" s="57" t="str">
        <f t="shared" si="32"/>
        <v/>
      </c>
      <c r="R97" s="23" t="str">
        <f>IF(Комплектация!G86="",Комплектация!I86,IF(Комплектация!I86="",Комплектация!G86,IF(DATE(VALUE(RIGHT(Комплектация!G86,4)),VALUE(MID(Комплектация!G86,4,2)),VALUE(LEFT(Комплектация!G86,2)))&gt;=DATE(VALUE(RIGHT(Комплектация!I86,4)),VALUE(MID(Комплектация!I86,4,2)),VALUE(LEFT(Комплектация!I86,2))),Комплектация!G86,Комплектация!I86)))</f>
        <v>13.07.2025</v>
      </c>
      <c r="S97" s="23" t="str">
        <f>Комплектация!L86</f>
        <v>13.07.2028</v>
      </c>
      <c r="T97" s="25">
        <f t="shared" si="33"/>
        <v>1.9383983572895278</v>
      </c>
      <c r="U97" s="27">
        <f t="shared" si="34"/>
        <v>35.401459854014597</v>
      </c>
      <c r="V97" s="27">
        <f>IF(U97="","",U97*Справочник!$B$7/100)</f>
        <v>3.5401459854014599</v>
      </c>
      <c r="W97" s="25">
        <f>J97-Справочник!$B$4</f>
        <v>60</v>
      </c>
      <c r="X97" s="29">
        <f>IF(MIN(Комплектация!AA86:'Комплектация'!AB86)-Справочник!$B$4&lt;Справочник!$B$3,1,0)+IF(MIN(Комплектация!AK86:'Комплектация'!AL86)-Справочник!$B$4&lt;Справочник!$B$3,1,0)+IF(MIN(Комплектация!AU86:'Комплектация'!AV86)-Справочник!$B$4&lt;Справочник!$B$3,1,0)+IF(MIN(Комплектация!BE86:'Комплектация'!BF86)-Справочник!$B$4&lt;Справочник!$B$3,1,0)</f>
        <v>0</v>
      </c>
      <c r="Y97" s="34">
        <f>Справочник!$B$8</f>
        <v>4650000</v>
      </c>
      <c r="Z97" s="34">
        <f t="shared" si="35"/>
        <v>3023539.4616788314</v>
      </c>
    </row>
    <row r="98" spans="1:26" x14ac:dyDescent="0.25">
      <c r="A98" s="45">
        <f>Комплектация!A87</f>
        <v>77222230</v>
      </c>
      <c r="B98" s="46" t="str">
        <f>Комплектация!C87</f>
        <v>15-1755П</v>
      </c>
      <c r="C98" s="46">
        <f>Комплектация!E87</f>
        <v>2014</v>
      </c>
      <c r="D98" s="46">
        <f t="shared" si="24"/>
        <v>12</v>
      </c>
      <c r="E98" s="47">
        <f t="shared" si="25"/>
        <v>37.5</v>
      </c>
      <c r="F98" s="48" t="str">
        <f>TEXT(Комплектация!V87,"0")&amp;"/"&amp;TEXT(Комплектация!AF87,"0")&amp;"/"&amp;TEXT(Комплектация!AP87,"0")&amp;"/"&amp;TEXT(Комплектация!AZ87,"0")</f>
        <v>2012/2013/2012/2012</v>
      </c>
      <c r="G98" s="49">
        <f>AVERAGE(Комплектация!V87,Комплектация!AF87,Комплектация!AP87,Комплектация!AZ87)</f>
        <v>2012.25</v>
      </c>
      <c r="H98" s="49">
        <f t="shared" si="26"/>
        <v>13.75</v>
      </c>
      <c r="I98" s="49">
        <f>AVERAGE(Комплектация!AA87:'Комплектация'!AB87,Комплектация!AK87:'Комплектация'!AL87,Комплектация!AU87:'Комплектация'!AV87,Комплектация!BE87:'Комплектация'!BF87)</f>
        <v>63.25</v>
      </c>
      <c r="J98" s="49">
        <f>MIN(Комплектация!AA87:'Комплектация'!AB87,Комплектация!AK87:'Комплектация'!AL87,Комплектация!AU87:'Комплектация'!AV87,Комплектация!BE87:'Комплектация'!BF87)</f>
        <v>55</v>
      </c>
      <c r="K98" s="47">
        <f t="shared" si="27"/>
        <v>0</v>
      </c>
      <c r="L98" s="47">
        <f t="shared" si="28"/>
        <v>45.833333333333329</v>
      </c>
      <c r="M98" s="47">
        <f t="shared" si="29"/>
        <v>13.749999999999998</v>
      </c>
      <c r="N98" s="47">
        <f t="shared" si="30"/>
        <v>32.419520547945204</v>
      </c>
      <c r="O98" s="47">
        <f t="shared" si="31"/>
        <v>67.580479452054789</v>
      </c>
      <c r="P98" s="50"/>
      <c r="Q98" s="51" t="str">
        <f t="shared" si="32"/>
        <v/>
      </c>
      <c r="R98" s="22" t="str">
        <f>IF(Комплектация!G87="",Комплектация!I87,IF(Комплектация!I87="",Комплектация!G87,IF(DATE(VALUE(RIGHT(Комплектация!G87,4)),VALUE(MID(Комплектация!G87,4,2)),VALUE(LEFT(Комплектация!G87,2)))&gt;=DATE(VALUE(RIGHT(Комплектация!I87,4)),VALUE(MID(Комплектация!I87,4,2)),VALUE(LEFT(Комплектация!I87,2))),Комплектация!G87,Комплектация!I87)))</f>
        <v>27.03.2025</v>
      </c>
      <c r="S98" s="22" t="str">
        <f>Комплектация!L87</f>
        <v>27.03.2027</v>
      </c>
      <c r="T98" s="24">
        <f t="shared" si="33"/>
        <v>0.64065708418891165</v>
      </c>
      <c r="U98" s="26">
        <f t="shared" si="34"/>
        <v>67.945205479452056</v>
      </c>
      <c r="V98" s="26">
        <f>IF(U98="","",U98*Справочник!$B$7/100)</f>
        <v>6.794520547945206</v>
      </c>
      <c r="W98" s="24">
        <f>J98-Справочник!$B$4</f>
        <v>40</v>
      </c>
      <c r="X98" s="28">
        <f>IF(MIN(Комплектация!AA87:'Комплектация'!AB87)-Справочник!$B$4&lt;Справочник!$B$3,1,0)+IF(MIN(Комплектация!AK87:'Комплектация'!AL87)-Справочник!$B$4&lt;Справочник!$B$3,1,0)+IF(MIN(Комплектация!AU87:'Комплектация'!AV87)-Справочник!$B$4&lt;Справочник!$B$3,1,0)+IF(MIN(Комплектация!BE87:'Комплектация'!BF87)-Справочник!$B$4&lt;Справочник!$B$3,1,0)</f>
        <v>0</v>
      </c>
      <c r="Y98" s="33">
        <f>Справочник!$B$8</f>
        <v>4650000</v>
      </c>
      <c r="Z98" s="33">
        <f t="shared" si="35"/>
        <v>3142492.2945205476</v>
      </c>
    </row>
    <row r="99" spans="1:26" x14ac:dyDescent="0.25">
      <c r="A99" s="52">
        <f>Комплектация!A88</f>
        <v>77205755</v>
      </c>
      <c r="B99" s="53" t="str">
        <f>Комплектация!C88</f>
        <v>15-1755П</v>
      </c>
      <c r="C99" s="53">
        <f>Комплектация!E88</f>
        <v>2013</v>
      </c>
      <c r="D99" s="53">
        <f t="shared" si="24"/>
        <v>13</v>
      </c>
      <c r="E99" s="54">
        <f t="shared" si="25"/>
        <v>40.625</v>
      </c>
      <c r="F99" s="55" t="str">
        <f>TEXT(Комплектация!V88,"0")&amp;"/"&amp;TEXT(Комплектация!AF88,"0")&amp;"/"&amp;TEXT(Комплектация!AP88,"0")&amp;"/"&amp;TEXT(Комплектация!AZ88,"0")</f>
        <v>2012/2012/2012/2013</v>
      </c>
      <c r="G99" s="56">
        <f>AVERAGE(Комплектация!V88,Комплектация!AF88,Комплектация!AP88,Комплектация!AZ88)</f>
        <v>2012.25</v>
      </c>
      <c r="H99" s="56">
        <f t="shared" si="26"/>
        <v>13.75</v>
      </c>
      <c r="I99" s="56">
        <f>AVERAGE(Комплектация!AA88:'Комплектация'!AB88,Комплектация!AK88:'Комплектация'!AL88,Комплектация!AU88:'Комплектация'!AV88,Комплектация!BE88:'Комплектация'!BF88)</f>
        <v>68</v>
      </c>
      <c r="J99" s="56">
        <f>MIN(Комплектация!AA88:'Комплектация'!AB88,Комплектация!AK88:'Комплектация'!AL88,Комплектация!AU88:'Комплектация'!AV88,Комплектация!BE88:'Комплектация'!BF88)</f>
        <v>66</v>
      </c>
      <c r="K99" s="54">
        <f t="shared" si="27"/>
        <v>0</v>
      </c>
      <c r="L99" s="54">
        <f t="shared" si="28"/>
        <v>45.833333333333329</v>
      </c>
      <c r="M99" s="54">
        <f t="shared" si="29"/>
        <v>13.749999999999998</v>
      </c>
      <c r="N99" s="54">
        <f t="shared" si="30"/>
        <v>29.225803693570452</v>
      </c>
      <c r="O99" s="54">
        <f t="shared" si="31"/>
        <v>70.774196306429545</v>
      </c>
      <c r="P99" s="50"/>
      <c r="Q99" s="57" t="str">
        <f t="shared" si="32"/>
        <v/>
      </c>
      <c r="R99" s="23" t="str">
        <f>IF(Комплектация!G88="",Комплектация!I88,IF(Комплектация!I88="",Комплектация!G88,IF(DATE(VALUE(RIGHT(Комплектация!G88,4)),VALUE(MID(Комплектация!G88,4,2)),VALUE(LEFT(Комплектация!G88,2)))&gt;=DATE(VALUE(RIGHT(Комплектация!I88,4)),VALUE(MID(Комплектация!I88,4,2)),VALUE(LEFT(Комплектация!I88,2))),Комплектация!G88,Комплектация!I88)))</f>
        <v>09.03.2026</v>
      </c>
      <c r="S99" s="23" t="str">
        <f>Комплектация!L88</f>
        <v>09.03.2028</v>
      </c>
      <c r="T99" s="25">
        <f t="shared" si="33"/>
        <v>1.593429158110883</v>
      </c>
      <c r="U99" s="27">
        <f t="shared" si="34"/>
        <v>20.383036935704517</v>
      </c>
      <c r="V99" s="27">
        <f>IF(U99="","",U99*Справочник!$B$7/100)</f>
        <v>2.0383036935704517</v>
      </c>
      <c r="W99" s="25">
        <f>J99-Справочник!$B$4</f>
        <v>51</v>
      </c>
      <c r="X99" s="29">
        <f>IF(MIN(Комплектация!AA88:'Комплектация'!AB88)-Справочник!$B$4&lt;Справочник!$B$3,1,0)+IF(MIN(Комплектация!AK88:'Комплектация'!AL88)-Справочник!$B$4&lt;Справочник!$B$3,1,0)+IF(MIN(Комплектация!AU88:'Комплектация'!AV88)-Справочник!$B$4&lt;Справочник!$B$3,1,0)+IF(MIN(Комплектация!BE88:'Комплектация'!BF88)-Справочник!$B$4&lt;Справочник!$B$3,1,0)</f>
        <v>0</v>
      </c>
      <c r="Y99" s="34">
        <f>Справочник!$B$8</f>
        <v>4650000</v>
      </c>
      <c r="Z99" s="34">
        <f t="shared" si="35"/>
        <v>3291000.1282489742</v>
      </c>
    </row>
    <row r="100" spans="1:26" x14ac:dyDescent="0.25">
      <c r="A100" s="45">
        <f>Комплектация!A89</f>
        <v>77205805</v>
      </c>
      <c r="B100" s="46" t="str">
        <f>Комплектация!C89</f>
        <v>15-1755П</v>
      </c>
      <c r="C100" s="46">
        <f>Комплектация!E89</f>
        <v>2013</v>
      </c>
      <c r="D100" s="46">
        <f t="shared" si="24"/>
        <v>13</v>
      </c>
      <c r="E100" s="47">
        <f t="shared" si="25"/>
        <v>40.625</v>
      </c>
      <c r="F100" s="48" t="str">
        <f>TEXT(Комплектация!V89,"0")&amp;"/"&amp;TEXT(Комплектация!AF89,"0")&amp;"/"&amp;TEXT(Комплектация!AP89,"0")&amp;"/"&amp;TEXT(Комплектация!AZ89,"0")</f>
        <v>2013/2013/2013/2013</v>
      </c>
      <c r="G100" s="49">
        <f>AVERAGE(Комплектация!V89,Комплектация!AF89,Комплектация!AP89,Комплектация!AZ89)</f>
        <v>2013</v>
      </c>
      <c r="H100" s="49">
        <f t="shared" si="26"/>
        <v>13</v>
      </c>
      <c r="I100" s="49">
        <f>AVERAGE(Комплектация!AA89:'Комплектация'!AB89,Комплектация!AK89:'Комплектация'!AL89,Комплектация!AU89:'Комплектация'!AV89,Комплектация!BE89:'Комплектация'!BF89)</f>
        <v>66</v>
      </c>
      <c r="J100" s="49">
        <f>MIN(Комплектация!AA89:'Комплектация'!AB89,Комплектация!AK89:'Комплектация'!AL89,Комплектация!AU89:'Комплектация'!AV89,Комплектация!BE89:'Комплектация'!BF89)</f>
        <v>64</v>
      </c>
      <c r="K100" s="47">
        <f t="shared" si="27"/>
        <v>0</v>
      </c>
      <c r="L100" s="47">
        <f t="shared" si="28"/>
        <v>43.333333333333336</v>
      </c>
      <c r="M100" s="47">
        <f t="shared" si="29"/>
        <v>13</v>
      </c>
      <c r="N100" s="47">
        <f t="shared" si="30"/>
        <v>28.850803693570452</v>
      </c>
      <c r="O100" s="47">
        <f t="shared" si="31"/>
        <v>71.149196306429545</v>
      </c>
      <c r="P100" s="50"/>
      <c r="Q100" s="51" t="str">
        <f t="shared" si="32"/>
        <v/>
      </c>
      <c r="R100" s="22" t="str">
        <f>IF(Комплектация!G89="",Комплектация!I89,IF(Комплектация!I89="",Комплектация!G89,IF(DATE(VALUE(RIGHT(Комплектация!G89,4)),VALUE(MID(Комплектация!G89,4,2)),VALUE(LEFT(Комплектация!G89,2)))&gt;=DATE(VALUE(RIGHT(Комплектация!I89,4)),VALUE(MID(Комплектация!I89,4,2)),VALUE(LEFT(Комплектация!I89,2))),Комплектация!G89,Комплектация!I89)))</f>
        <v>09.03.2026</v>
      </c>
      <c r="S100" s="22" t="str">
        <f>Комплектация!L89</f>
        <v>09.03.2028</v>
      </c>
      <c r="T100" s="24">
        <f t="shared" si="33"/>
        <v>1.593429158110883</v>
      </c>
      <c r="U100" s="26">
        <f t="shared" si="34"/>
        <v>20.383036935704517</v>
      </c>
      <c r="V100" s="26">
        <f>IF(U100="","",U100*Справочник!$B$7/100)</f>
        <v>2.0383036935704517</v>
      </c>
      <c r="W100" s="24">
        <f>J100-Справочник!$B$4</f>
        <v>49</v>
      </c>
      <c r="X100" s="28">
        <f>IF(MIN(Комплектация!AA89:'Комплектация'!AB89)-Справочник!$B$4&lt;Справочник!$B$3,1,0)+IF(MIN(Комплектация!AK89:'Комплектация'!AL89)-Справочник!$B$4&lt;Справочник!$B$3,1,0)+IF(MIN(Комплектация!AU89:'Комплектация'!AV89)-Справочник!$B$4&lt;Справочник!$B$3,1,0)+IF(MIN(Комплектация!BE89:'Комплектация'!BF89)-Справочник!$B$4&lt;Справочник!$B$3,1,0)</f>
        <v>0</v>
      </c>
      <c r="Y100" s="33">
        <f>Справочник!$B$8</f>
        <v>4650000</v>
      </c>
      <c r="Z100" s="33">
        <f t="shared" si="35"/>
        <v>3308437.6282489742</v>
      </c>
    </row>
    <row r="101" spans="1:26" x14ac:dyDescent="0.25">
      <c r="A101" s="52">
        <f>Комплектация!A90</f>
        <v>77206019</v>
      </c>
      <c r="B101" s="53" t="str">
        <f>Комплектация!C90</f>
        <v>15-1755П</v>
      </c>
      <c r="C101" s="53">
        <f>Комплектация!E90</f>
        <v>2013</v>
      </c>
      <c r="D101" s="53">
        <f t="shared" si="24"/>
        <v>13</v>
      </c>
      <c r="E101" s="54">
        <f t="shared" si="25"/>
        <v>40.625</v>
      </c>
      <c r="F101" s="55" t="str">
        <f>TEXT(Комплектация!V90,"0")&amp;"/"&amp;TEXT(Комплектация!AF90,"0")&amp;"/"&amp;TEXT(Комплектация!AP90,"0")&amp;"/"&amp;TEXT(Комплектация!AZ90,"0")</f>
        <v>2012/2013/2013/2012</v>
      </c>
      <c r="G101" s="56">
        <f>AVERAGE(Комплектация!V90,Комплектация!AF90,Комплектация!AP90,Комплектация!AZ90)</f>
        <v>2012.5</v>
      </c>
      <c r="H101" s="56">
        <f t="shared" si="26"/>
        <v>13.5</v>
      </c>
      <c r="I101" s="56">
        <f>AVERAGE(Комплектация!AA90:'Комплектация'!AB90,Комплектация!AK90:'Комплектация'!AL90,Комплектация!AU90:'Комплектация'!AV90,Комплектация!BE90:'Комплектация'!BF90)</f>
        <v>31.75</v>
      </c>
      <c r="J101" s="56">
        <f>MIN(Комплектация!AA90:'Комплектация'!AB90,Комплектация!AK90:'Комплектация'!AL90,Комплектация!AU90:'Комплектация'!AV90,Комплектация!BE90:'Комплектация'!BF90)</f>
        <v>30</v>
      </c>
      <c r="K101" s="54">
        <f t="shared" si="27"/>
        <v>86.956521739130437</v>
      </c>
      <c r="L101" s="54">
        <f t="shared" si="28"/>
        <v>45</v>
      </c>
      <c r="M101" s="54">
        <f t="shared" si="29"/>
        <v>83.5</v>
      </c>
      <c r="N101" s="54">
        <f t="shared" si="30"/>
        <v>64.087123803009575</v>
      </c>
      <c r="O101" s="54">
        <f t="shared" si="31"/>
        <v>35.912876196990425</v>
      </c>
      <c r="P101" s="50"/>
      <c r="Q101" s="57" t="str">
        <f t="shared" si="32"/>
        <v/>
      </c>
      <c r="R101" s="23" t="str">
        <f>IF(Комплектация!G90="",Комплектация!I90,IF(Комплектация!I90="",Комплектация!G90,IF(DATE(VALUE(RIGHT(Комплектация!G90,4)),VALUE(MID(Комплектация!G90,4,2)),VALUE(LEFT(Комплектация!G90,2)))&gt;=DATE(VALUE(RIGHT(Комплектация!I90,4)),VALUE(MID(Комплектация!I90,4,2)),VALUE(LEFT(Комплектация!I90,2))),Комплектация!G90,Комплектация!I90)))</f>
        <v>10.03.2026</v>
      </c>
      <c r="S101" s="23" t="str">
        <f>Комплектация!L90</f>
        <v>10.03.2028</v>
      </c>
      <c r="T101" s="25">
        <f t="shared" si="33"/>
        <v>1.5961670088980151</v>
      </c>
      <c r="U101" s="27">
        <f t="shared" si="34"/>
        <v>20.246238030095761</v>
      </c>
      <c r="V101" s="27">
        <f>IF(U101="","",U101*Справочник!$B$7/100)</f>
        <v>2.0246238030095758</v>
      </c>
      <c r="W101" s="25">
        <f>J101-Справочник!$B$4</f>
        <v>15</v>
      </c>
      <c r="X101" s="29">
        <f>IF(MIN(Комплектация!AA90:'Комплектация'!AB90)-Справочник!$B$4&lt;Справочник!$B$3,1,0)+IF(MIN(Комплектация!AK90:'Комплектация'!AL90)-Справочник!$B$4&lt;Справочник!$B$3,1,0)+IF(MIN(Комплектация!AU90:'Комплектация'!AV90)-Справочник!$B$4&lt;Справочник!$B$3,1,0)+IF(MIN(Комплектация!BE90:'Комплектация'!BF90)-Справочник!$B$4&lt;Справочник!$B$3,1,0)</f>
        <v>4</v>
      </c>
      <c r="Y101" s="34">
        <f>Справочник!$B$8</f>
        <v>4650000</v>
      </c>
      <c r="Z101" s="34">
        <f t="shared" si="35"/>
        <v>1669948.7431600548</v>
      </c>
    </row>
    <row r="102" spans="1:26" x14ac:dyDescent="0.25">
      <c r="A102" s="45">
        <f>Комплектация!A91</f>
        <v>77228880</v>
      </c>
      <c r="B102" s="46" t="str">
        <f>Комплектация!C91</f>
        <v>15-150-04П</v>
      </c>
      <c r="C102" s="46">
        <f>Комплектация!E91</f>
        <v>2015</v>
      </c>
      <c r="D102" s="46">
        <f t="shared" si="24"/>
        <v>11</v>
      </c>
      <c r="E102" s="47">
        <f t="shared" si="25"/>
        <v>34.375</v>
      </c>
      <c r="F102" s="48" t="str">
        <f>TEXT(Комплектация!V91,"0")&amp;"/"&amp;TEXT(Комплектация!AF91,"0")&amp;"/"&amp;TEXT(Комплектация!AP91,"0")&amp;"/"&amp;TEXT(Комплектация!AZ91,"0")</f>
        <v>2014/2018/2015/2018</v>
      </c>
      <c r="G102" s="49">
        <f>AVERAGE(Комплектация!V91,Комплектация!AF91,Комплектация!AP91,Комплектация!AZ91)</f>
        <v>2016.25</v>
      </c>
      <c r="H102" s="49">
        <f t="shared" si="26"/>
        <v>9.75</v>
      </c>
      <c r="I102" s="49">
        <f>AVERAGE(Комплектация!AA91:'Комплектация'!AB91,Комплектация!AK91:'Комплектация'!AL91,Комплектация!AU91:'Комплектация'!AV91,Комплектация!BE91:'Комплектация'!BF91)</f>
        <v>44.625</v>
      </c>
      <c r="J102" s="49">
        <f>MIN(Комплектация!AA91:'Комплектация'!AB91,Комплектация!AK91:'Комплектация'!AL91,Комплектация!AU91:'Комплектация'!AV91,Комплектация!BE91:'Комплектация'!BF91)</f>
        <v>41</v>
      </c>
      <c r="K102" s="47">
        <f t="shared" si="27"/>
        <v>39.130434782608695</v>
      </c>
      <c r="L102" s="47">
        <f t="shared" si="28"/>
        <v>32.5</v>
      </c>
      <c r="M102" s="47">
        <f t="shared" si="29"/>
        <v>62.25</v>
      </c>
      <c r="N102" s="47">
        <f t="shared" si="30"/>
        <v>51.487682481751825</v>
      </c>
      <c r="O102" s="47">
        <f t="shared" si="31"/>
        <v>48.512317518248175</v>
      </c>
      <c r="P102" s="50"/>
      <c r="Q102" s="51" t="str">
        <f t="shared" si="32"/>
        <v/>
      </c>
      <c r="R102" s="22" t="str">
        <f>IF(Комплектация!G91="",Комплектация!I91,IF(Комплектация!I91="",Комплектация!G91,IF(DATE(VALUE(RIGHT(Комплектация!G91,4)),VALUE(MID(Комплектация!G91,4,2)),VALUE(LEFT(Комплектация!G91,2)))&gt;=DATE(VALUE(RIGHT(Комплектация!I91,4)),VALUE(MID(Комплектация!I91,4,2)),VALUE(LEFT(Комплектация!I91,2))),Комплектация!G91,Комплектация!I91)))</f>
        <v>22.08.2025</v>
      </c>
      <c r="S102" s="22" t="str">
        <f>Комплектация!L91</f>
        <v>22.08.2028</v>
      </c>
      <c r="T102" s="24">
        <f t="shared" si="33"/>
        <v>2.0479123887748116</v>
      </c>
      <c r="U102" s="26">
        <f t="shared" si="34"/>
        <v>31.751824817518248</v>
      </c>
      <c r="V102" s="26">
        <f>IF(U102="","",U102*Справочник!$B$7/100)</f>
        <v>3.1751824817518246</v>
      </c>
      <c r="W102" s="24">
        <f>J102-Справочник!$B$4</f>
        <v>26</v>
      </c>
      <c r="X102" s="28">
        <f>IF(MIN(Комплектация!AA91:'Комплектация'!AB91)-Справочник!$B$4&lt;Справочник!$B$3,1,0)+IF(MIN(Комплектация!AK91:'Комплектация'!AL91)-Справочник!$B$4&lt;Справочник!$B$3,1,0)+IF(MIN(Комплектация!AU91:'Комплектация'!AV91)-Справочник!$B$4&lt;Справочник!$B$3,1,0)+IF(MIN(Комплектация!BE91:'Комплектация'!BF91)-Справочник!$B$4&lt;Справочник!$B$3,1,0)</f>
        <v>3</v>
      </c>
      <c r="Y102" s="33">
        <f>Справочник!$B$8</f>
        <v>4650000</v>
      </c>
      <c r="Z102" s="33">
        <f t="shared" si="35"/>
        <v>2255822.76459854</v>
      </c>
    </row>
    <row r="103" spans="1:26" x14ac:dyDescent="0.25">
      <c r="A103" s="52">
        <f>Комплектация!A92</f>
        <v>77228955</v>
      </c>
      <c r="B103" s="53" t="str">
        <f>Комплектация!C92</f>
        <v>15-150-04П</v>
      </c>
      <c r="C103" s="53">
        <f>Комплектация!E92</f>
        <v>2015</v>
      </c>
      <c r="D103" s="53">
        <f t="shared" si="24"/>
        <v>11</v>
      </c>
      <c r="E103" s="54">
        <f t="shared" si="25"/>
        <v>34.375</v>
      </c>
      <c r="F103" s="55" t="str">
        <f>TEXT(Комплектация!V92,"0")&amp;"/"&amp;TEXT(Комплектация!AF92,"0")&amp;"/"&amp;TEXT(Комплектация!AP92,"0")&amp;"/"&amp;TEXT(Комплектация!AZ92,"0")</f>
        <v>2015/2015/2015/2015</v>
      </c>
      <c r="G103" s="56">
        <f>AVERAGE(Комплектация!V92,Комплектация!AF92,Комплектация!AP92,Комплектация!AZ92)</f>
        <v>2015</v>
      </c>
      <c r="H103" s="56">
        <f t="shared" si="26"/>
        <v>11</v>
      </c>
      <c r="I103" s="56">
        <f>AVERAGE(Комплектация!AA92:'Комплектация'!AB92,Комплектация!AK92:'Комплектация'!AL92,Комплектация!AU92:'Комплектация'!AV92,Комплектация!BE92:'Комплектация'!BF92)</f>
        <v>75</v>
      </c>
      <c r="J103" s="56">
        <f>MIN(Комплектация!AA92:'Комплектация'!AB92,Комплектация!AK92:'Комплектация'!AL92,Комплектация!AU92:'Комплектация'!AV92,Комплектация!BE92:'Комплектация'!BF92)</f>
        <v>75</v>
      </c>
      <c r="K103" s="54">
        <f t="shared" si="27"/>
        <v>0</v>
      </c>
      <c r="L103" s="54">
        <f t="shared" si="28"/>
        <v>36.666666666666664</v>
      </c>
      <c r="M103" s="54">
        <f t="shared" si="29"/>
        <v>10.999999999999998</v>
      </c>
      <c r="N103" s="54">
        <f t="shared" si="30"/>
        <v>25.835310218978101</v>
      </c>
      <c r="O103" s="54">
        <f t="shared" si="31"/>
        <v>74.164689781021906</v>
      </c>
      <c r="P103" s="50"/>
      <c r="Q103" s="57" t="str">
        <f t="shared" si="32"/>
        <v/>
      </c>
      <c r="R103" s="23" t="str">
        <f>IF(Комплектация!G92="",Комплектация!I92,IF(Комплектация!I92="",Комплектация!G92,IF(DATE(VALUE(RIGHT(Комплектация!G92,4)),VALUE(MID(Комплектация!G92,4,2)),VALUE(LEFT(Комплектация!G92,2)))&gt;=DATE(VALUE(RIGHT(Комплектация!I92,4)),VALUE(MID(Комплектация!I92,4,2)),VALUE(LEFT(Комплектация!I92,2))),Комплектация!G92,Комплектация!I92)))</f>
        <v>25.08.2025</v>
      </c>
      <c r="S103" s="23" t="str">
        <f>Комплектация!L92</f>
        <v>25.08.2028</v>
      </c>
      <c r="T103" s="25">
        <f t="shared" si="33"/>
        <v>2.0561259411362083</v>
      </c>
      <c r="U103" s="27">
        <f t="shared" si="34"/>
        <v>31.478102189781019</v>
      </c>
      <c r="V103" s="27">
        <f>IF(U103="","",U103*Справочник!$B$7/100)</f>
        <v>3.1478102189781021</v>
      </c>
      <c r="W103" s="25">
        <f>J103-Справочник!$B$4</f>
        <v>60</v>
      </c>
      <c r="X103" s="29">
        <f>IF(MIN(Комплектация!AA92:'Комплектация'!AB92)-Справочник!$B$4&lt;Справочник!$B$3,1,0)+IF(MIN(Комплектация!AK92:'Комплектация'!AL92)-Справочник!$B$4&lt;Справочник!$B$3,1,0)+IF(MIN(Комплектация!AU92:'Комплектация'!AV92)-Справочник!$B$4&lt;Справочник!$B$3,1,0)+IF(MIN(Комплектация!BE92:'Комплектация'!BF92)-Справочник!$B$4&lt;Справочник!$B$3,1,0)</f>
        <v>0</v>
      </c>
      <c r="Y103" s="34">
        <f>Справочник!$B$8</f>
        <v>4650000</v>
      </c>
      <c r="Z103" s="34">
        <f t="shared" si="35"/>
        <v>3448658.0748175187</v>
      </c>
    </row>
    <row r="104" spans="1:26" x14ac:dyDescent="0.25">
      <c r="A104" s="45">
        <f>Комплектация!A93</f>
        <v>77228872</v>
      </c>
      <c r="B104" s="46" t="str">
        <f>Комплектация!C93</f>
        <v>15-150-04П</v>
      </c>
      <c r="C104" s="46">
        <f>Комплектация!E93</f>
        <v>2015</v>
      </c>
      <c r="D104" s="46">
        <f t="shared" si="24"/>
        <v>11</v>
      </c>
      <c r="E104" s="47">
        <f t="shared" si="25"/>
        <v>34.375</v>
      </c>
      <c r="F104" s="48" t="str">
        <f>TEXT(Комплектация!V93,"0")&amp;"/"&amp;TEXT(Комплектация!AF93,"0")&amp;"/"&amp;TEXT(Комплектация!AP93,"0")&amp;"/"&amp;TEXT(Комплектация!AZ93,"0")</f>
        <v>2015/2015/2014/2014</v>
      </c>
      <c r="G104" s="49">
        <f>AVERAGE(Комплектация!V93,Комплектация!AF93,Комплектация!AP93,Комплектация!AZ93)</f>
        <v>2014.5</v>
      </c>
      <c r="H104" s="49">
        <f t="shared" si="26"/>
        <v>11.5</v>
      </c>
      <c r="I104" s="49">
        <f>AVERAGE(Комплектация!AA93:'Комплектация'!AB93,Комплектация!AK93:'Комплектация'!AL93,Комплектация!AU93:'Комплектация'!AV93,Комплектация!BE93:'Комплектация'!BF93)</f>
        <v>74</v>
      </c>
      <c r="J104" s="49">
        <f>MIN(Комплектация!AA93:'Комплектация'!AB93,Комплектация!AK93:'Комплектация'!AL93,Комплектация!AU93:'Комплектация'!AV93,Комплектация!BE93:'Комплектация'!BF93)</f>
        <v>74</v>
      </c>
      <c r="K104" s="47">
        <f t="shared" si="27"/>
        <v>0</v>
      </c>
      <c r="L104" s="47">
        <f t="shared" si="28"/>
        <v>38.333333333333336</v>
      </c>
      <c r="M104" s="47">
        <f t="shared" si="29"/>
        <v>11.5</v>
      </c>
      <c r="N104" s="47">
        <f t="shared" si="30"/>
        <v>26.130930656934307</v>
      </c>
      <c r="O104" s="47">
        <f t="shared" si="31"/>
        <v>73.869069343065689</v>
      </c>
      <c r="P104" s="50"/>
      <c r="Q104" s="51" t="str">
        <f t="shared" si="32"/>
        <v/>
      </c>
      <c r="R104" s="22" t="str">
        <f>IF(Комплектация!G93="",Комплектация!I93,IF(Комплектация!I93="",Комплектация!G93,IF(DATE(VALUE(RIGHT(Комплектация!G93,4)),VALUE(MID(Комплектация!G93,4,2)),VALUE(LEFT(Комплектация!G93,2)))&gt;=DATE(VALUE(RIGHT(Комплектация!I93,4)),VALUE(MID(Комплектация!I93,4,2)),VALUE(LEFT(Комплектация!I93,2))),Комплектация!G93,Комплектация!I93)))</f>
        <v>20.08.2025</v>
      </c>
      <c r="S104" s="22" t="str">
        <f>Комплектация!L93</f>
        <v>20.08.2028</v>
      </c>
      <c r="T104" s="24">
        <f t="shared" si="33"/>
        <v>2.0424366872005475</v>
      </c>
      <c r="U104" s="26">
        <f t="shared" si="34"/>
        <v>31.934306569343068</v>
      </c>
      <c r="V104" s="26">
        <f>IF(U104="","",U104*Справочник!$B$7/100)</f>
        <v>3.1934306569343067</v>
      </c>
      <c r="W104" s="24">
        <f>J104-Справочник!$B$4</f>
        <v>59</v>
      </c>
      <c r="X104" s="28">
        <f>IF(MIN(Комплектация!AA93:'Комплектация'!AB93)-Справочник!$B$4&lt;Справочник!$B$3,1,0)+IF(MIN(Комплектация!AK93:'Комплектация'!AL93)-Справочник!$B$4&lt;Справочник!$B$3,1,0)+IF(MIN(Комплектация!AU93:'Комплектация'!AV93)-Справочник!$B$4&lt;Справочник!$B$3,1,0)+IF(MIN(Комплектация!BE93:'Комплектация'!BF93)-Справочник!$B$4&lt;Справочник!$B$3,1,0)</f>
        <v>0</v>
      </c>
      <c r="Y104" s="33">
        <f>Справочник!$B$8</f>
        <v>4650000</v>
      </c>
      <c r="Z104" s="33">
        <f t="shared" si="35"/>
        <v>3434911.7244525547</v>
      </c>
    </row>
    <row r="105" spans="1:26" x14ac:dyDescent="0.25">
      <c r="A105" s="52">
        <f>Комплектация!A94</f>
        <v>77228765</v>
      </c>
      <c r="B105" s="53" t="str">
        <f>Комплектация!C94</f>
        <v>15-5103-7П</v>
      </c>
      <c r="C105" s="53">
        <f>Комплектация!E94</f>
        <v>2015</v>
      </c>
      <c r="D105" s="53">
        <f t="shared" si="24"/>
        <v>11</v>
      </c>
      <c r="E105" s="54">
        <f t="shared" si="25"/>
        <v>34.375</v>
      </c>
      <c r="F105" s="55" t="str">
        <f>TEXT(Комплектация!V94,"0")&amp;"/"&amp;TEXT(Комплектация!AF94,"0")&amp;"/"&amp;TEXT(Комплектация!AP94,"0")&amp;"/"&amp;TEXT(Комплектация!AZ94,"0")</f>
        <v>2015/2014/2015/2015</v>
      </c>
      <c r="G105" s="56">
        <f>AVERAGE(Комплектация!V94,Комплектация!AF94,Комплектация!AP94,Комплектация!AZ94)</f>
        <v>2014.75</v>
      </c>
      <c r="H105" s="56">
        <f t="shared" si="26"/>
        <v>11.25</v>
      </c>
      <c r="I105" s="56">
        <f>AVERAGE(Комплектация!AA94:'Комплектация'!AB94,Комплектация!AK94:'Комплектация'!AL94,Комплектация!AU94:'Комплектация'!AV94,Комплектация!BE94:'Комплектация'!BF94)</f>
        <v>74.75</v>
      </c>
      <c r="J105" s="56">
        <f>MIN(Комплектация!AA94:'Комплектация'!AB94,Комплектация!AK94:'Комплектация'!AL94,Комплектация!AU94:'Комплектация'!AV94,Комплектация!BE94:'Комплектация'!BF94)</f>
        <v>74</v>
      </c>
      <c r="K105" s="54">
        <f t="shared" si="27"/>
        <v>0</v>
      </c>
      <c r="L105" s="54">
        <f t="shared" si="28"/>
        <v>37.5</v>
      </c>
      <c r="M105" s="54">
        <f t="shared" si="29"/>
        <v>11.25</v>
      </c>
      <c r="N105" s="54">
        <f t="shared" si="30"/>
        <v>25.969434306569344</v>
      </c>
      <c r="O105" s="54">
        <f t="shared" si="31"/>
        <v>74.03056569343066</v>
      </c>
      <c r="P105" s="50"/>
      <c r="Q105" s="57" t="str">
        <f t="shared" si="32"/>
        <v/>
      </c>
      <c r="R105" s="23" t="str">
        <f>IF(Комплектация!G94="",Комплектация!I94,IF(Комплектация!I94="",Комплектация!G94,IF(DATE(VALUE(RIGHT(Комплектация!G94,4)),VALUE(MID(Комплектация!G94,4,2)),VALUE(LEFT(Комплектация!G94,2)))&gt;=DATE(VALUE(RIGHT(Комплектация!I94,4)),VALUE(MID(Комплектация!I94,4,2)),VALUE(LEFT(Комплектация!I94,2))),Комплектация!G94,Комплектация!I94)))</f>
        <v>24.08.2025</v>
      </c>
      <c r="S105" s="23" t="str">
        <f>Комплектация!L94</f>
        <v>24.08.2028</v>
      </c>
      <c r="T105" s="25">
        <f t="shared" si="33"/>
        <v>2.0533880903490758</v>
      </c>
      <c r="U105" s="27">
        <f t="shared" si="34"/>
        <v>31.569343065693428</v>
      </c>
      <c r="V105" s="27">
        <f>IF(U105="","",U105*Справочник!$B$7/100)</f>
        <v>3.1569343065693425</v>
      </c>
      <c r="W105" s="25">
        <f>J105-Справочник!$B$4</f>
        <v>59</v>
      </c>
      <c r="X105" s="29">
        <f>IF(MIN(Комплектация!AA94:'Комплектация'!AB94)-Справочник!$B$4&lt;Справочник!$B$3,1,0)+IF(MIN(Комплектация!AK94:'Комплектация'!AL94)-Справочник!$B$4&lt;Справочник!$B$3,1,0)+IF(MIN(Комплектация!AU94:'Комплектация'!AV94)-Справочник!$B$4&lt;Справочник!$B$3,1,0)+IF(MIN(Комплектация!BE94:'Комплектация'!BF94)-Справочник!$B$4&lt;Справочник!$B$3,1,0)</f>
        <v>0</v>
      </c>
      <c r="Y105" s="34">
        <f>Справочник!$B$8</f>
        <v>4650000</v>
      </c>
      <c r="Z105" s="34">
        <f t="shared" si="35"/>
        <v>3442421.3047445253</v>
      </c>
    </row>
    <row r="106" spans="1:26" x14ac:dyDescent="0.25">
      <c r="A106" s="45">
        <f>Комплектация!A95</f>
        <v>77222057</v>
      </c>
      <c r="B106" s="46" t="str">
        <f>Комплектация!C95</f>
        <v>15-150-04П</v>
      </c>
      <c r="C106" s="46">
        <f>Комплектация!E95</f>
        <v>2011</v>
      </c>
      <c r="D106" s="46">
        <f t="shared" si="24"/>
        <v>15</v>
      </c>
      <c r="E106" s="47">
        <f t="shared" si="25"/>
        <v>46.875</v>
      </c>
      <c r="F106" s="48" t="str">
        <f>TEXT(Комплектация!V95,"0")&amp;"/"&amp;TEXT(Комплектация!AF95,"0")&amp;"/"&amp;TEXT(Комплектация!AP95,"0")&amp;"/"&amp;TEXT(Комплектация!AZ95,"0")</f>
        <v>2011/2013/2011/2011</v>
      </c>
      <c r="G106" s="49">
        <f>AVERAGE(Комплектация!V95,Комплектация!AF95,Комплектация!AP95,Комплектация!AZ95)</f>
        <v>2011.5</v>
      </c>
      <c r="H106" s="49">
        <f t="shared" si="26"/>
        <v>14.5</v>
      </c>
      <c r="I106" s="49">
        <f>AVERAGE(Комплектация!AA95:'Комплектация'!AB95,Комплектация!AK95:'Комплектация'!AL95,Комплектация!AU95:'Комплектация'!AV95,Комплектация!BE95:'Комплектация'!BF95)</f>
        <v>61.75</v>
      </c>
      <c r="J106" s="49">
        <f>MIN(Комплектация!AA95:'Комплектация'!AB95,Комплектация!AK95:'Комплектация'!AL95,Комплектация!AU95:'Комплектация'!AV95,Комплектация!BE95:'Комплектация'!BF95)</f>
        <v>56</v>
      </c>
      <c r="K106" s="47">
        <f t="shared" si="27"/>
        <v>0</v>
      </c>
      <c r="L106" s="47">
        <f t="shared" si="28"/>
        <v>48.333333333333336</v>
      </c>
      <c r="M106" s="47">
        <f t="shared" si="29"/>
        <v>14.5</v>
      </c>
      <c r="N106" s="47">
        <f t="shared" si="30"/>
        <v>32.074361313868614</v>
      </c>
      <c r="O106" s="47">
        <f t="shared" si="31"/>
        <v>67.925638686131379</v>
      </c>
      <c r="P106" s="50"/>
      <c r="Q106" s="51" t="str">
        <f t="shared" si="32"/>
        <v/>
      </c>
      <c r="R106" s="22" t="str">
        <f>IF(Комплектация!G95="",Комплектация!I95,IF(Комплектация!I95="",Комплектация!G95,IF(DATE(VALUE(RIGHT(Комплектация!G95,4)),VALUE(MID(Комплектация!G95,4,2)),VALUE(LEFT(Комплектация!G95,2)))&gt;=DATE(VALUE(RIGHT(Комплектация!I95,4)),VALUE(MID(Комплектация!I95,4,2)),VALUE(LEFT(Комплектация!I95,2))),Комплектация!G95,Комплектация!I95)))</f>
        <v>06.03.2026</v>
      </c>
      <c r="S106" s="22" t="str">
        <f>Комплектация!L95</f>
        <v>06.03.2029</v>
      </c>
      <c r="T106" s="24">
        <f t="shared" si="33"/>
        <v>2.5845311430527036</v>
      </c>
      <c r="U106" s="26">
        <f t="shared" si="34"/>
        <v>13.868613138686131</v>
      </c>
      <c r="V106" s="26">
        <f>IF(U106="","",U106*Справочник!$B$7/100)</f>
        <v>1.3868613138686132</v>
      </c>
      <c r="W106" s="24">
        <f>J106-Справочник!$B$4</f>
        <v>41</v>
      </c>
      <c r="X106" s="28">
        <f>IF(MIN(Комплектация!AA95:'Комплектация'!AB95)-Справочник!$B$4&lt;Справочник!$B$3,1,0)+IF(MIN(Комплектация!AK95:'Комплектация'!AL95)-Справочник!$B$4&lt;Справочник!$B$3,1,0)+IF(MIN(Комплектация!AU95:'Комплектация'!AV95)-Справочник!$B$4&lt;Справочник!$B$3,1,0)+IF(MIN(Комплектация!BE95:'Комплектация'!BF95)-Справочник!$B$4&lt;Справочник!$B$3,1,0)</f>
        <v>0</v>
      </c>
      <c r="Y106" s="33">
        <f>Справочник!$B$8</f>
        <v>4650000</v>
      </c>
      <c r="Z106" s="33">
        <f t="shared" si="35"/>
        <v>3158542.198905109</v>
      </c>
    </row>
    <row r="107" spans="1:26" x14ac:dyDescent="0.25">
      <c r="A107" s="52">
        <f>Комплектация!A96</f>
        <v>77228948</v>
      </c>
      <c r="B107" s="53" t="str">
        <f>Комплектация!C96</f>
        <v>15-150-04П</v>
      </c>
      <c r="C107" s="53">
        <f>Комплектация!E96</f>
        <v>2015</v>
      </c>
      <c r="D107" s="53">
        <f t="shared" si="24"/>
        <v>11</v>
      </c>
      <c r="E107" s="54">
        <f t="shared" si="25"/>
        <v>34.375</v>
      </c>
      <c r="F107" s="55" t="str">
        <f>TEXT(Комплектация!V96,"0")&amp;"/"&amp;TEXT(Комплектация!AF96,"0")&amp;"/"&amp;TEXT(Комплектация!AP96,"0")&amp;"/"&amp;TEXT(Комплектация!AZ96,"0")</f>
        <v>2015/2015/2012/2013</v>
      </c>
      <c r="G107" s="56">
        <f>AVERAGE(Комплектация!V96,Комплектация!AF96,Комплектация!AP96,Комплектация!AZ96)</f>
        <v>2013.75</v>
      </c>
      <c r="H107" s="56">
        <f t="shared" si="26"/>
        <v>12.25</v>
      </c>
      <c r="I107" s="56">
        <f>AVERAGE(Комплектация!AA96:'Комплектация'!AB96,Комплектация!AK96:'Комплектация'!AL96,Комплектация!AU96:'Комплектация'!AV96,Комплектация!BE96:'Комплектация'!BF96)</f>
        <v>37</v>
      </c>
      <c r="J107" s="56">
        <f>MIN(Комплектация!AA96:'Комплектация'!AB96,Комплектация!AK96:'Комплектация'!AL96,Комплектация!AU96:'Комплектация'!AV96,Комплектация!BE96:'Комплектация'!BF96)</f>
        <v>35</v>
      </c>
      <c r="K107" s="54">
        <f t="shared" si="27"/>
        <v>65.217391304347828</v>
      </c>
      <c r="L107" s="54">
        <f t="shared" si="28"/>
        <v>40.833333333333336</v>
      </c>
      <c r="M107" s="54">
        <f t="shared" si="29"/>
        <v>82.25</v>
      </c>
      <c r="N107" s="54">
        <f t="shared" si="30"/>
        <v>60.92198905109489</v>
      </c>
      <c r="O107" s="54">
        <f t="shared" si="31"/>
        <v>39.07801094890511</v>
      </c>
      <c r="P107" s="50"/>
      <c r="Q107" s="57" t="str">
        <f t="shared" si="32"/>
        <v/>
      </c>
      <c r="R107" s="23" t="str">
        <f>IF(Комплектация!G96="",Комплектация!I96,IF(Комплектация!I96="",Комплектация!G96,IF(DATE(VALUE(RIGHT(Комплектация!G96,4)),VALUE(MID(Комплектация!G96,4,2)),VALUE(LEFT(Комплектация!G96,2)))&gt;=DATE(VALUE(RIGHT(Комплектация!I96,4)),VALUE(MID(Комплектация!I96,4,2)),VALUE(LEFT(Комплектация!I96,2))),Комплектация!G96,Комплектация!I96)))</f>
        <v>23.10.2025</v>
      </c>
      <c r="S107" s="23" t="str">
        <f>Комплектация!L96</f>
        <v>23.10.2028</v>
      </c>
      <c r="T107" s="25">
        <f t="shared" si="33"/>
        <v>2.2176591375770021</v>
      </c>
      <c r="U107" s="27">
        <f t="shared" si="34"/>
        <v>26.094890510948904</v>
      </c>
      <c r="V107" s="27">
        <f>IF(U107="","",U107*Справочник!$B$7/100)</f>
        <v>2.6094890510948905</v>
      </c>
      <c r="W107" s="25">
        <f>J107-Справочник!$B$4</f>
        <v>20</v>
      </c>
      <c r="X107" s="29">
        <f>IF(MIN(Комплектация!AA96:'Комплектация'!AB96)-Справочник!$B$4&lt;Справочник!$B$3,1,0)+IF(MIN(Комплектация!AK96:'Комплектация'!AL96)-Справочник!$B$4&lt;Справочник!$B$3,1,0)+IF(MIN(Комплектация!AU96:'Комплектация'!AV96)-Справочник!$B$4&lt;Справочник!$B$3,1,0)+IF(MIN(Комплектация!BE96:'Комплектация'!BF96)-Справочник!$B$4&lt;Справочник!$B$3,1,0)</f>
        <v>4</v>
      </c>
      <c r="Y107" s="34">
        <f>Справочник!$B$8</f>
        <v>4650000</v>
      </c>
      <c r="Z107" s="34">
        <f t="shared" si="35"/>
        <v>1817127.5091240876</v>
      </c>
    </row>
    <row r="108" spans="1:26" x14ac:dyDescent="0.25">
      <c r="A108" s="45">
        <f>Комплектация!A97</f>
        <v>77228963</v>
      </c>
      <c r="B108" s="46" t="str">
        <f>Комплектация!C97</f>
        <v>15-150-04П</v>
      </c>
      <c r="C108" s="46">
        <f>Комплектация!E97</f>
        <v>2015</v>
      </c>
      <c r="D108" s="46">
        <f t="shared" si="24"/>
        <v>11</v>
      </c>
      <c r="E108" s="47">
        <f t="shared" si="25"/>
        <v>34.375</v>
      </c>
      <c r="F108" s="48" t="str">
        <f>TEXT(Комплектация!V97,"0")&amp;"/"&amp;TEXT(Комплектация!AF97,"0")&amp;"/"&amp;TEXT(Комплектация!AP97,"0")&amp;"/"&amp;TEXT(Комплектация!AZ97,"0")</f>
        <v>2014/2015/2015/2014</v>
      </c>
      <c r="G108" s="49">
        <f>AVERAGE(Комплектация!V97,Комплектация!AF97,Комплектация!AP97,Комплектация!AZ97)</f>
        <v>2014.5</v>
      </c>
      <c r="H108" s="49">
        <f t="shared" si="26"/>
        <v>11.5</v>
      </c>
      <c r="I108" s="49">
        <f>AVERAGE(Комплектация!AA97:'Комплектация'!AB97,Комплектация!AK97:'Комплектация'!AL97,Комплектация!AU97:'Комплектация'!AV97,Комплектация!BE97:'Комплектация'!BF97)</f>
        <v>40</v>
      </c>
      <c r="J108" s="49">
        <f>MIN(Комплектация!AA97:'Комплектация'!AB97,Комплектация!AK97:'Комплектация'!AL97,Комплектация!AU97:'Комплектация'!AV97,Комплектация!BE97:'Комплектация'!BF97)</f>
        <v>35</v>
      </c>
      <c r="K108" s="47">
        <f t="shared" si="27"/>
        <v>65.217391304347828</v>
      </c>
      <c r="L108" s="47">
        <f t="shared" si="28"/>
        <v>38.333333333333336</v>
      </c>
      <c r="M108" s="47">
        <f t="shared" si="29"/>
        <v>81.5</v>
      </c>
      <c r="N108" s="47">
        <f t="shared" si="30"/>
        <v>61.130930656934304</v>
      </c>
      <c r="O108" s="47">
        <f t="shared" si="31"/>
        <v>38.869069343065696</v>
      </c>
      <c r="P108" s="50"/>
      <c r="Q108" s="51" t="str">
        <f t="shared" si="32"/>
        <v/>
      </c>
      <c r="R108" s="22" t="str">
        <f>IF(Комплектация!G97="",Комплектация!I97,IF(Комплектация!I97="",Комплектация!G97,IF(DATE(VALUE(RIGHT(Комплектация!G97,4)),VALUE(MID(Комплектация!G97,4,2)),VALUE(LEFT(Комплектация!G97,2)))&gt;=DATE(VALUE(RIGHT(Комплектация!I97,4)),VALUE(MID(Комплектация!I97,4,2)),VALUE(LEFT(Комплектация!I97,2))),Комплектация!G97,Комплектация!I97)))</f>
        <v>20.08.2025</v>
      </c>
      <c r="S108" s="22" t="str">
        <f>Комплектация!L97</f>
        <v>20.08.2028</v>
      </c>
      <c r="T108" s="24">
        <f t="shared" si="33"/>
        <v>2.0424366872005475</v>
      </c>
      <c r="U108" s="26">
        <f t="shared" si="34"/>
        <v>31.934306569343068</v>
      </c>
      <c r="V108" s="26">
        <f>IF(U108="","",U108*Справочник!$B$7/100)</f>
        <v>3.1934306569343067</v>
      </c>
      <c r="W108" s="24">
        <f>J108-Справочник!$B$4</f>
        <v>20</v>
      </c>
      <c r="X108" s="28">
        <f>IF(MIN(Комплектация!AA97:'Комплектация'!AB97)-Справочник!$B$4&lt;Справочник!$B$3,1,0)+IF(MIN(Комплектация!AK97:'Комплектация'!AL97)-Справочник!$B$4&lt;Справочник!$B$3,1,0)+IF(MIN(Комплектация!AU97:'Комплектация'!AV97)-Справочник!$B$4&lt;Справочник!$B$3,1,0)+IF(MIN(Комплектация!BE97:'Комплектация'!BF97)-Справочник!$B$4&lt;Справочник!$B$3,1,0)</f>
        <v>4</v>
      </c>
      <c r="Y108" s="33">
        <f>Справочник!$B$8</f>
        <v>4650000</v>
      </c>
      <c r="Z108" s="33">
        <f t="shared" si="35"/>
        <v>1807411.7244525549</v>
      </c>
    </row>
    <row r="109" spans="1:26" x14ac:dyDescent="0.25">
      <c r="A109" s="52">
        <f>Комплектация!A98</f>
        <v>77228922</v>
      </c>
      <c r="B109" s="53" t="str">
        <f>Комплектация!C98</f>
        <v>15-150-04П</v>
      </c>
      <c r="C109" s="53">
        <f>Комплектация!E98</f>
        <v>2015</v>
      </c>
      <c r="D109" s="53">
        <f t="shared" si="24"/>
        <v>11</v>
      </c>
      <c r="E109" s="54">
        <f t="shared" si="25"/>
        <v>34.375</v>
      </c>
      <c r="F109" s="55" t="str">
        <f>TEXT(Комплектация!V98,"0")&amp;"/"&amp;TEXT(Комплектация!AF98,"0")&amp;"/"&amp;TEXT(Комплектация!AP98,"0")&amp;"/"&amp;TEXT(Комплектация!AZ98,"0")</f>
        <v>2014/2015/2015/2014</v>
      </c>
      <c r="G109" s="56">
        <f>AVERAGE(Комплектация!V98,Комплектация!AF98,Комплектация!AP98,Комплектация!AZ98)</f>
        <v>2014.5</v>
      </c>
      <c r="H109" s="56">
        <f t="shared" si="26"/>
        <v>11.5</v>
      </c>
      <c r="I109" s="56">
        <f>AVERAGE(Комплектация!AA98:'Комплектация'!AB98,Комплектация!AK98:'Комплектация'!AL98,Комплектация!AU98:'Комплектация'!AV98,Комплектация!BE98:'Комплектация'!BF98)</f>
        <v>33.25</v>
      </c>
      <c r="J109" s="56">
        <f>MIN(Комплектация!AA98:'Комплектация'!AB98,Комплектация!AK98:'Комплектация'!AL98,Комплектация!AU98:'Комплектация'!AV98,Комплектация!BE98:'Комплектация'!BF98)</f>
        <v>30</v>
      </c>
      <c r="K109" s="54">
        <f t="shared" si="27"/>
        <v>86.956521739130437</v>
      </c>
      <c r="L109" s="54">
        <f t="shared" si="28"/>
        <v>38.333333333333336</v>
      </c>
      <c r="M109" s="54">
        <f t="shared" si="29"/>
        <v>81.5</v>
      </c>
      <c r="N109" s="54">
        <f t="shared" si="30"/>
        <v>64.668093607305934</v>
      </c>
      <c r="O109" s="54">
        <f t="shared" si="31"/>
        <v>35.331906392694066</v>
      </c>
      <c r="P109" s="50"/>
      <c r="Q109" s="57" t="str">
        <f t="shared" si="32"/>
        <v/>
      </c>
      <c r="R109" s="23" t="str">
        <f>IF(Комплектация!G98="",Комплектация!I98,IF(Комплектация!I98="",Комплектация!G98,IF(DATE(VALUE(RIGHT(Комплектация!G98,4)),VALUE(MID(Комплектация!G98,4,2)),VALUE(LEFT(Комплектация!G98,2)))&gt;=DATE(VALUE(RIGHT(Комплектация!I98,4)),VALUE(MID(Комплектация!I98,4,2)),VALUE(LEFT(Комплектация!I98,2))),Комплектация!G98,Комплектация!I98)))</f>
        <v>29.07.2024</v>
      </c>
      <c r="S109" s="23" t="str">
        <f>Комплектация!L98</f>
        <v>29.07.2027</v>
      </c>
      <c r="T109" s="25">
        <f t="shared" si="33"/>
        <v>0.98015058179329229</v>
      </c>
      <c r="U109" s="27">
        <f t="shared" si="34"/>
        <v>67.305936073059357</v>
      </c>
      <c r="V109" s="27">
        <f>IF(U109="","",U109*Справочник!$B$7/100)</f>
        <v>6.7305936073059351</v>
      </c>
      <c r="W109" s="25">
        <f>J109-Справочник!$B$4</f>
        <v>15</v>
      </c>
      <c r="X109" s="29">
        <f>IF(MIN(Комплектация!AA98:'Комплектация'!AB98)-Справочник!$B$4&lt;Справочник!$B$3,1,0)+IF(MIN(Комплектация!AK98:'Комплектация'!AL98)-Справочник!$B$4&lt;Справочник!$B$3,1,0)+IF(MIN(Комплектация!AU98:'Комплектация'!AV98)-Справочник!$B$4&lt;Справочник!$B$3,1,0)+IF(MIN(Комплектация!BE98:'Комплектация'!BF98)-Справочник!$B$4&lt;Справочник!$B$3,1,0)</f>
        <v>4</v>
      </c>
      <c r="Y109" s="34">
        <f>Справочник!$B$8</f>
        <v>4650000</v>
      </c>
      <c r="Z109" s="34">
        <f t="shared" si="35"/>
        <v>1642933.647260274</v>
      </c>
    </row>
    <row r="110" spans="1:26" x14ac:dyDescent="0.25">
      <c r="A110" s="45">
        <f>Комплектация!A99</f>
        <v>77221885</v>
      </c>
      <c r="B110" s="46" t="str">
        <f>Комплектация!C99</f>
        <v>15-5103-7П</v>
      </c>
      <c r="C110" s="46">
        <f>Комплектация!E99</f>
        <v>2011</v>
      </c>
      <c r="D110" s="46">
        <f t="shared" si="24"/>
        <v>15</v>
      </c>
      <c r="E110" s="47">
        <f t="shared" si="25"/>
        <v>46.875</v>
      </c>
      <c r="F110" s="48" t="str">
        <f>TEXT(Комплектация!V99,"0")&amp;"/"&amp;TEXT(Комплектация!AF99,"0")&amp;"/"&amp;TEXT(Комплектация!AP99,"0")&amp;"/"&amp;TEXT(Комплектация!AZ99,"0")</f>
        <v>2011/2011/2013/2011</v>
      </c>
      <c r="G110" s="49">
        <f>AVERAGE(Комплектация!V99,Комплектация!AF99,Комплектация!AP99,Комплектация!AZ99)</f>
        <v>2011.5</v>
      </c>
      <c r="H110" s="49">
        <f t="shared" si="26"/>
        <v>14.5</v>
      </c>
      <c r="I110" s="49">
        <f>AVERAGE(Комплектация!AA99:'Комплектация'!AB99,Комплектация!AK99:'Комплектация'!AL99,Комплектация!AU99:'Комплектация'!AV99,Комплектация!BE99:'Комплектация'!BF99)</f>
        <v>63</v>
      </c>
      <c r="J110" s="49">
        <f>MIN(Комплектация!AA99:'Комплектация'!AB99,Комплектация!AK99:'Комплектация'!AL99,Комплектация!AU99:'Комплектация'!AV99,Комплектация!BE99:'Комплектация'!BF99)</f>
        <v>60</v>
      </c>
      <c r="K110" s="47">
        <f t="shared" si="27"/>
        <v>0</v>
      </c>
      <c r="L110" s="47">
        <f t="shared" si="28"/>
        <v>48.333333333333336</v>
      </c>
      <c r="M110" s="47">
        <f t="shared" si="29"/>
        <v>14.5</v>
      </c>
      <c r="N110" s="47">
        <f t="shared" si="30"/>
        <v>32.037864963503651</v>
      </c>
      <c r="O110" s="47">
        <f t="shared" si="31"/>
        <v>67.962135036496349</v>
      </c>
      <c r="P110" s="50"/>
      <c r="Q110" s="51" t="str">
        <f t="shared" si="32"/>
        <v/>
      </c>
      <c r="R110" s="22" t="str">
        <f>IF(Комплектация!G99="",Комплектация!I99,IF(Комплектация!I99="",Комплектация!G99,IF(DATE(VALUE(RIGHT(Комплектация!G99,4)),VALUE(MID(Комплектация!G99,4,2)),VALUE(LEFT(Комплектация!G99,2)))&gt;=DATE(VALUE(RIGHT(Комплектация!I99,4)),VALUE(MID(Комплектация!I99,4,2)),VALUE(LEFT(Комплектация!I99,2))),Комплектация!G99,Комплектация!I99)))</f>
        <v>10.03.2026</v>
      </c>
      <c r="S110" s="22" t="str">
        <f>Комплектация!L99</f>
        <v>10.03.2029</v>
      </c>
      <c r="T110" s="24">
        <f t="shared" si="33"/>
        <v>2.5954825462012319</v>
      </c>
      <c r="U110" s="26">
        <f t="shared" si="34"/>
        <v>13.503649635036496</v>
      </c>
      <c r="V110" s="26">
        <f>IF(U110="","",U110*Справочник!$B$7/100)</f>
        <v>1.3503649635036497</v>
      </c>
      <c r="W110" s="24">
        <f>J110-Справочник!$B$4</f>
        <v>45</v>
      </c>
      <c r="X110" s="28">
        <f>IF(MIN(Комплектация!AA99:'Комплектация'!AB99)-Справочник!$B$4&lt;Справочник!$B$3,1,0)+IF(MIN(Комплектация!AK99:'Комплектация'!AL99)-Справочник!$B$4&lt;Справочник!$B$3,1,0)+IF(MIN(Комплектация!AU99:'Комплектация'!AV99)-Справочник!$B$4&lt;Справочник!$B$3,1,0)+IF(MIN(Комплектация!BE99:'Комплектация'!BF99)-Справочник!$B$4&lt;Справочник!$B$3,1,0)</f>
        <v>0</v>
      </c>
      <c r="Y110" s="33">
        <f>Справочник!$B$8</f>
        <v>4650000</v>
      </c>
      <c r="Z110" s="33">
        <f t="shared" si="35"/>
        <v>3160239.2791970801</v>
      </c>
    </row>
    <row r="111" spans="1:26" x14ac:dyDescent="0.25">
      <c r="A111" s="52">
        <f>Комплектация!A100</f>
        <v>77221802</v>
      </c>
      <c r="B111" s="53" t="str">
        <f>Комплектация!C100</f>
        <v>15-5103-7П</v>
      </c>
      <c r="C111" s="53">
        <f>Комплектация!E100</f>
        <v>2011</v>
      </c>
      <c r="D111" s="53">
        <f t="shared" si="24"/>
        <v>15</v>
      </c>
      <c r="E111" s="54">
        <f t="shared" si="25"/>
        <v>46.875</v>
      </c>
      <c r="F111" s="55" t="str">
        <f>TEXT(Комплектация!V100,"0")&amp;"/"&amp;TEXT(Комплектация!AF100,"0")&amp;"/"&amp;TEXT(Комплектация!AP100,"0")&amp;"/"&amp;TEXT(Комплектация!AZ100,"0")</f>
        <v>2012/2011/2011/2011</v>
      </c>
      <c r="G111" s="56">
        <f>AVERAGE(Комплектация!V100,Комплектация!AF100,Комплектация!AP100,Комплектация!AZ100)</f>
        <v>2011.25</v>
      </c>
      <c r="H111" s="56">
        <f t="shared" si="26"/>
        <v>14.75</v>
      </c>
      <c r="I111" s="56">
        <f>AVERAGE(Комплектация!AA100:'Комплектация'!AB100,Комплектация!AK100:'Комплектация'!AL100,Комплектация!AU100:'Комплектация'!AV100,Комплектация!BE100:'Комплектация'!BF100)</f>
        <v>67.25</v>
      </c>
      <c r="J111" s="56">
        <f>MIN(Комплектация!AA100:'Комплектация'!AB100,Комплектация!AK100:'Комплектация'!AL100,Комплектация!AU100:'Комплектация'!AV100,Комплектация!BE100:'Комплектация'!BF100)</f>
        <v>65</v>
      </c>
      <c r="K111" s="54">
        <f t="shared" si="27"/>
        <v>0</v>
      </c>
      <c r="L111" s="54">
        <f t="shared" si="28"/>
        <v>49.166666666666664</v>
      </c>
      <c r="M111" s="54">
        <f t="shared" si="29"/>
        <v>14.749999999999998</v>
      </c>
      <c r="N111" s="54">
        <f t="shared" si="30"/>
        <v>33.367244525547449</v>
      </c>
      <c r="O111" s="54">
        <f t="shared" si="31"/>
        <v>66.632755474452551</v>
      </c>
      <c r="P111" s="50"/>
      <c r="Q111" s="57" t="str">
        <f t="shared" si="32"/>
        <v/>
      </c>
      <c r="R111" s="23" t="str">
        <f>IF(Комплектация!G100="",Комплектация!I100,IF(Комплектация!I100="",Комплектация!G100,IF(DATE(VALUE(RIGHT(Комплектация!G100,4)),VALUE(MID(Комплектация!G100,4,2)),VALUE(LEFT(Комплектация!G100,2)))&gt;=DATE(VALUE(RIGHT(Комплектация!I100,4)),VALUE(MID(Комплектация!I100,4,2)),VALUE(LEFT(Комплектация!I100,2))),Комплектация!G100,Комплектация!I100)))</f>
        <v>29.10.2025</v>
      </c>
      <c r="S111" s="23" t="str">
        <f>Комплектация!L100</f>
        <v>29.10.2028</v>
      </c>
      <c r="T111" s="25">
        <f t="shared" si="33"/>
        <v>2.2340862422997945</v>
      </c>
      <c r="U111" s="27">
        <f t="shared" si="34"/>
        <v>25.547445255474454</v>
      </c>
      <c r="V111" s="27">
        <f>IF(U111="","",U111*Справочник!$B$7/100)</f>
        <v>2.5547445255474455</v>
      </c>
      <c r="W111" s="25">
        <f>J111-Справочник!$B$4</f>
        <v>50</v>
      </c>
      <c r="X111" s="29">
        <f>IF(MIN(Комплектация!AA100:'Комплектация'!AB100)-Справочник!$B$4&lt;Справочник!$B$3,1,0)+IF(MIN(Комплектация!AK100:'Комплектация'!AL100)-Справочник!$B$4&lt;Справочник!$B$3,1,0)+IF(MIN(Комплектация!AU100:'Комплектация'!AV100)-Справочник!$B$4&lt;Справочник!$B$3,1,0)+IF(MIN(Комплектация!BE100:'Комплектация'!BF100)-Справочник!$B$4&lt;Справочник!$B$3,1,0)</f>
        <v>0</v>
      </c>
      <c r="Y111" s="34">
        <f>Справочник!$B$8</f>
        <v>4650000</v>
      </c>
      <c r="Z111" s="34">
        <f t="shared" si="35"/>
        <v>3098423.1295620436</v>
      </c>
    </row>
    <row r="112" spans="1:26" x14ac:dyDescent="0.25">
      <c r="A112" s="45">
        <f>Комплектация!A101</f>
        <v>77222016</v>
      </c>
      <c r="B112" s="46" t="str">
        <f>Комплектация!C101</f>
        <v>15-5103-7П</v>
      </c>
      <c r="C112" s="46">
        <f>Комплектация!E101</f>
        <v>2011</v>
      </c>
      <c r="D112" s="46">
        <f t="shared" ref="D112:D143" si="36">MAX(0,YEAR($B$5)-C112)</f>
        <v>15</v>
      </c>
      <c r="E112" s="47">
        <f t="shared" ref="E112:E143" si="37">MIN(100,D112/$B$6*100)</f>
        <v>46.875</v>
      </c>
      <c r="F112" s="48" t="str">
        <f>TEXT(Комплектация!V101,"0")&amp;"/"&amp;TEXT(Комплектация!AF101,"0")&amp;"/"&amp;TEXT(Комплектация!AP101,"0")&amp;"/"&amp;TEXT(Комплектация!AZ101,"0")</f>
        <v>2011/2011/2011/2011</v>
      </c>
      <c r="G112" s="49">
        <f>AVERAGE(Комплектация!V101,Комплектация!AF101,Комплектация!AP101,Комплектация!AZ101)</f>
        <v>2011</v>
      </c>
      <c r="H112" s="49">
        <f t="shared" ref="H112:H143" si="38">MAX(0,YEAR($B$5)-G112)</f>
        <v>15</v>
      </c>
      <c r="I112" s="49">
        <f>AVERAGE(Комплектация!AA101:'Комплектация'!AB101,Комплектация!AK101:'Комплектация'!AL101,Комплектация!AU101:'Комплектация'!AV101,Комплектация!BE101:'Комплектация'!BF101)</f>
        <v>74</v>
      </c>
      <c r="J112" s="49">
        <f>MIN(Комплектация!AA101:'Комплектация'!AB101,Комплектация!AK101:'Комплектация'!AL101,Комплектация!AU101:'Комплектация'!AV101,Комплектация!BE101:'Комплектация'!BF101)</f>
        <v>73</v>
      </c>
      <c r="K112" s="47">
        <f t="shared" ref="K112:K143" si="39">MAX(0,MIN(100,($B$7-J112)/($B$7-$B$8)*100))</f>
        <v>0</v>
      </c>
      <c r="L112" s="47">
        <f t="shared" ref="L112:L143" si="40">MAX(0,MIN(100,H112/$B$9*100))</f>
        <v>50</v>
      </c>
      <c r="M112" s="47">
        <f t="shared" ref="M112:M143" si="41">MAX(K112,X112/4*100)*$B$10+L112*$B$11</f>
        <v>15</v>
      </c>
      <c r="N112" s="47">
        <f t="shared" ref="N112:N143" si="42">MIN(100,E112*$B$12+M112*$B$13+V112)</f>
        <v>34.103558394160586</v>
      </c>
      <c r="O112" s="47">
        <f t="shared" ref="O112:O143" si="43">100-N112</f>
        <v>65.896441605839414</v>
      </c>
      <c r="P112" s="50"/>
      <c r="Q112" s="51" t="str">
        <f t="shared" ref="Q112:Q143" si="44">IF(P112="","",P112*O112/100)</f>
        <v/>
      </c>
      <c r="R112" s="22" t="str">
        <f>IF(Комплектация!G101="",Комплектация!I101,IF(Комплектация!I101="",Комплектация!G101,IF(DATE(VALUE(RIGHT(Комплектация!G101,4)),VALUE(MID(Комплектация!G101,4,2)),VALUE(LEFT(Комплектация!G101,2)))&gt;=DATE(VALUE(RIGHT(Комплектация!I101,4)),VALUE(MID(Комплектация!I101,4,2)),VALUE(LEFT(Комплектация!I101,2))),Комплектация!G101,Комплектация!I101)))</f>
        <v>23.08.2025</v>
      </c>
      <c r="S112" s="22" t="str">
        <f>Комплектация!L101</f>
        <v>23.08.2028</v>
      </c>
      <c r="T112" s="24">
        <f t="shared" ref="T112:T143" si="45">IF(S112="","",MAX(0,(DATE(VALUE(RIGHT(S112,4)),VALUE(MID(S112,4,2)),VALUE(LEFT(S112,2)))-$B$5)/365.25))</f>
        <v>2.0506502395619437</v>
      </c>
      <c r="U112" s="26">
        <f t="shared" ref="U112:U143" si="46">IF(OR(R112="",S112=""),"",MAX(0,MIN(100,($B$5-DATE(VALUE(RIGHT(R112,4)),VALUE(MID(R112,4,2)),VALUE(LEFT(R112,2))))/(DATE(VALUE(RIGHT(S112,4)),VALUE(MID(S112,4,2)),VALUE(LEFT(S112,2)))-DATE(VALUE(RIGHT(R112,4)),VALUE(MID(R112,4,2)),VALUE(LEFT(R112,2))))*100)))</f>
        <v>31.660583941605839</v>
      </c>
      <c r="V112" s="26">
        <f>IF(U112="","",U112*Справочник!$B$7/100)</f>
        <v>3.1660583941605842</v>
      </c>
      <c r="W112" s="24">
        <f>J112-Справочник!$B$4</f>
        <v>58</v>
      </c>
      <c r="X112" s="28">
        <f>IF(MIN(Комплектация!AA101:'Комплектация'!AB101)-Справочник!$B$4&lt;Справочник!$B$3,1,0)+IF(MIN(Комплектация!AK101:'Комплектация'!AL101)-Справочник!$B$4&lt;Справочник!$B$3,1,0)+IF(MIN(Комплектация!AU101:'Комплектация'!AV101)-Справочник!$B$4&lt;Справочник!$B$3,1,0)+IF(MIN(Комплектация!BE101:'Комплектация'!BF101)-Справочник!$B$4&lt;Справочник!$B$3,1,0)</f>
        <v>0</v>
      </c>
      <c r="Y112" s="33">
        <f>Справочник!$B$8</f>
        <v>4650000</v>
      </c>
      <c r="Z112" s="33">
        <f t="shared" ref="Z112:Z143" si="47">Y112*O112/100</f>
        <v>3064184.5346715325</v>
      </c>
    </row>
    <row r="113" spans="1:26" x14ac:dyDescent="0.25">
      <c r="A113" s="52">
        <f>Комплектация!A102</f>
        <v>77228807</v>
      </c>
      <c r="B113" s="53" t="str">
        <f>Комплектация!C102</f>
        <v>15-5103-7П</v>
      </c>
      <c r="C113" s="53">
        <f>Комплектация!E102</f>
        <v>2015</v>
      </c>
      <c r="D113" s="53">
        <f t="shared" si="36"/>
        <v>11</v>
      </c>
      <c r="E113" s="54">
        <f t="shared" si="37"/>
        <v>34.375</v>
      </c>
      <c r="F113" s="55" t="str">
        <f>TEXT(Комплектация!V102,"0")&amp;"/"&amp;TEXT(Комплектация!AF102,"0")&amp;"/"&amp;TEXT(Комплектация!AP102,"0")&amp;"/"&amp;TEXT(Комплектация!AZ102,"0")</f>
        <v>2015/2015/2015/2015</v>
      </c>
      <c r="G113" s="56">
        <f>AVERAGE(Комплектация!V102,Комплектация!AF102,Комплектация!AP102,Комплектация!AZ102)</f>
        <v>2015</v>
      </c>
      <c r="H113" s="56">
        <f t="shared" si="38"/>
        <v>11</v>
      </c>
      <c r="I113" s="56">
        <f>AVERAGE(Комплектация!AA102:'Комплектация'!AB102,Комплектация!AK102:'Комплектация'!AL102,Комплектация!AU102:'Комплектация'!AV102,Комплектация!BE102:'Комплектация'!BF102)</f>
        <v>44.375</v>
      </c>
      <c r="J113" s="56">
        <f>MIN(Комплектация!AA102:'Комплектация'!AB102,Комплектация!AK102:'Комплектация'!AL102,Комплектация!AU102:'Комплектация'!AV102,Комплектация!BE102:'Комплектация'!BF102)</f>
        <v>36</v>
      </c>
      <c r="K113" s="54">
        <f t="shared" si="39"/>
        <v>60.869565217391312</v>
      </c>
      <c r="L113" s="54">
        <f t="shared" si="40"/>
        <v>36.666666666666664</v>
      </c>
      <c r="M113" s="54">
        <f t="shared" si="41"/>
        <v>81</v>
      </c>
      <c r="N113" s="54">
        <f t="shared" si="42"/>
        <v>60.84443430656934</v>
      </c>
      <c r="O113" s="54">
        <f t="shared" si="43"/>
        <v>39.15556569343066</v>
      </c>
      <c r="P113" s="50"/>
      <c r="Q113" s="57" t="str">
        <f t="shared" si="44"/>
        <v/>
      </c>
      <c r="R113" s="23" t="str">
        <f>IF(Комплектация!G102="",Комплектация!I102,IF(Комплектация!I102="",Комплектация!G102,IF(DATE(VALUE(RIGHT(Комплектация!G102,4)),VALUE(MID(Комплектация!G102,4,2)),VALUE(LEFT(Комплектация!G102,2)))&gt;=DATE(VALUE(RIGHT(Комплектация!I102,4)),VALUE(MID(Комплектация!I102,4,2)),VALUE(LEFT(Комплектация!I102,2))),Комплектация!G102,Комплектация!I102)))</f>
        <v>24.08.2025</v>
      </c>
      <c r="S113" s="23" t="str">
        <f>Комплектация!L102</f>
        <v>24.08.2028</v>
      </c>
      <c r="T113" s="25">
        <f t="shared" si="45"/>
        <v>2.0533880903490758</v>
      </c>
      <c r="U113" s="27">
        <f t="shared" si="46"/>
        <v>31.569343065693428</v>
      </c>
      <c r="V113" s="27">
        <f>IF(U113="","",U113*Справочник!$B$7/100)</f>
        <v>3.1569343065693425</v>
      </c>
      <c r="W113" s="25">
        <f>J113-Справочник!$B$4</f>
        <v>21</v>
      </c>
      <c r="X113" s="29">
        <f>IF(MIN(Комплектация!AA102:'Комплектация'!AB102)-Справочник!$B$4&lt;Справочник!$B$3,1,0)+IF(MIN(Комплектация!AK102:'Комплектация'!AL102)-Справочник!$B$4&lt;Справочник!$B$3,1,0)+IF(MIN(Комплектация!AU102:'Комплектация'!AV102)-Справочник!$B$4&lt;Справочник!$B$3,1,0)+IF(MIN(Комплектация!BE102:'Комплектация'!BF102)-Справочник!$B$4&lt;Справочник!$B$3,1,0)</f>
        <v>4</v>
      </c>
      <c r="Y113" s="34">
        <f>Справочник!$B$8</f>
        <v>4650000</v>
      </c>
      <c r="Z113" s="34">
        <f t="shared" si="47"/>
        <v>1820733.8047445256</v>
      </c>
    </row>
    <row r="114" spans="1:26" x14ac:dyDescent="0.25">
      <c r="A114" s="45">
        <f>Комплектация!A103</f>
        <v>77228831</v>
      </c>
      <c r="B114" s="46" t="str">
        <f>Комплектация!C103</f>
        <v>15-150-04П</v>
      </c>
      <c r="C114" s="46">
        <f>Комплектация!E103</f>
        <v>2015</v>
      </c>
      <c r="D114" s="46">
        <f t="shared" si="36"/>
        <v>11</v>
      </c>
      <c r="E114" s="47">
        <f t="shared" si="37"/>
        <v>34.375</v>
      </c>
      <c r="F114" s="48" t="str">
        <f>TEXT(Комплектация!V103,"0")&amp;"/"&amp;TEXT(Комплектация!AF103,"0")&amp;"/"&amp;TEXT(Комплектация!AP103,"0")&amp;"/"&amp;TEXT(Комплектация!AZ103,"0")</f>
        <v>2015/2018/2012/2015</v>
      </c>
      <c r="G114" s="49">
        <f>AVERAGE(Комплектация!V103,Комплектация!AF103,Комплектация!AP103,Комплектация!AZ103)</f>
        <v>2015</v>
      </c>
      <c r="H114" s="49">
        <f t="shared" si="38"/>
        <v>11</v>
      </c>
      <c r="I114" s="49">
        <f>AVERAGE(Комплектация!AA103:'Комплектация'!AB103,Комплектация!AK103:'Комплектация'!AL103,Комплектация!AU103:'Комплектация'!AV103,Комплектация!BE103:'Комплектация'!BF103)</f>
        <v>32.75</v>
      </c>
      <c r="J114" s="49">
        <f>MIN(Комплектация!AA103:'Комплектация'!AB103,Комплектация!AK103:'Комплектация'!AL103,Комплектация!AU103:'Комплектация'!AV103,Комплектация!BE103:'Комплектация'!BF103)</f>
        <v>28</v>
      </c>
      <c r="K114" s="47">
        <f t="shared" si="39"/>
        <v>95.652173913043484</v>
      </c>
      <c r="L114" s="47">
        <f t="shared" si="40"/>
        <v>36.666666666666664</v>
      </c>
      <c r="M114" s="47">
        <f t="shared" si="41"/>
        <v>81</v>
      </c>
      <c r="N114" s="47">
        <f t="shared" si="42"/>
        <v>66.81158759124088</v>
      </c>
      <c r="O114" s="47">
        <f t="shared" si="43"/>
        <v>33.18841240875912</v>
      </c>
      <c r="P114" s="50"/>
      <c r="Q114" s="51" t="str">
        <f t="shared" si="44"/>
        <v/>
      </c>
      <c r="R114" s="22" t="str">
        <f>IF(Комплектация!G103="",Комплектация!I103,IF(Комплектация!I103="",Комплектация!G103,IF(DATE(VALUE(RIGHT(Комплектация!G103,4)),VALUE(MID(Комплектация!G103,4,2)),VALUE(LEFT(Комплектация!G103,2)))&gt;=DATE(VALUE(RIGHT(Комплектация!I103,4)),VALUE(MID(Комплектация!I103,4,2)),VALUE(LEFT(Комплектация!I103,2))),Комплектация!G103,Комплектация!I103)))</f>
        <v>09.11.2023</v>
      </c>
      <c r="S114" s="22" t="str">
        <f>Комплектация!L103</f>
        <v>09.11.2026</v>
      </c>
      <c r="T114" s="24">
        <f t="shared" si="45"/>
        <v>0.26283367556468173</v>
      </c>
      <c r="U114" s="26">
        <f t="shared" si="46"/>
        <v>91.240875912408754</v>
      </c>
      <c r="V114" s="26">
        <f>IF(U114="","",U114*Справочник!$B$7/100)</f>
        <v>9.1240875912408743</v>
      </c>
      <c r="W114" s="24">
        <f>J114-Справочник!$B$4</f>
        <v>13</v>
      </c>
      <c r="X114" s="28">
        <f>IF(MIN(Комплектация!AA103:'Комплектация'!AB103)-Справочник!$B$4&lt;Справочник!$B$3,1,0)+IF(MIN(Комплектация!AK103:'Комплектация'!AL103)-Справочник!$B$4&lt;Справочник!$B$3,1,0)+IF(MIN(Комплектация!AU103:'Комплектация'!AV103)-Справочник!$B$4&lt;Справочник!$B$3,1,0)+IF(MIN(Комплектация!BE103:'Комплектация'!BF103)-Справочник!$B$4&lt;Справочник!$B$3,1,0)</f>
        <v>4</v>
      </c>
      <c r="Y114" s="33">
        <f>Справочник!$B$8</f>
        <v>4650000</v>
      </c>
      <c r="Z114" s="33">
        <f t="shared" si="47"/>
        <v>1543261.1770072991</v>
      </c>
    </row>
    <row r="115" spans="1:26" x14ac:dyDescent="0.25">
      <c r="A115" s="52">
        <f>Комплектация!A104</f>
        <v>77221968</v>
      </c>
      <c r="B115" s="53" t="str">
        <f>Комплектация!C104</f>
        <v>15-150-04П</v>
      </c>
      <c r="C115" s="53">
        <f>Комплектация!E104</f>
        <v>2012</v>
      </c>
      <c r="D115" s="53">
        <f t="shared" si="36"/>
        <v>14</v>
      </c>
      <c r="E115" s="54">
        <f t="shared" si="37"/>
        <v>43.75</v>
      </c>
      <c r="F115" s="55" t="str">
        <f>TEXT(Комплектация!V104,"0")&amp;"/"&amp;TEXT(Комплектация!AF104,"0")&amp;"/"&amp;TEXT(Комплектация!AP104,"0")&amp;"/"&amp;TEXT(Комплектация!AZ104,"0")</f>
        <v>2012/2012/2014/2013</v>
      </c>
      <c r="G115" s="56">
        <f>AVERAGE(Комплектация!V104,Комплектация!AF104,Комплектация!AP104,Комплектация!AZ104)</f>
        <v>2012.75</v>
      </c>
      <c r="H115" s="56">
        <f t="shared" si="38"/>
        <v>13.25</v>
      </c>
      <c r="I115" s="56">
        <f>AVERAGE(Комплектация!AA104:'Комплектация'!AB104,Комплектация!AK104:'Комплектация'!AL104,Комплектация!AU104:'Комплектация'!AV104,Комплектация!BE104:'Комплектация'!BF104)</f>
        <v>39.75</v>
      </c>
      <c r="J115" s="56">
        <f>MIN(Комплектация!AA104:'Комплектация'!AB104,Комплектация!AK104:'Комплектация'!AL104,Комплектация!AU104:'Комплектация'!AV104,Комплектация!BE104:'Комплектация'!BF104)</f>
        <v>36</v>
      </c>
      <c r="K115" s="54">
        <f t="shared" si="39"/>
        <v>60.869565217391312</v>
      </c>
      <c r="L115" s="54">
        <f t="shared" si="40"/>
        <v>44.166666666666664</v>
      </c>
      <c r="M115" s="54">
        <f t="shared" si="41"/>
        <v>83.25</v>
      </c>
      <c r="N115" s="54">
        <f t="shared" si="42"/>
        <v>68.417808219178085</v>
      </c>
      <c r="O115" s="54">
        <f t="shared" si="43"/>
        <v>31.582191780821915</v>
      </c>
      <c r="P115" s="50"/>
      <c r="Q115" s="57" t="str">
        <f t="shared" si="44"/>
        <v/>
      </c>
      <c r="R115" s="23" t="str">
        <f>IF(Комплектация!G104="",Комплектация!I104,IF(Комплектация!I104="",Комплектация!G104,IF(DATE(VALUE(RIGHT(Комплектация!G104,4)),VALUE(MID(Комплектация!G104,4,2)),VALUE(LEFT(Комплектация!G104,2)))&gt;=DATE(VALUE(RIGHT(Комплектация!I104,4)),VALUE(MID(Комплектация!I104,4,2)),VALUE(LEFT(Комплектация!I104,2))),Комплектация!G104,Комплектация!I104)))</f>
        <v>11.08.2025</v>
      </c>
      <c r="S115" s="23" t="str">
        <f>Комплектация!L104</f>
        <v>11.08.2027</v>
      </c>
      <c r="T115" s="25">
        <f t="shared" si="45"/>
        <v>1.0157426420260096</v>
      </c>
      <c r="U115" s="27">
        <f t="shared" si="46"/>
        <v>49.178082191780817</v>
      </c>
      <c r="V115" s="27">
        <f>IF(U115="","",U115*Справочник!$B$7/100)</f>
        <v>4.9178082191780819</v>
      </c>
      <c r="W115" s="25">
        <f>J115-Справочник!$B$4</f>
        <v>21</v>
      </c>
      <c r="X115" s="29">
        <f>IF(MIN(Комплектация!AA104:'Комплектация'!AB104)-Справочник!$B$4&lt;Справочник!$B$3,1,0)+IF(MIN(Комплектация!AK104:'Комплектация'!AL104)-Справочник!$B$4&lt;Справочник!$B$3,1,0)+IF(MIN(Комплектация!AU104:'Комплектация'!AV104)-Справочник!$B$4&lt;Справочник!$B$3,1,0)+IF(MIN(Комплектация!BE104:'Комплектация'!BF104)-Справочник!$B$4&lt;Справочник!$B$3,1,0)</f>
        <v>4</v>
      </c>
      <c r="Y115" s="34">
        <f>Справочник!$B$8</f>
        <v>4650000</v>
      </c>
      <c r="Z115" s="34">
        <f t="shared" si="47"/>
        <v>1468571.9178082191</v>
      </c>
    </row>
    <row r="116" spans="1:26" x14ac:dyDescent="0.25">
      <c r="A116" s="45">
        <f>Комплектация!A105</f>
        <v>77221869</v>
      </c>
      <c r="B116" s="46" t="str">
        <f>Комплектация!C105</f>
        <v>15-5103-7П</v>
      </c>
      <c r="C116" s="46">
        <f>Комплектация!E105</f>
        <v>2011</v>
      </c>
      <c r="D116" s="46">
        <f t="shared" si="36"/>
        <v>15</v>
      </c>
      <c r="E116" s="47">
        <f t="shared" si="37"/>
        <v>46.875</v>
      </c>
      <c r="F116" s="48" t="str">
        <f>TEXT(Комплектация!V105,"0")&amp;"/"&amp;TEXT(Комплектация!AF105,"0")&amp;"/"&amp;TEXT(Комплектация!AP105,"0")&amp;"/"&amp;TEXT(Комплектация!AZ105,"0")</f>
        <v>2014/2011/2011/2011</v>
      </c>
      <c r="G116" s="49">
        <f>AVERAGE(Комплектация!V105,Комплектация!AF105,Комплектация!AP105,Комплектация!AZ105)</f>
        <v>2011.75</v>
      </c>
      <c r="H116" s="49">
        <f t="shared" si="38"/>
        <v>14.25</v>
      </c>
      <c r="I116" s="49">
        <f>AVERAGE(Комплектация!AA105:'Комплектация'!AB105,Комплектация!AK105:'Комплектация'!AL105,Комплектация!AU105:'Комплектация'!AV105,Комплектация!BE105:'Комплектация'!BF105)</f>
        <v>68.25</v>
      </c>
      <c r="J116" s="49">
        <f>MIN(Комплектация!AA105:'Комплектация'!AB105,Комплектация!AK105:'Комплектация'!AL105,Комплектация!AU105:'Комплектация'!AV105,Комплектация!BE105:'Комплектация'!BF105)</f>
        <v>68</v>
      </c>
      <c r="K116" s="47">
        <f t="shared" si="39"/>
        <v>0</v>
      </c>
      <c r="L116" s="47">
        <f t="shared" si="40"/>
        <v>47.5</v>
      </c>
      <c r="M116" s="47">
        <f t="shared" si="41"/>
        <v>14.25</v>
      </c>
      <c r="N116" s="47">
        <f t="shared" si="42"/>
        <v>33.117244525547449</v>
      </c>
      <c r="O116" s="47">
        <f t="shared" si="43"/>
        <v>66.882755474452551</v>
      </c>
      <c r="P116" s="50"/>
      <c r="Q116" s="51" t="str">
        <f t="shared" si="44"/>
        <v/>
      </c>
      <c r="R116" s="22" t="str">
        <f>IF(Комплектация!G105="",Комплектация!I105,IF(Комплектация!I105="",Комплектация!G105,IF(DATE(VALUE(RIGHT(Комплектация!G105,4)),VALUE(MID(Комплектация!G105,4,2)),VALUE(LEFT(Комплектация!G105,2)))&gt;=DATE(VALUE(RIGHT(Комплектация!I105,4)),VALUE(MID(Комплектация!I105,4,2)),VALUE(LEFT(Комплектация!I105,2))),Комплектация!G105,Комплектация!I105)))</f>
        <v>29.10.2025</v>
      </c>
      <c r="S116" s="22" t="str">
        <f>Комплектация!L105</f>
        <v>29.10.2028</v>
      </c>
      <c r="T116" s="24">
        <f t="shared" si="45"/>
        <v>2.2340862422997945</v>
      </c>
      <c r="U116" s="26">
        <f t="shared" si="46"/>
        <v>25.547445255474454</v>
      </c>
      <c r="V116" s="26">
        <f>IF(U116="","",U116*Справочник!$B$7/100)</f>
        <v>2.5547445255474455</v>
      </c>
      <c r="W116" s="24">
        <f>J116-Справочник!$B$4</f>
        <v>53</v>
      </c>
      <c r="X116" s="28">
        <f>IF(MIN(Комплектация!AA105:'Комплектация'!AB105)-Справочник!$B$4&lt;Справочник!$B$3,1,0)+IF(MIN(Комплектация!AK105:'Комплектация'!AL105)-Справочник!$B$4&lt;Справочник!$B$3,1,0)+IF(MIN(Комплектация!AU105:'Комплектация'!AV105)-Справочник!$B$4&lt;Справочник!$B$3,1,0)+IF(MIN(Комплектация!BE105:'Комплектация'!BF105)-Справочник!$B$4&lt;Справочник!$B$3,1,0)</f>
        <v>0</v>
      </c>
      <c r="Y116" s="33">
        <f>Справочник!$B$8</f>
        <v>4650000</v>
      </c>
      <c r="Z116" s="33">
        <f t="shared" si="47"/>
        <v>3110048.1295620436</v>
      </c>
    </row>
    <row r="117" spans="1:26" x14ac:dyDescent="0.25">
      <c r="A117" s="52">
        <f>Комплектация!A106</f>
        <v>77228815</v>
      </c>
      <c r="B117" s="53" t="str">
        <f>Комплектация!C106</f>
        <v>15-5103-7П</v>
      </c>
      <c r="C117" s="53">
        <f>Комплектация!E106</f>
        <v>2015</v>
      </c>
      <c r="D117" s="53">
        <f t="shared" si="36"/>
        <v>11</v>
      </c>
      <c r="E117" s="54">
        <f t="shared" si="37"/>
        <v>34.375</v>
      </c>
      <c r="F117" s="55" t="str">
        <f>TEXT(Комплектация!V106,"0")&amp;"/"&amp;TEXT(Комплектация!AF106,"0")&amp;"/"&amp;TEXT(Комплектация!AP106,"0")&amp;"/"&amp;TEXT(Комплектация!AZ106,"0")</f>
        <v>2015/2014/1998/2013</v>
      </c>
      <c r="G117" s="56">
        <f>AVERAGE(Комплектация!V106,Комплектация!AF106,Комплектация!AP106,Комплектация!AZ106)</f>
        <v>2010</v>
      </c>
      <c r="H117" s="56">
        <f t="shared" si="38"/>
        <v>16</v>
      </c>
      <c r="I117" s="56">
        <f>AVERAGE(Комплектация!AA106:'Комплектация'!AB106,Комплектация!AK106:'Комплектация'!AL106,Комплектация!AU106:'Комплектация'!AV106,Комплектация!BE106:'Комплектация'!BF106)</f>
        <v>75.75</v>
      </c>
      <c r="J117" s="56">
        <f>MIN(Комплектация!AA106:'Комплектация'!AB106,Комплектация!AK106:'Комплектация'!AL106,Комплектация!AU106:'Комплектация'!AV106,Комплектация!BE106:'Комплектация'!BF106)</f>
        <v>74</v>
      </c>
      <c r="K117" s="54">
        <f t="shared" si="39"/>
        <v>0</v>
      </c>
      <c r="L117" s="54">
        <f t="shared" si="40"/>
        <v>53.333333333333336</v>
      </c>
      <c r="M117" s="54">
        <f t="shared" si="41"/>
        <v>16</v>
      </c>
      <c r="N117" s="54">
        <f t="shared" si="42"/>
        <v>28.517791970802921</v>
      </c>
      <c r="O117" s="54">
        <f t="shared" si="43"/>
        <v>71.482208029197082</v>
      </c>
      <c r="P117" s="50"/>
      <c r="Q117" s="57" t="str">
        <f t="shared" si="44"/>
        <v/>
      </c>
      <c r="R117" s="23" t="str">
        <f>IF(Комплектация!G106="",Комплектация!I106,IF(Комплектация!I106="",Комплектация!G106,IF(DATE(VALUE(RIGHT(Комплектация!G106,4)),VALUE(MID(Комплектация!G106,4,2)),VALUE(LEFT(Комплектация!G106,2)))&gt;=DATE(VALUE(RIGHT(Комплектация!I106,4)),VALUE(MID(Комплектация!I106,4,2)),VALUE(LEFT(Комплектация!I106,2))),Комплектация!G106,Комплектация!I106)))</f>
        <v>05.08.2025</v>
      </c>
      <c r="S117" s="23" t="str">
        <f>Комплектация!L106</f>
        <v>05.08.2028</v>
      </c>
      <c r="T117" s="25">
        <f t="shared" si="45"/>
        <v>2.001368925393566</v>
      </c>
      <c r="U117" s="27">
        <f t="shared" si="46"/>
        <v>33.302919708029201</v>
      </c>
      <c r="V117" s="27">
        <f>IF(U117="","",U117*Справочник!$B$7/100)</f>
        <v>3.3302919708029202</v>
      </c>
      <c r="W117" s="25">
        <f>J117-Справочник!$B$4</f>
        <v>59</v>
      </c>
      <c r="X117" s="29">
        <f>IF(MIN(Комплектация!AA106:'Комплектация'!AB106)-Справочник!$B$4&lt;Справочник!$B$3,1,0)+IF(MIN(Комплектация!AK106:'Комплектация'!AL106)-Справочник!$B$4&lt;Справочник!$B$3,1,0)+IF(MIN(Комплектация!AU106:'Комплектация'!AV106)-Справочник!$B$4&lt;Справочник!$B$3,1,0)+IF(MIN(Комплектация!BE106:'Комплектация'!BF106)-Справочник!$B$4&lt;Справочник!$B$3,1,0)</f>
        <v>0</v>
      </c>
      <c r="Y117" s="34">
        <f>Справочник!$B$8</f>
        <v>4650000</v>
      </c>
      <c r="Z117" s="34">
        <f t="shared" si="47"/>
        <v>3323922.6733576641</v>
      </c>
    </row>
    <row r="118" spans="1:26" x14ac:dyDescent="0.25">
      <c r="A118" s="45">
        <f>Комплектация!A107</f>
        <v>77221927</v>
      </c>
      <c r="B118" s="46" t="str">
        <f>Комплектация!C107</f>
        <v>15-5103-7П</v>
      </c>
      <c r="C118" s="46">
        <f>Комплектация!E107</f>
        <v>2011</v>
      </c>
      <c r="D118" s="46">
        <f t="shared" si="36"/>
        <v>15</v>
      </c>
      <c r="E118" s="47">
        <f t="shared" si="37"/>
        <v>46.875</v>
      </c>
      <c r="F118" s="48" t="str">
        <f>TEXT(Комплектация!V107,"0")&amp;"/"&amp;TEXT(Комплектация!AF107,"0")&amp;"/"&amp;TEXT(Комплектация!AP107,"0")&amp;"/"&amp;TEXT(Комплектация!AZ107,"0")</f>
        <v>2011/2013/2011/2011</v>
      </c>
      <c r="G118" s="49">
        <f>AVERAGE(Комплектация!V107,Комплектация!AF107,Комплектация!AP107,Комплектация!AZ107)</f>
        <v>2011.5</v>
      </c>
      <c r="H118" s="49">
        <f t="shared" si="38"/>
        <v>14.5</v>
      </c>
      <c r="I118" s="49">
        <f>AVERAGE(Комплектация!AA107:'Комплектация'!AB107,Комплектация!AK107:'Комплектация'!AL107,Комплектация!AU107:'Комплектация'!AV107,Комплектация!BE107:'Комплектация'!BF107)</f>
        <v>73.625</v>
      </c>
      <c r="J118" s="49">
        <f>MIN(Комплектация!AA107:'Комплектация'!AB107,Комплектация!AK107:'Комплектация'!AL107,Комплектация!AU107:'Комплектация'!AV107,Комплектация!BE107:'Комплектация'!BF107)</f>
        <v>73</v>
      </c>
      <c r="K118" s="47">
        <f t="shared" si="39"/>
        <v>0</v>
      </c>
      <c r="L118" s="47">
        <f t="shared" si="40"/>
        <v>48.333333333333336</v>
      </c>
      <c r="M118" s="47">
        <f t="shared" si="41"/>
        <v>14.5</v>
      </c>
      <c r="N118" s="47">
        <f t="shared" si="42"/>
        <v>33.324361313868614</v>
      </c>
      <c r="O118" s="47">
        <f t="shared" si="43"/>
        <v>66.675638686131379</v>
      </c>
      <c r="P118" s="50"/>
      <c r="Q118" s="51" t="str">
        <f t="shared" si="44"/>
        <v/>
      </c>
      <c r="R118" s="22" t="str">
        <f>IF(Комплектация!G107="",Комплектация!I107,IF(Комплектация!I107="",Комплектация!G107,IF(DATE(VALUE(RIGHT(Комплектация!G107,4)),VALUE(MID(Комплектация!G107,4,2)),VALUE(LEFT(Комплектация!G107,2)))&gt;=DATE(VALUE(RIGHT(Комплектация!I107,4)),VALUE(MID(Комплектация!I107,4,2)),VALUE(LEFT(Комплектация!I107,2))),Комплектация!G107,Комплектация!I107)))</f>
        <v>20.10.2025</v>
      </c>
      <c r="S118" s="22" t="str">
        <f>Комплектация!L107</f>
        <v>20.10.2028</v>
      </c>
      <c r="T118" s="24">
        <f t="shared" si="45"/>
        <v>2.2094455852156059</v>
      </c>
      <c r="U118" s="26">
        <f t="shared" si="46"/>
        <v>26.368613138686133</v>
      </c>
      <c r="V118" s="26">
        <f>IF(U118="","",U118*Справочник!$B$7/100)</f>
        <v>2.6368613138686134</v>
      </c>
      <c r="W118" s="24">
        <f>J118-Справочник!$B$4</f>
        <v>58</v>
      </c>
      <c r="X118" s="28">
        <f>IF(MIN(Комплектация!AA107:'Комплектация'!AB107)-Справочник!$B$4&lt;Справочник!$B$3,1,0)+IF(MIN(Комплектация!AK107:'Комплектация'!AL107)-Справочник!$B$4&lt;Справочник!$B$3,1,0)+IF(MIN(Комплектация!AU107:'Комплектация'!AV107)-Справочник!$B$4&lt;Справочник!$B$3,1,0)+IF(MIN(Комплектация!BE107:'Комплектация'!BF107)-Справочник!$B$4&lt;Справочник!$B$3,1,0)</f>
        <v>0</v>
      </c>
      <c r="Y118" s="33">
        <f>Справочник!$B$8</f>
        <v>4650000</v>
      </c>
      <c r="Z118" s="33">
        <f t="shared" si="47"/>
        <v>3100417.198905109</v>
      </c>
    </row>
    <row r="119" spans="1:26" x14ac:dyDescent="0.25">
      <c r="A119" s="52">
        <f>Комплектация!A108</f>
        <v>77206043</v>
      </c>
      <c r="B119" s="53" t="str">
        <f>Комплектация!C108</f>
        <v>15-1755П</v>
      </c>
      <c r="C119" s="53">
        <f>Комплектация!E108</f>
        <v>2013</v>
      </c>
      <c r="D119" s="53">
        <f t="shared" si="36"/>
        <v>13</v>
      </c>
      <c r="E119" s="54">
        <f t="shared" si="37"/>
        <v>40.625</v>
      </c>
      <c r="F119" s="55" t="str">
        <f>TEXT(Комплектация!V108,"0")&amp;"/"&amp;TEXT(Комплектация!AF108,"0")&amp;"/"&amp;TEXT(Комплектация!AP108,"0")&amp;"/"&amp;TEXT(Комплектация!AZ108,"0")</f>
        <v>1985/2010/2007/1997</v>
      </c>
      <c r="G119" s="56">
        <f>AVERAGE(Комплектация!V108,Комплектация!AF108,Комплектация!AP108,Комплектация!AZ108)</f>
        <v>1999.75</v>
      </c>
      <c r="H119" s="56">
        <f t="shared" si="38"/>
        <v>26.25</v>
      </c>
      <c r="I119" s="56">
        <f>AVERAGE(Комплектация!AA108:'Комплектация'!AB108,Комплектация!AK108:'Комплектация'!AL108,Комплектация!AU108:'Комплектация'!AV108,Комплектация!BE108:'Комплектация'!BF108)</f>
        <v>63.25</v>
      </c>
      <c r="J119" s="56">
        <f>MIN(Комплектация!AA108:'Комплектация'!AB108,Комплектация!AK108:'Комплектация'!AL108,Комплектация!AU108:'Комплектация'!AV108,Комплектация!BE108:'Комплектация'!BF108)</f>
        <v>56</v>
      </c>
      <c r="K119" s="54">
        <f t="shared" si="39"/>
        <v>0</v>
      </c>
      <c r="L119" s="54">
        <f t="shared" si="40"/>
        <v>87.5</v>
      </c>
      <c r="M119" s="54">
        <f t="shared" si="41"/>
        <v>26.25</v>
      </c>
      <c r="N119" s="54">
        <f t="shared" si="42"/>
        <v>38.547089041095887</v>
      </c>
      <c r="O119" s="54">
        <f t="shared" si="43"/>
        <v>61.452910958904113</v>
      </c>
      <c r="P119" s="50"/>
      <c r="Q119" s="57" t="str">
        <f t="shared" si="44"/>
        <v/>
      </c>
      <c r="R119" s="23" t="str">
        <f>IF(Комплектация!G108="",Комплектация!I108,IF(Комплектация!I108="",Комплектация!G108,IF(DATE(VALUE(RIGHT(Комплектация!G108,4)),VALUE(MID(Комплектация!G108,4,2)),VALUE(LEFT(Комплектация!G108,2)))&gt;=DATE(VALUE(RIGHT(Комплектация!I108,4)),VALUE(MID(Комплектация!I108,4,2)),VALUE(LEFT(Комплектация!I108,2))),Комплектация!G108,Комплектация!I108)))</f>
        <v>28.07.2025</v>
      </c>
      <c r="S119" s="23" t="str">
        <f>Комплектация!L108</f>
        <v>28.07.2027</v>
      </c>
      <c r="T119" s="25">
        <f t="shared" si="45"/>
        <v>0.97741273100616022</v>
      </c>
      <c r="U119" s="27">
        <f t="shared" si="46"/>
        <v>51.095890410958901</v>
      </c>
      <c r="V119" s="27">
        <f>IF(U119="","",U119*Справочник!$B$7/100)</f>
        <v>5.10958904109589</v>
      </c>
      <c r="W119" s="25">
        <f>J119-Справочник!$B$4</f>
        <v>41</v>
      </c>
      <c r="X119" s="29">
        <f>IF(MIN(Комплектация!AA108:'Комплектация'!AB108)-Справочник!$B$4&lt;Справочник!$B$3,1,0)+IF(MIN(Комплектация!AK108:'Комплектация'!AL108)-Справочник!$B$4&lt;Справочник!$B$3,1,0)+IF(MIN(Комплектация!AU108:'Комплектация'!AV108)-Справочник!$B$4&lt;Справочник!$B$3,1,0)+IF(MIN(Комплектация!BE108:'Комплектация'!BF108)-Справочник!$B$4&lt;Справочник!$B$3,1,0)</f>
        <v>0</v>
      </c>
      <c r="Y119" s="34">
        <f>Справочник!$B$8</f>
        <v>4650000</v>
      </c>
      <c r="Z119" s="34">
        <f t="shared" si="47"/>
        <v>2857560.3595890417</v>
      </c>
    </row>
    <row r="120" spans="1:26" x14ac:dyDescent="0.25">
      <c r="A120" s="45">
        <f>Комплектация!A109</f>
        <v>77223824</v>
      </c>
      <c r="B120" s="46" t="str">
        <f>Комплектация!C109</f>
        <v>15-5103-7П</v>
      </c>
      <c r="C120" s="46">
        <f>Комплектация!E109</f>
        <v>2011</v>
      </c>
      <c r="D120" s="46">
        <f t="shared" si="36"/>
        <v>15</v>
      </c>
      <c r="E120" s="47">
        <f t="shared" si="37"/>
        <v>46.875</v>
      </c>
      <c r="F120" s="48" t="str">
        <f>TEXT(Комплектация!V109,"0")&amp;"/"&amp;TEXT(Комплектация!AF109,"0")&amp;"/"&amp;TEXT(Комплектация!AP109,"0")&amp;"/"&amp;TEXT(Комплектация!AZ109,"0")</f>
        <v>2011/2011/2011/2013</v>
      </c>
      <c r="G120" s="49">
        <f>AVERAGE(Комплектация!V109,Комплектация!AF109,Комплектация!AP109,Комплектация!AZ109)</f>
        <v>2011.5</v>
      </c>
      <c r="H120" s="49">
        <f t="shared" si="38"/>
        <v>14.5</v>
      </c>
      <c r="I120" s="49">
        <f>AVERAGE(Комплектация!AA109:'Комплектация'!AB109,Комплектация!AK109:'Комплектация'!AL109,Комплектация!AU109:'Комплектация'!AV109,Комплектация!BE109:'Комплектация'!BF109)</f>
        <v>63.5</v>
      </c>
      <c r="J120" s="49">
        <f>MIN(Комплектация!AA109:'Комплектация'!AB109,Комплектация!AK109:'Комплектация'!AL109,Комплектация!AU109:'Комплектация'!AV109,Комплектация!BE109:'Комплектация'!BF109)</f>
        <v>58</v>
      </c>
      <c r="K120" s="47">
        <f t="shared" si="39"/>
        <v>0</v>
      </c>
      <c r="L120" s="47">
        <f t="shared" si="40"/>
        <v>48.333333333333336</v>
      </c>
      <c r="M120" s="47">
        <f t="shared" si="41"/>
        <v>14.5</v>
      </c>
      <c r="N120" s="47">
        <f t="shared" si="42"/>
        <v>31.444799270072991</v>
      </c>
      <c r="O120" s="47">
        <f t="shared" si="43"/>
        <v>68.555200729927009</v>
      </c>
      <c r="P120" s="50"/>
      <c r="Q120" s="51" t="str">
        <f t="shared" si="44"/>
        <v/>
      </c>
      <c r="R120" s="22" t="str">
        <f>IF(Комплектация!G109="",Комплектация!I109,IF(Комплектация!I109="",Комплектация!G109,IF(DATE(VALUE(RIGHT(Комплектация!G109,4)),VALUE(MID(Комплектация!G109,4,2)),VALUE(LEFT(Комплектация!G109,2)))&gt;=DATE(VALUE(RIGHT(Комплектация!I109,4)),VALUE(MID(Комплектация!I109,4,2)),VALUE(LEFT(Комплектация!I109,2))),Комплектация!G109,Комплектация!I109)))</f>
        <v>14.05.2026</v>
      </c>
      <c r="S120" s="22" t="str">
        <f>Комплектация!L109</f>
        <v>14.05.2029</v>
      </c>
      <c r="T120" s="24">
        <f t="shared" si="45"/>
        <v>2.7734428473648185</v>
      </c>
      <c r="U120" s="26">
        <f t="shared" si="46"/>
        <v>7.5729927007299276</v>
      </c>
      <c r="V120" s="26">
        <f>IF(U120="","",U120*Справочник!$B$7/100)</f>
        <v>0.7572992700729928</v>
      </c>
      <c r="W120" s="24">
        <f>J120-Справочник!$B$4</f>
        <v>43</v>
      </c>
      <c r="X120" s="28">
        <f>IF(MIN(Комплектация!AA109:'Комплектация'!AB109)-Справочник!$B$4&lt;Справочник!$B$3,1,0)+IF(MIN(Комплектация!AK109:'Комплектация'!AL109)-Справочник!$B$4&lt;Справочник!$B$3,1,0)+IF(MIN(Комплектация!AU109:'Комплектация'!AV109)-Справочник!$B$4&lt;Справочник!$B$3,1,0)+IF(MIN(Комплектация!BE109:'Комплектация'!BF109)-Справочник!$B$4&lt;Справочник!$B$3,1,0)</f>
        <v>0</v>
      </c>
      <c r="Y120" s="33">
        <f>Справочник!$B$8</f>
        <v>4650000</v>
      </c>
      <c r="Z120" s="33">
        <f t="shared" si="47"/>
        <v>3187816.8339416059</v>
      </c>
    </row>
    <row r="121" spans="1:26" x14ac:dyDescent="0.25">
      <c r="A121" s="52">
        <f>Комплектация!A110</f>
        <v>77224517</v>
      </c>
      <c r="B121" s="53" t="str">
        <f>Комплектация!C110</f>
        <v>15-5103-7П</v>
      </c>
      <c r="C121" s="53">
        <f>Комплектация!E110</f>
        <v>2011</v>
      </c>
      <c r="D121" s="53">
        <f t="shared" si="36"/>
        <v>15</v>
      </c>
      <c r="E121" s="54">
        <f t="shared" si="37"/>
        <v>46.875</v>
      </c>
      <c r="F121" s="55" t="str">
        <f>TEXT(Комплектация!V110,"0")&amp;"/"&amp;TEXT(Комплектация!AF110,"0")&amp;"/"&amp;TEXT(Комплектация!AP110,"0")&amp;"/"&amp;TEXT(Комплектация!AZ110,"0")</f>
        <v>1989/2011/2011/2011</v>
      </c>
      <c r="G121" s="56">
        <f>AVERAGE(Комплектация!V110,Комплектация!AF110,Комплектация!AP110,Комплектация!AZ110)</f>
        <v>2005.5</v>
      </c>
      <c r="H121" s="56">
        <f t="shared" si="38"/>
        <v>20.5</v>
      </c>
      <c r="I121" s="56">
        <f>AVERAGE(Комплектация!AA110:'Комплектация'!AB110,Комплектация!AK110:'Комплектация'!AL110,Комплектация!AU110:'Комплектация'!AV110,Комплектация!BE110:'Комплектация'!BF110)</f>
        <v>67.5</v>
      </c>
      <c r="J121" s="56">
        <f>MIN(Комплектация!AA110:'Комплектация'!AB110,Комплектация!AK110:'Комплектация'!AL110,Комплектация!AU110:'Комплектация'!AV110,Комплектация!BE110:'Комплектация'!BF110)</f>
        <v>66</v>
      </c>
      <c r="K121" s="54">
        <f t="shared" si="39"/>
        <v>0</v>
      </c>
      <c r="L121" s="54">
        <f t="shared" si="40"/>
        <v>68.333333333333329</v>
      </c>
      <c r="M121" s="54">
        <f t="shared" si="41"/>
        <v>20.499999999999996</v>
      </c>
      <c r="N121" s="54">
        <f t="shared" si="42"/>
        <v>34.079835766423358</v>
      </c>
      <c r="O121" s="54">
        <f t="shared" si="43"/>
        <v>65.920164233576642</v>
      </c>
      <c r="P121" s="50"/>
      <c r="Q121" s="57" t="str">
        <f t="shared" si="44"/>
        <v/>
      </c>
      <c r="R121" s="23" t="str">
        <f>IF(Комплектация!G110="",Комплектация!I110,IF(Комплектация!I110="",Комплектация!G110,IF(DATE(VALUE(RIGHT(Комплектация!G110,4)),VALUE(MID(Комплектация!G110,4,2)),VALUE(LEFT(Комплектация!G110,2)))&gt;=DATE(VALUE(RIGHT(Комплектация!I110,4)),VALUE(MID(Комплектация!I110,4,2)),VALUE(LEFT(Комплектация!I110,2))),Комплектация!G110,Комплектация!I110)))</f>
        <v>23.06.2026</v>
      </c>
      <c r="S121" s="23" t="str">
        <f>Комплектация!L110</f>
        <v>23.06.2029</v>
      </c>
      <c r="T121" s="25">
        <f t="shared" si="45"/>
        <v>2.8829568788501025</v>
      </c>
      <c r="U121" s="27">
        <f t="shared" si="46"/>
        <v>3.9233576642335768</v>
      </c>
      <c r="V121" s="27">
        <f>IF(U121="","",U121*Справочник!$B$7/100)</f>
        <v>0.39233576642335771</v>
      </c>
      <c r="W121" s="25">
        <f>J121-Справочник!$B$4</f>
        <v>51</v>
      </c>
      <c r="X121" s="29">
        <f>IF(MIN(Комплектация!AA110:'Комплектация'!AB110)-Справочник!$B$4&lt;Справочник!$B$3,1,0)+IF(MIN(Комплектация!AK110:'Комплектация'!AL110)-Справочник!$B$4&lt;Справочник!$B$3,1,0)+IF(MIN(Комплектация!AU110:'Комплектация'!AV110)-Справочник!$B$4&lt;Справочник!$B$3,1,0)+IF(MIN(Комплектация!BE110:'Комплектация'!BF110)-Справочник!$B$4&lt;Справочник!$B$3,1,0)</f>
        <v>0</v>
      </c>
      <c r="Y121" s="34">
        <f>Справочник!$B$8</f>
        <v>4650000</v>
      </c>
      <c r="Z121" s="34">
        <f t="shared" si="47"/>
        <v>3065287.6368613136</v>
      </c>
    </row>
    <row r="122" spans="1:26" x14ac:dyDescent="0.25">
      <c r="A122" s="45">
        <f>Комплектация!A111</f>
        <v>77228989</v>
      </c>
      <c r="B122" s="46" t="str">
        <f>Комплектация!C111</f>
        <v>15-150-04П</v>
      </c>
      <c r="C122" s="46">
        <f>Комплектация!E111</f>
        <v>2015</v>
      </c>
      <c r="D122" s="46">
        <f t="shared" si="36"/>
        <v>11</v>
      </c>
      <c r="E122" s="47">
        <f t="shared" si="37"/>
        <v>34.375</v>
      </c>
      <c r="F122" s="48" t="str">
        <f>TEXT(Комплектация!V111,"0")&amp;"/"&amp;TEXT(Комплектация!AF111,"0")&amp;"/"&amp;TEXT(Комплектация!AP111,"0")&amp;"/"&amp;TEXT(Комплектация!AZ111,"0")</f>
        <v>2015/2015/2014/2014</v>
      </c>
      <c r="G122" s="49">
        <f>AVERAGE(Комплектация!V111,Комплектация!AF111,Комплектация!AP111,Комплектация!AZ111)</f>
        <v>2014.5</v>
      </c>
      <c r="H122" s="49">
        <f t="shared" si="38"/>
        <v>11.5</v>
      </c>
      <c r="I122" s="49">
        <f>AVERAGE(Комплектация!AA111:'Комплектация'!AB111,Комплектация!AK111:'Комплектация'!AL111,Комплектация!AU111:'Комплектация'!AV111,Комплектация!BE111:'Комплектация'!BF111)</f>
        <v>37.75</v>
      </c>
      <c r="J122" s="49">
        <f>MIN(Комплектация!AA111:'Комплектация'!AB111,Комплектация!AK111:'Комплектация'!AL111,Комплектация!AU111:'Комплектация'!AV111,Комплектация!BE111:'Комплектация'!BF111)</f>
        <v>33</v>
      </c>
      <c r="K122" s="47">
        <f t="shared" si="39"/>
        <v>73.91304347826086</v>
      </c>
      <c r="L122" s="47">
        <f t="shared" si="40"/>
        <v>38.333333333333336</v>
      </c>
      <c r="M122" s="47">
        <f t="shared" si="41"/>
        <v>81.5</v>
      </c>
      <c r="N122" s="47">
        <f t="shared" si="42"/>
        <v>66.641879562043798</v>
      </c>
      <c r="O122" s="47">
        <f t="shared" si="43"/>
        <v>33.358120437956202</v>
      </c>
      <c r="P122" s="50"/>
      <c r="Q122" s="51" t="str">
        <f t="shared" si="44"/>
        <v/>
      </c>
      <c r="R122" s="22" t="str">
        <f>IF(Комплектация!G111="",Комплектация!I111,IF(Комплектация!I111="",Комплектация!G111,IF(DATE(VALUE(RIGHT(Комплектация!G111,4)),VALUE(MID(Комплектация!G111,4,2)),VALUE(LEFT(Комплектация!G111,2)))&gt;=DATE(VALUE(RIGHT(Комплектация!I111,4)),VALUE(MID(Комплектация!I111,4,2)),VALUE(LEFT(Комплектация!I111,2))),Комплектация!G111,Комплектация!I111)))</f>
        <v>25.12.2023</v>
      </c>
      <c r="S122" s="22" t="str">
        <f>Комплектация!L111</f>
        <v>25.12.2026</v>
      </c>
      <c r="T122" s="24">
        <f t="shared" si="45"/>
        <v>0.38877481177275841</v>
      </c>
      <c r="U122" s="26">
        <f t="shared" si="46"/>
        <v>87.043795620437962</v>
      </c>
      <c r="V122" s="26">
        <f>IF(U122="","",U122*Справочник!$B$7/100)</f>
        <v>8.7043795620437958</v>
      </c>
      <c r="W122" s="24">
        <f>J122-Справочник!$B$4</f>
        <v>18</v>
      </c>
      <c r="X122" s="28">
        <f>IF(MIN(Комплектация!AA111:'Комплектация'!AB111)-Справочник!$B$4&lt;Справочник!$B$3,1,0)+IF(MIN(Комплектация!AK111:'Комплектация'!AL111)-Справочник!$B$4&lt;Справочник!$B$3,1,0)+IF(MIN(Комплектация!AU111:'Комплектация'!AV111)-Справочник!$B$4&lt;Справочник!$B$3,1,0)+IF(MIN(Комплектация!BE111:'Комплектация'!BF111)-Справочник!$B$4&lt;Справочник!$B$3,1,0)</f>
        <v>4</v>
      </c>
      <c r="Y122" s="33">
        <f>Справочник!$B$8</f>
        <v>4650000</v>
      </c>
      <c r="Z122" s="33">
        <f t="shared" si="47"/>
        <v>1551152.6003649635</v>
      </c>
    </row>
    <row r="123" spans="1:26" x14ac:dyDescent="0.25">
      <c r="A123" s="52">
        <f>Комплектация!A112</f>
        <v>77223832</v>
      </c>
      <c r="B123" s="53" t="str">
        <f>Комплектация!C112</f>
        <v>15-150-04П</v>
      </c>
      <c r="C123" s="53">
        <f>Комплектация!E112</f>
        <v>2011</v>
      </c>
      <c r="D123" s="53">
        <f t="shared" si="36"/>
        <v>15</v>
      </c>
      <c r="E123" s="54">
        <f t="shared" si="37"/>
        <v>46.875</v>
      </c>
      <c r="F123" s="55" t="str">
        <f>TEXT(Комплектация!V112,"0")&amp;"/"&amp;TEXT(Комплектация!AF112,"0")&amp;"/"&amp;TEXT(Комплектация!AP112,"0")&amp;"/"&amp;TEXT(Комплектация!AZ112,"0")</f>
        <v>2011/2011/2011/2011</v>
      </c>
      <c r="G123" s="56">
        <f>AVERAGE(Комплектация!V112,Комплектация!AF112,Комплектация!AP112,Комплектация!AZ112)</f>
        <v>2011</v>
      </c>
      <c r="H123" s="56">
        <f t="shared" si="38"/>
        <v>15</v>
      </c>
      <c r="I123" s="56">
        <f>AVERAGE(Комплектация!AA112:'Комплектация'!AB112,Комплектация!AK112:'Комплектация'!AL112,Комплектация!AU112:'Комплектация'!AV112,Комплектация!BE112:'Комплектация'!BF112)</f>
        <v>75.25</v>
      </c>
      <c r="J123" s="56">
        <f>MIN(Комплектация!AA112:'Комплектация'!AB112,Комплектация!AK112:'Комплектация'!AL112,Комплектация!AU112:'Комплектация'!AV112,Комплектация!BE112:'Комплектация'!BF112)</f>
        <v>75</v>
      </c>
      <c r="K123" s="54">
        <f t="shared" si="39"/>
        <v>0</v>
      </c>
      <c r="L123" s="54">
        <f t="shared" si="40"/>
        <v>50</v>
      </c>
      <c r="M123" s="54">
        <f t="shared" si="41"/>
        <v>15</v>
      </c>
      <c r="N123" s="54">
        <f t="shared" si="42"/>
        <v>31.375456204379564</v>
      </c>
      <c r="O123" s="54">
        <f t="shared" si="43"/>
        <v>68.62454379562044</v>
      </c>
      <c r="P123" s="50"/>
      <c r="Q123" s="57" t="str">
        <f t="shared" si="44"/>
        <v/>
      </c>
      <c r="R123" s="23" t="str">
        <f>IF(Комплектация!G112="",Комплектация!I112,IF(Комплектация!I112="",Комплектация!G112,IF(DATE(VALUE(RIGHT(Комплектация!G112,4)),VALUE(MID(Комплектация!G112,4,2)),VALUE(LEFT(Комплектация!G112,2)))&gt;=DATE(VALUE(RIGHT(Комплектация!I112,4)),VALUE(MID(Комплектация!I112,4,2)),VALUE(LEFT(Комплектация!I112,2))),Комплектация!G112,Комплектация!I112)))</f>
        <v>18.06.2026</v>
      </c>
      <c r="S123" s="23" t="str">
        <f>Комплектация!L112</f>
        <v>18.06.2029</v>
      </c>
      <c r="T123" s="25">
        <f t="shared" si="45"/>
        <v>2.8692676249144422</v>
      </c>
      <c r="U123" s="27">
        <f t="shared" si="46"/>
        <v>4.3795620437956204</v>
      </c>
      <c r="V123" s="27">
        <f>IF(U123="","",U123*Справочник!$B$7/100)</f>
        <v>0.43795620437956201</v>
      </c>
      <c r="W123" s="25">
        <f>J123-Справочник!$B$4</f>
        <v>60</v>
      </c>
      <c r="X123" s="29">
        <f>IF(MIN(Комплектация!AA112:'Комплектация'!AB112)-Справочник!$B$4&lt;Справочник!$B$3,1,0)+IF(MIN(Комплектация!AK112:'Комплектация'!AL112)-Справочник!$B$4&lt;Справочник!$B$3,1,0)+IF(MIN(Комплектация!AU112:'Комплектация'!AV112)-Справочник!$B$4&lt;Справочник!$B$3,1,0)+IF(MIN(Комплектация!BE112:'Комплектация'!BF112)-Справочник!$B$4&lt;Справочник!$B$3,1,0)</f>
        <v>0</v>
      </c>
      <c r="Y123" s="34">
        <f>Справочник!$B$8</f>
        <v>4650000</v>
      </c>
      <c r="Z123" s="34">
        <f t="shared" si="47"/>
        <v>3191041.2864963501</v>
      </c>
    </row>
    <row r="124" spans="1:26" x14ac:dyDescent="0.25">
      <c r="A124" s="45">
        <f>Комплектация!A113</f>
        <v>77224483</v>
      </c>
      <c r="B124" s="46" t="str">
        <f>Комплектация!C113</f>
        <v>15-5103-7П</v>
      </c>
      <c r="C124" s="46">
        <f>Комплектация!E113</f>
        <v>2011</v>
      </c>
      <c r="D124" s="46">
        <f t="shared" si="36"/>
        <v>15</v>
      </c>
      <c r="E124" s="47">
        <f t="shared" si="37"/>
        <v>46.875</v>
      </c>
      <c r="F124" s="48" t="str">
        <f>TEXT(Комплектация!V113,"0")&amp;"/"&amp;TEXT(Комплектация!AF113,"0")&amp;"/"&amp;TEXT(Комплектация!AP113,"0")&amp;"/"&amp;TEXT(Комплектация!AZ113,"0")</f>
        <v>2011/2011/2011/2011</v>
      </c>
      <c r="G124" s="49">
        <f>AVERAGE(Комплектация!V113,Комплектация!AF113,Комплектация!AP113,Комплектация!AZ113)</f>
        <v>2011</v>
      </c>
      <c r="H124" s="49">
        <f t="shared" si="38"/>
        <v>15</v>
      </c>
      <c r="I124" s="49">
        <f>AVERAGE(Комплектация!AA113:'Комплектация'!AB113,Комплектация!AK113:'Комплектация'!AL113,Комплектация!AU113:'Комплектация'!AV113,Комплектация!BE113:'Комплектация'!BF113)</f>
        <v>73</v>
      </c>
      <c r="J124" s="49">
        <f>MIN(Комплектация!AA113:'Комплектация'!AB113,Комплектация!AK113:'Комплектация'!AL113,Комплектация!AU113:'Комплектация'!AV113,Комплектация!BE113:'Комплектация'!BF113)</f>
        <v>72</v>
      </c>
      <c r="K124" s="47">
        <f t="shared" si="39"/>
        <v>0</v>
      </c>
      <c r="L124" s="47">
        <f t="shared" si="40"/>
        <v>50</v>
      </c>
      <c r="M124" s="47">
        <f t="shared" si="41"/>
        <v>15</v>
      </c>
      <c r="N124" s="47">
        <f t="shared" si="42"/>
        <v>32.141879562043798</v>
      </c>
      <c r="O124" s="47">
        <f t="shared" si="43"/>
        <v>67.858120437956202</v>
      </c>
      <c r="P124" s="50"/>
      <c r="Q124" s="51" t="str">
        <f t="shared" si="44"/>
        <v/>
      </c>
      <c r="R124" s="22" t="str">
        <f>IF(Комплектация!G113="",Комплектация!I113,IF(Комплектация!I113="",Комплектация!G113,IF(DATE(VALUE(RIGHT(Комплектация!G113,4)),VALUE(MID(Комплектация!G113,4,2)),VALUE(LEFT(Комплектация!G113,2)))&gt;=DATE(VALUE(RIGHT(Комплектация!I113,4)),VALUE(MID(Комплектация!I113,4,2)),VALUE(LEFT(Комплектация!I113,2))),Комплектация!G113,Комплектация!I113)))</f>
        <v>26.03.2026</v>
      </c>
      <c r="S124" s="22" t="str">
        <f>Комплектация!L113</f>
        <v>26.03.2029</v>
      </c>
      <c r="T124" s="24">
        <f t="shared" si="45"/>
        <v>2.6392881587953458</v>
      </c>
      <c r="U124" s="26">
        <f t="shared" si="46"/>
        <v>12.043795620437956</v>
      </c>
      <c r="V124" s="26">
        <f>IF(U124="","",U124*Справочник!$B$7/100)</f>
        <v>1.2043795620437956</v>
      </c>
      <c r="W124" s="24">
        <f>J124-Справочник!$B$4</f>
        <v>57</v>
      </c>
      <c r="X124" s="28">
        <f>IF(MIN(Комплектация!AA113:'Комплектация'!AB113)-Справочник!$B$4&lt;Справочник!$B$3,1,0)+IF(MIN(Комплектация!AK113:'Комплектация'!AL113)-Справочник!$B$4&lt;Справочник!$B$3,1,0)+IF(MIN(Комплектация!AU113:'Комплектация'!AV113)-Справочник!$B$4&lt;Справочник!$B$3,1,0)+IF(MIN(Комплектация!BE113:'Комплектация'!BF113)-Справочник!$B$4&lt;Справочник!$B$3,1,0)</f>
        <v>0</v>
      </c>
      <c r="Y124" s="33">
        <f>Справочник!$B$8</f>
        <v>4650000</v>
      </c>
      <c r="Z124" s="33">
        <f t="shared" si="47"/>
        <v>3155402.6003649635</v>
      </c>
    </row>
    <row r="125" spans="1:26" x14ac:dyDescent="0.25">
      <c r="A125" s="52">
        <f>Комплектация!A114</f>
        <v>77223907</v>
      </c>
      <c r="B125" s="53" t="str">
        <f>Комплектация!C114</f>
        <v>15-5103-7П</v>
      </c>
      <c r="C125" s="53">
        <f>Комплектация!E114</f>
        <v>2011</v>
      </c>
      <c r="D125" s="53">
        <f t="shared" si="36"/>
        <v>15</v>
      </c>
      <c r="E125" s="54">
        <f t="shared" si="37"/>
        <v>46.875</v>
      </c>
      <c r="F125" s="55" t="str">
        <f>TEXT(Комплектация!V114,"0")&amp;"/"&amp;TEXT(Комплектация!AF114,"0")&amp;"/"&amp;TEXT(Комплектация!AP114,"0")&amp;"/"&amp;TEXT(Комплектация!AZ114,"0")</f>
        <v>1983/2011/1987/1992</v>
      </c>
      <c r="G125" s="56">
        <f>AVERAGE(Комплектация!V114,Комплектация!AF114,Комплектация!AP114,Комплектация!AZ114)</f>
        <v>1993.25</v>
      </c>
      <c r="H125" s="56">
        <f t="shared" si="38"/>
        <v>32.75</v>
      </c>
      <c r="I125" s="56">
        <f>AVERAGE(Комплектация!AA114:'Комплектация'!AB114,Комплектация!AK114:'Комплектация'!AL114,Комплектация!AU114:'Комплектация'!AV114,Комплектация!BE114:'Комплектация'!BF114)</f>
        <v>56.5</v>
      </c>
      <c r="J125" s="56">
        <f>MIN(Комплектация!AA114:'Комплектация'!AB114,Комплектация!AK114:'Комплектация'!AL114,Комплектация!AU114:'Комплектация'!AV114,Комплектация!BE114:'Комплектация'!BF114)</f>
        <v>54</v>
      </c>
      <c r="K125" s="54">
        <f t="shared" si="39"/>
        <v>0</v>
      </c>
      <c r="L125" s="54">
        <f t="shared" si="40"/>
        <v>100</v>
      </c>
      <c r="M125" s="54">
        <f t="shared" si="41"/>
        <v>30</v>
      </c>
      <c r="N125" s="54">
        <f t="shared" si="42"/>
        <v>38.893704379562045</v>
      </c>
      <c r="O125" s="54">
        <f t="shared" si="43"/>
        <v>61.106295620437955</v>
      </c>
      <c r="P125" s="50"/>
      <c r="Q125" s="57" t="str">
        <f t="shared" si="44"/>
        <v/>
      </c>
      <c r="R125" s="23" t="str">
        <f>IF(Комплектация!G114="",Комплектация!I114,IF(Комплектация!I114="",Комплектация!G114,IF(DATE(VALUE(RIGHT(Комплектация!G114,4)),VALUE(MID(Комплектация!G114,4,2)),VALUE(LEFT(Комплектация!G114,2)))&gt;=DATE(VALUE(RIGHT(Комплектация!I114,4)),VALUE(MID(Комплектация!I114,4,2)),VALUE(LEFT(Комплектация!I114,2))),Комплектация!G114,Комплектация!I114)))</f>
        <v>16.06.2026</v>
      </c>
      <c r="S125" s="23" t="str">
        <f>Комплектация!L114</f>
        <v>16.06.2029</v>
      </c>
      <c r="T125" s="25">
        <f t="shared" si="45"/>
        <v>2.8637919233401781</v>
      </c>
      <c r="U125" s="27">
        <f t="shared" si="46"/>
        <v>4.562043795620438</v>
      </c>
      <c r="V125" s="27">
        <f>IF(U125="","",U125*Справочник!$B$7/100)</f>
        <v>0.45620437956204385</v>
      </c>
      <c r="W125" s="25">
        <f>J125-Справочник!$B$4</f>
        <v>39</v>
      </c>
      <c r="X125" s="29">
        <f>IF(MIN(Комплектация!AA114:'Комплектация'!AB114)-Справочник!$B$4&lt;Справочник!$B$3,1,0)+IF(MIN(Комплектация!AK114:'Комплектация'!AL114)-Справочник!$B$4&lt;Справочник!$B$3,1,0)+IF(MIN(Комплектация!AU114:'Комплектация'!AV114)-Справочник!$B$4&lt;Справочник!$B$3,1,0)+IF(MIN(Комплектация!BE114:'Комплектация'!BF114)-Справочник!$B$4&lt;Справочник!$B$3,1,0)</f>
        <v>0</v>
      </c>
      <c r="Y125" s="34">
        <f>Справочник!$B$8</f>
        <v>4650000</v>
      </c>
      <c r="Z125" s="34">
        <f t="shared" si="47"/>
        <v>2841442.7463503648</v>
      </c>
    </row>
    <row r="126" spans="1:26" x14ac:dyDescent="0.25">
      <c r="A126" s="45">
        <f>Комплектация!A115</f>
        <v>77222107</v>
      </c>
      <c r="B126" s="46" t="str">
        <f>Комплектация!C115</f>
        <v>15-5103-7П</v>
      </c>
      <c r="C126" s="46">
        <f>Комплектация!E115</f>
        <v>2011</v>
      </c>
      <c r="D126" s="46">
        <f t="shared" si="36"/>
        <v>15</v>
      </c>
      <c r="E126" s="47">
        <f t="shared" si="37"/>
        <v>46.875</v>
      </c>
      <c r="F126" s="48" t="str">
        <f>TEXT(Комплектация!V115,"0")&amp;"/"&amp;TEXT(Комплектация!AF115,"0")&amp;"/"&amp;TEXT(Комплектация!AP115,"0")&amp;"/"&amp;TEXT(Комплектация!AZ115,"0")</f>
        <v>2011/2011/2011/2011</v>
      </c>
      <c r="G126" s="49">
        <f>AVERAGE(Комплектация!V115,Комплектация!AF115,Комплектация!AP115,Комплектация!AZ115)</f>
        <v>2011</v>
      </c>
      <c r="H126" s="49">
        <f t="shared" si="38"/>
        <v>15</v>
      </c>
      <c r="I126" s="49">
        <f>AVERAGE(Комплектация!AA115:'Комплектация'!AB115,Комплектация!AK115:'Комплектация'!AL115,Комплектация!AU115:'Комплектация'!AV115,Комплектация!BE115:'Комплектация'!BF115)</f>
        <v>68.75</v>
      </c>
      <c r="J126" s="49">
        <f>MIN(Комплектация!AA115:'Комплектация'!AB115,Комплектация!AK115:'Комплектация'!AL115,Комплектация!AU115:'Комплектация'!AV115,Комплектация!BE115:'Комплектация'!BF115)</f>
        <v>68</v>
      </c>
      <c r="K126" s="47">
        <f t="shared" si="39"/>
        <v>0</v>
      </c>
      <c r="L126" s="47">
        <f t="shared" si="40"/>
        <v>50</v>
      </c>
      <c r="M126" s="47">
        <f t="shared" si="41"/>
        <v>15</v>
      </c>
      <c r="N126" s="47">
        <f t="shared" si="42"/>
        <v>32.324361313868614</v>
      </c>
      <c r="O126" s="47">
        <f t="shared" si="43"/>
        <v>67.675638686131379</v>
      </c>
      <c r="P126" s="50"/>
      <c r="Q126" s="51" t="str">
        <f t="shared" si="44"/>
        <v/>
      </c>
      <c r="R126" s="22" t="str">
        <f>IF(Комплектация!G115="",Комплектация!I115,IF(Комплектация!I115="",Комплектация!G115,IF(DATE(VALUE(RIGHT(Комплектация!G115,4)),VALUE(MID(Комплектация!G115,4,2)),VALUE(LEFT(Комплектация!G115,2)))&gt;=DATE(VALUE(RIGHT(Комплектация!I115,4)),VALUE(MID(Комплектация!I115,4,2)),VALUE(LEFT(Комплектация!I115,2))),Комплектация!G115,Комплектация!I115)))</f>
        <v>06.03.2026</v>
      </c>
      <c r="S126" s="22" t="str">
        <f>Комплектация!L115</f>
        <v>06.03.2029</v>
      </c>
      <c r="T126" s="24">
        <f t="shared" si="45"/>
        <v>2.5845311430527036</v>
      </c>
      <c r="U126" s="26">
        <f t="shared" si="46"/>
        <v>13.868613138686131</v>
      </c>
      <c r="V126" s="26">
        <f>IF(U126="","",U126*Справочник!$B$7/100)</f>
        <v>1.3868613138686132</v>
      </c>
      <c r="W126" s="24">
        <f>J126-Справочник!$B$4</f>
        <v>53</v>
      </c>
      <c r="X126" s="28">
        <f>IF(MIN(Комплектация!AA115:'Комплектация'!AB115)-Справочник!$B$4&lt;Справочник!$B$3,1,0)+IF(MIN(Комплектация!AK115:'Комплектация'!AL115)-Справочник!$B$4&lt;Справочник!$B$3,1,0)+IF(MIN(Комплектация!AU115:'Комплектация'!AV115)-Справочник!$B$4&lt;Справочник!$B$3,1,0)+IF(MIN(Комплектация!BE115:'Комплектация'!BF115)-Справочник!$B$4&lt;Справочник!$B$3,1,0)</f>
        <v>0</v>
      </c>
      <c r="Y126" s="33">
        <f>Справочник!$B$8</f>
        <v>4650000</v>
      </c>
      <c r="Z126" s="33">
        <f t="shared" si="47"/>
        <v>3146917.198905109</v>
      </c>
    </row>
    <row r="127" spans="1:26" x14ac:dyDescent="0.25">
      <c r="A127" s="52">
        <f>Комплектация!A116</f>
        <v>77222032</v>
      </c>
      <c r="B127" s="53" t="str">
        <f>Комплектация!C116</f>
        <v>15-150-04П</v>
      </c>
      <c r="C127" s="53">
        <f>Комплектация!E116</f>
        <v>2011</v>
      </c>
      <c r="D127" s="53">
        <f t="shared" si="36"/>
        <v>15</v>
      </c>
      <c r="E127" s="54">
        <f t="shared" si="37"/>
        <v>46.875</v>
      </c>
      <c r="F127" s="55" t="str">
        <f>TEXT(Комплектация!V116,"0")&amp;"/"&amp;TEXT(Комплектация!AF116,"0")&amp;"/"&amp;TEXT(Комплектация!AP116,"0")&amp;"/"&amp;TEXT(Комплектация!AZ116,"0")</f>
        <v>2009/2011/2011/2011</v>
      </c>
      <c r="G127" s="56">
        <f>AVERAGE(Комплектация!V116,Комплектация!AF116,Комплектация!AP116,Комплектация!AZ116)</f>
        <v>2010.5</v>
      </c>
      <c r="H127" s="56">
        <f t="shared" si="38"/>
        <v>15.5</v>
      </c>
      <c r="I127" s="56">
        <f>AVERAGE(Комплектация!AA116:'Комплектация'!AB116,Комплектация!AK116:'Комплектация'!AL116,Комплектация!AU116:'Комплектация'!AV116,Комплектация!BE116:'Комплектация'!BF116)</f>
        <v>60.25</v>
      </c>
      <c r="J127" s="56">
        <f>MIN(Комплектация!AA116:'Комплектация'!AB116,Комплектация!AK116:'Комплектация'!AL116,Комплектация!AU116:'Комплектация'!AV116,Комплектация!BE116:'Комплектация'!BF116)</f>
        <v>58</v>
      </c>
      <c r="K127" s="54">
        <f t="shared" si="39"/>
        <v>0</v>
      </c>
      <c r="L127" s="54">
        <f t="shared" si="40"/>
        <v>51.666666666666671</v>
      </c>
      <c r="M127" s="54">
        <f t="shared" si="41"/>
        <v>15.5</v>
      </c>
      <c r="N127" s="54">
        <f t="shared" si="42"/>
        <v>32.556113138686129</v>
      </c>
      <c r="O127" s="54">
        <f t="shared" si="43"/>
        <v>67.443886861313871</v>
      </c>
      <c r="P127" s="50"/>
      <c r="Q127" s="57" t="str">
        <f t="shared" si="44"/>
        <v/>
      </c>
      <c r="R127" s="23" t="str">
        <f>IF(Комплектация!G116="",Комплектация!I116,IF(Комплектация!I116="",Комплектация!G116,IF(DATE(VALUE(RIGHT(Комплектация!G116,4)),VALUE(MID(Комплектация!G116,4,2)),VALUE(LEFT(Комплектация!G116,2)))&gt;=DATE(VALUE(RIGHT(Комплектация!I116,4)),VALUE(MID(Комплектация!I116,4,2)),VALUE(LEFT(Комплектация!I116,2))),Комплектация!G116,Комплектация!I116)))</f>
        <v>08.03.2026</v>
      </c>
      <c r="S127" s="23" t="str">
        <f>Комплектация!L116</f>
        <v>08.03.2029</v>
      </c>
      <c r="T127" s="25">
        <f t="shared" si="45"/>
        <v>2.5900068446269677</v>
      </c>
      <c r="U127" s="27">
        <f t="shared" si="46"/>
        <v>13.686131386861314</v>
      </c>
      <c r="V127" s="27">
        <f>IF(U127="","",U127*Справочник!$B$7/100)</f>
        <v>1.3686131386861313</v>
      </c>
      <c r="W127" s="25">
        <f>J127-Справочник!$B$4</f>
        <v>43</v>
      </c>
      <c r="X127" s="29">
        <f>IF(MIN(Комплектация!AA116:'Комплектация'!AB116)-Справочник!$B$4&lt;Справочник!$B$3,1,0)+IF(MIN(Комплектация!AK116:'Комплектация'!AL116)-Справочник!$B$4&lt;Справочник!$B$3,1,0)+IF(MIN(Комплектация!AU116:'Комплектация'!AV116)-Справочник!$B$4&lt;Справочник!$B$3,1,0)+IF(MIN(Комплектация!BE116:'Комплектация'!BF116)-Справочник!$B$4&lt;Справочник!$B$3,1,0)</f>
        <v>0</v>
      </c>
      <c r="Y127" s="34">
        <f>Справочник!$B$8</f>
        <v>4650000</v>
      </c>
      <c r="Z127" s="34">
        <f t="shared" si="47"/>
        <v>3136140.7390510952</v>
      </c>
    </row>
    <row r="128" spans="1:26" x14ac:dyDescent="0.25">
      <c r="A128" s="45">
        <f>Комплектация!A117</f>
        <v>77224202</v>
      </c>
      <c r="B128" s="46" t="str">
        <f>Комплектация!C117</f>
        <v>15-150-04П</v>
      </c>
      <c r="C128" s="46">
        <f>Комплектация!E117</f>
        <v>2011</v>
      </c>
      <c r="D128" s="46">
        <f t="shared" si="36"/>
        <v>15</v>
      </c>
      <c r="E128" s="47">
        <f t="shared" si="37"/>
        <v>46.875</v>
      </c>
      <c r="F128" s="48" t="str">
        <f>TEXT(Комплектация!V117,"0")&amp;"/"&amp;TEXT(Комплектация!AF117,"0")&amp;"/"&amp;TEXT(Комплектация!AP117,"0")&amp;"/"&amp;TEXT(Комплектация!AZ117,"0")</f>
        <v>2018/1996/2014/2012</v>
      </c>
      <c r="G128" s="49">
        <f>AVERAGE(Комплектация!V117,Комплектация!AF117,Комплектация!AP117,Комплектация!AZ117)</f>
        <v>2010</v>
      </c>
      <c r="H128" s="49">
        <f t="shared" si="38"/>
        <v>16</v>
      </c>
      <c r="I128" s="49">
        <f>AVERAGE(Комплектация!AA117:'Комплектация'!AB117,Комплектация!AK117:'Комплектация'!AL117,Комплектация!AU117:'Комплектация'!AV117,Комплектация!BE117:'Комплектация'!BF117)</f>
        <v>74.5</v>
      </c>
      <c r="J128" s="49">
        <f>MIN(Комплектация!AA117:'Комплектация'!AB117,Комплектация!AK117:'Комплектация'!AL117,Комплектация!AU117:'Комплектация'!AV117,Комплектация!BE117:'Комплектация'!BF117)</f>
        <v>74</v>
      </c>
      <c r="K128" s="47">
        <f t="shared" si="39"/>
        <v>0</v>
      </c>
      <c r="L128" s="47">
        <f t="shared" si="40"/>
        <v>53.333333333333336</v>
      </c>
      <c r="M128" s="47">
        <f t="shared" si="41"/>
        <v>16</v>
      </c>
      <c r="N128" s="47">
        <f t="shared" si="42"/>
        <v>32.267791970802918</v>
      </c>
      <c r="O128" s="47">
        <f t="shared" si="43"/>
        <v>67.732208029197082</v>
      </c>
      <c r="P128" s="50"/>
      <c r="Q128" s="51" t="str">
        <f t="shared" si="44"/>
        <v/>
      </c>
      <c r="R128" s="22" t="str">
        <f>IF(Комплектация!G117="",Комплектация!I117,IF(Комплектация!I117="",Комплектация!G117,IF(DATE(VALUE(RIGHT(Комплектация!G117,4)),VALUE(MID(Комплектация!G117,4,2)),VALUE(LEFT(Комплектация!G117,2)))&gt;=DATE(VALUE(RIGHT(Комплектация!I117,4)),VALUE(MID(Комплектация!I117,4,2)),VALUE(LEFT(Комплектация!I117,2))),Комплектация!G117,Комплектация!I117)))</f>
        <v>06.05.2026</v>
      </c>
      <c r="S128" s="22" t="str">
        <f>Комплектация!L117</f>
        <v>06.05.2029</v>
      </c>
      <c r="T128" s="24">
        <f t="shared" si="45"/>
        <v>2.751540041067762</v>
      </c>
      <c r="U128" s="26">
        <f t="shared" si="46"/>
        <v>8.3029197080291972</v>
      </c>
      <c r="V128" s="26">
        <f>IF(U128="","",U128*Справочник!$B$7/100)</f>
        <v>0.83029197080291961</v>
      </c>
      <c r="W128" s="24">
        <f>J128-Справочник!$B$4</f>
        <v>59</v>
      </c>
      <c r="X128" s="28">
        <f>IF(MIN(Комплектация!AA117:'Комплектация'!AB117)-Справочник!$B$4&lt;Справочник!$B$3,1,0)+IF(MIN(Комплектация!AK117:'Комплектация'!AL117)-Справочник!$B$4&lt;Справочник!$B$3,1,0)+IF(MIN(Комплектация!AU117:'Комплектация'!AV117)-Справочник!$B$4&lt;Справочник!$B$3,1,0)+IF(MIN(Комплектация!BE117:'Комплектация'!BF117)-Справочник!$B$4&lt;Справочник!$B$3,1,0)</f>
        <v>0</v>
      </c>
      <c r="Y128" s="33">
        <f>Справочник!$B$8</f>
        <v>4650000</v>
      </c>
      <c r="Z128" s="33">
        <f t="shared" si="47"/>
        <v>3149547.6733576641</v>
      </c>
    </row>
    <row r="129" spans="1:26" x14ac:dyDescent="0.25">
      <c r="A129" s="52">
        <f>Комплектация!A118</f>
        <v>77223865</v>
      </c>
      <c r="B129" s="53" t="str">
        <f>Комплектация!C118</f>
        <v>15-150-04П</v>
      </c>
      <c r="C129" s="53">
        <f>Комплектация!E118</f>
        <v>2011</v>
      </c>
      <c r="D129" s="53">
        <f t="shared" si="36"/>
        <v>15</v>
      </c>
      <c r="E129" s="54">
        <f t="shared" si="37"/>
        <v>46.875</v>
      </c>
      <c r="F129" s="55" t="str">
        <f>TEXT(Комплектация!V118,"0")&amp;"/"&amp;TEXT(Комплектация!AF118,"0")&amp;"/"&amp;TEXT(Комплектация!AP118,"0")&amp;"/"&amp;TEXT(Комплектация!AZ118,"0")</f>
        <v>2009/2009/2010/2010</v>
      </c>
      <c r="G129" s="56">
        <f>AVERAGE(Комплектация!V118,Комплектация!AF118,Комплектация!AP118,Комплектация!AZ118)</f>
        <v>2009.5</v>
      </c>
      <c r="H129" s="56">
        <f t="shared" si="38"/>
        <v>16.5</v>
      </c>
      <c r="I129" s="56">
        <f>AVERAGE(Комплектация!AA118:'Комплектация'!AB118,Комплектация!AK118:'Комплектация'!AL118,Комплектация!AU118:'Комплектация'!AV118,Комплектация!BE118:'Комплектация'!BF118)</f>
        <v>57.25</v>
      </c>
      <c r="J129" s="56">
        <f>MIN(Комплектация!AA118:'Комплектация'!AB118,Комплектация!AK118:'Комплектация'!AL118,Комплектация!AU118:'Комплектация'!AV118,Комплектация!BE118:'Комплектация'!BF118)</f>
        <v>54</v>
      </c>
      <c r="K129" s="54">
        <f t="shared" si="39"/>
        <v>0</v>
      </c>
      <c r="L129" s="54">
        <f t="shared" si="40"/>
        <v>55.000000000000007</v>
      </c>
      <c r="M129" s="54">
        <f t="shared" si="41"/>
        <v>16.5</v>
      </c>
      <c r="N129" s="54">
        <f t="shared" si="42"/>
        <v>32.508667883211679</v>
      </c>
      <c r="O129" s="54">
        <f t="shared" si="43"/>
        <v>67.491332116788328</v>
      </c>
      <c r="P129" s="50"/>
      <c r="Q129" s="57" t="str">
        <f t="shared" si="44"/>
        <v/>
      </c>
      <c r="R129" s="23" t="str">
        <f>IF(Комплектация!G118="",Комплектация!I118,IF(Комплектация!I118="",Комплектация!G118,IF(DATE(VALUE(RIGHT(Комплектация!G118,4)),VALUE(MID(Комплектация!G118,4,2)),VALUE(LEFT(Комплектация!G118,2)))&gt;=DATE(VALUE(RIGHT(Комплектация!I118,4)),VALUE(MID(Комплектация!I118,4,2)),VALUE(LEFT(Комплектация!I118,2))),Комплектация!G118,Комплектация!I118)))</f>
        <v>07.05.2026</v>
      </c>
      <c r="S129" s="23" t="str">
        <f>Комплектация!L118</f>
        <v>07.05.2029</v>
      </c>
      <c r="T129" s="25">
        <f t="shared" si="45"/>
        <v>2.754277891854894</v>
      </c>
      <c r="U129" s="27">
        <f t="shared" si="46"/>
        <v>8.2116788321167888</v>
      </c>
      <c r="V129" s="27">
        <f>IF(U129="","",U129*Справочник!$B$7/100)</f>
        <v>0.82116788321167888</v>
      </c>
      <c r="W129" s="25">
        <f>J129-Справочник!$B$4</f>
        <v>39</v>
      </c>
      <c r="X129" s="29">
        <f>IF(MIN(Комплектация!AA118:'Комплектация'!AB118)-Справочник!$B$4&lt;Справочник!$B$3,1,0)+IF(MIN(Комплектация!AK118:'Комплектация'!AL118)-Справочник!$B$4&lt;Справочник!$B$3,1,0)+IF(MIN(Комплектация!AU118:'Комплектация'!AV118)-Справочник!$B$4&lt;Справочник!$B$3,1,0)+IF(MIN(Комплектация!BE118:'Комплектация'!BF118)-Справочник!$B$4&lt;Справочник!$B$3,1,0)</f>
        <v>0</v>
      </c>
      <c r="Y129" s="34">
        <f>Справочник!$B$8</f>
        <v>4650000</v>
      </c>
      <c r="Z129" s="34">
        <f t="shared" si="47"/>
        <v>3138346.9434306575</v>
      </c>
    </row>
    <row r="130" spans="1:26" x14ac:dyDescent="0.25">
      <c r="A130" s="45">
        <f>Комплектация!A119</f>
        <v>77224525</v>
      </c>
      <c r="B130" s="46" t="str">
        <f>Комплектация!C119</f>
        <v>15-150-04П</v>
      </c>
      <c r="C130" s="46">
        <f>Комплектация!E119</f>
        <v>2011</v>
      </c>
      <c r="D130" s="46">
        <f t="shared" si="36"/>
        <v>15</v>
      </c>
      <c r="E130" s="47">
        <f t="shared" si="37"/>
        <v>46.875</v>
      </c>
      <c r="F130" s="48" t="str">
        <f>TEXT(Комплектация!V119,"0")&amp;"/"&amp;TEXT(Комплектация!AF119,"0")&amp;"/"&amp;TEXT(Комплектация!AP119,"0")&amp;"/"&amp;TEXT(Комплектация!AZ119,"0")</f>
        <v>2018/2019/2018/2019</v>
      </c>
      <c r="G130" s="49">
        <f>AVERAGE(Комплектация!V119,Комплектация!AF119,Комплектация!AP119,Комплектация!AZ119)</f>
        <v>2018.5</v>
      </c>
      <c r="H130" s="49">
        <f t="shared" si="38"/>
        <v>7.5</v>
      </c>
      <c r="I130" s="49">
        <f>AVERAGE(Комплектация!AA119:'Комплектация'!AB119,Комплектация!AK119:'Комплектация'!AL119,Комплектация!AU119:'Комплектация'!AV119,Комплектация!BE119:'Комплектация'!BF119)</f>
        <v>47.25</v>
      </c>
      <c r="J130" s="49">
        <f>MIN(Комплектация!AA119:'Комплектация'!AB119,Комплектация!AK119:'Комплектация'!AL119,Комплектация!AU119:'Комплектация'!AV119,Комплектация!BE119:'Комплектация'!BF119)</f>
        <v>36</v>
      </c>
      <c r="K130" s="47">
        <f t="shared" si="39"/>
        <v>60.869565217391312</v>
      </c>
      <c r="L130" s="47">
        <f t="shared" si="40"/>
        <v>25</v>
      </c>
      <c r="M130" s="47">
        <f t="shared" si="41"/>
        <v>50.108695652173914</v>
      </c>
      <c r="N130" s="47">
        <f t="shared" si="42"/>
        <v>58.263745636305934</v>
      </c>
      <c r="O130" s="47">
        <f t="shared" si="43"/>
        <v>41.736254363694066</v>
      </c>
      <c r="P130" s="50"/>
      <c r="Q130" s="51" t="str">
        <f t="shared" si="44"/>
        <v/>
      </c>
      <c r="R130" s="22" t="str">
        <f>IF(Комплектация!G119="",Комплектация!I119,IF(Комплектация!I119="",Комплектация!G119,IF(DATE(VALUE(RIGHT(Комплектация!G119,4)),VALUE(MID(Комплектация!G119,4,2)),VALUE(LEFT(Комплектация!G119,2)))&gt;=DATE(VALUE(RIGHT(Комплектация!I119,4)),VALUE(MID(Комплектация!I119,4,2)),VALUE(LEFT(Комплектация!I119,2))),Комплектация!G119,Комплектация!I119)))</f>
        <v>30.08.2023</v>
      </c>
      <c r="S130" s="22" t="str">
        <f>Комплектация!L119</f>
        <v>30.08.2026</v>
      </c>
      <c r="T130" s="24">
        <f t="shared" si="45"/>
        <v>6.8446269678302529E-2</v>
      </c>
      <c r="U130" s="26">
        <f t="shared" si="46"/>
        <v>97.71897810218978</v>
      </c>
      <c r="V130" s="26">
        <f>IF(U130="","",U130*Справочник!$B$7/100)</f>
        <v>9.7718978102189791</v>
      </c>
      <c r="W130" s="24">
        <f>J130-Справочник!$B$4</f>
        <v>21</v>
      </c>
      <c r="X130" s="28">
        <f>IF(MIN(Комплектация!AA119:'Комплектация'!AB119)-Справочник!$B$4&lt;Справочник!$B$3,1,0)+IF(MIN(Комплектация!AK119:'Комплектация'!AL119)-Справочник!$B$4&lt;Справочник!$B$3,1,0)+IF(MIN(Комплектация!AU119:'Комплектация'!AV119)-Справочник!$B$4&lt;Справочник!$B$3,1,0)+IF(MIN(Комплектация!BE119:'Комплектация'!BF119)-Справочник!$B$4&lt;Справочник!$B$3,1,0)</f>
        <v>2</v>
      </c>
      <c r="Y130" s="33">
        <f>Справочник!$B$8</f>
        <v>4650000</v>
      </c>
      <c r="Z130" s="33">
        <f t="shared" si="47"/>
        <v>1940735.8279117739</v>
      </c>
    </row>
    <row r="131" spans="1:26" x14ac:dyDescent="0.25">
      <c r="A131" s="52">
        <f>Комплектация!A120</f>
        <v>77223881</v>
      </c>
      <c r="B131" s="53" t="str">
        <f>Комплектация!C120</f>
        <v>15-150-04П</v>
      </c>
      <c r="C131" s="53">
        <f>Комплектация!E120</f>
        <v>2011</v>
      </c>
      <c r="D131" s="53">
        <f t="shared" si="36"/>
        <v>15</v>
      </c>
      <c r="E131" s="54">
        <f t="shared" si="37"/>
        <v>46.875</v>
      </c>
      <c r="F131" s="55" t="str">
        <f>TEXT(Комплектация!V120,"0")&amp;"/"&amp;TEXT(Комплектация!AF120,"0")&amp;"/"&amp;TEXT(Комплектация!AP120,"0")&amp;"/"&amp;TEXT(Комплектация!AZ120,"0")</f>
        <v>2011/2008/2011/2011</v>
      </c>
      <c r="G131" s="56">
        <f>AVERAGE(Комплектация!V120,Комплектация!AF120,Комплектация!AP120,Комплектация!AZ120)</f>
        <v>2010.25</v>
      </c>
      <c r="H131" s="56">
        <f t="shared" si="38"/>
        <v>15.75</v>
      </c>
      <c r="I131" s="56">
        <f>AVERAGE(Комплектация!AA120:'Комплектация'!AB120,Комплектация!AK120:'Комплектация'!AL120,Комплектация!AU120:'Комплектация'!AV120,Комплектация!BE120:'Комплектация'!BF120)</f>
        <v>68</v>
      </c>
      <c r="J131" s="56">
        <f>MIN(Комплектация!AA120:'Комплектация'!AB120,Комплектация!AK120:'Комплектация'!AL120,Комплектация!AU120:'Комплектация'!AV120,Комплектация!BE120:'Комплектация'!BF120)</f>
        <v>66</v>
      </c>
      <c r="K131" s="54">
        <f t="shared" si="39"/>
        <v>0</v>
      </c>
      <c r="L131" s="54">
        <f t="shared" si="40"/>
        <v>52.5</v>
      </c>
      <c r="M131" s="54">
        <f t="shared" si="41"/>
        <v>15.75</v>
      </c>
      <c r="N131" s="54">
        <f t="shared" si="42"/>
        <v>33.867244525547449</v>
      </c>
      <c r="O131" s="54">
        <f t="shared" si="43"/>
        <v>66.132755474452551</v>
      </c>
      <c r="P131" s="50"/>
      <c r="Q131" s="57" t="str">
        <f t="shared" si="44"/>
        <v/>
      </c>
      <c r="R131" s="23" t="str">
        <f>IF(Комплектация!G120="",Комплектация!I120,IF(Комплектация!I120="",Комплектация!G120,IF(DATE(VALUE(RIGHT(Комплектация!G120,4)),VALUE(MID(Комплектация!G120,4,2)),VALUE(LEFT(Комплектация!G120,2)))&gt;=DATE(VALUE(RIGHT(Комплектация!I120,4)),VALUE(MID(Комплектация!I120,4,2)),VALUE(LEFT(Комплектация!I120,2))),Комплектация!G120,Комплектация!I120)))</f>
        <v>29.10.2025</v>
      </c>
      <c r="S131" s="23" t="str">
        <f>Комплектация!L120</f>
        <v>29.10.2028</v>
      </c>
      <c r="T131" s="25">
        <f t="shared" si="45"/>
        <v>2.2340862422997945</v>
      </c>
      <c r="U131" s="27">
        <f t="shared" si="46"/>
        <v>25.547445255474454</v>
      </c>
      <c r="V131" s="27">
        <f>IF(U131="","",U131*Справочник!$B$7/100)</f>
        <v>2.5547445255474455</v>
      </c>
      <c r="W131" s="25">
        <f>J131-Справочник!$B$4</f>
        <v>51</v>
      </c>
      <c r="X131" s="29">
        <f>IF(MIN(Комплектация!AA120:'Комплектация'!AB120)-Справочник!$B$4&lt;Справочник!$B$3,1,0)+IF(MIN(Комплектация!AK120:'Комплектация'!AL120)-Справочник!$B$4&lt;Справочник!$B$3,1,0)+IF(MIN(Комплектация!AU120:'Комплектация'!AV120)-Справочник!$B$4&lt;Справочник!$B$3,1,0)+IF(MIN(Комплектация!BE120:'Комплектация'!BF120)-Справочник!$B$4&lt;Справочник!$B$3,1,0)</f>
        <v>0</v>
      </c>
      <c r="Y131" s="34">
        <f>Справочник!$B$8</f>
        <v>4650000</v>
      </c>
      <c r="Z131" s="34">
        <f t="shared" si="47"/>
        <v>3075173.1295620436</v>
      </c>
    </row>
    <row r="132" spans="1:26" x14ac:dyDescent="0.25">
      <c r="A132" s="45">
        <f>Комплектация!A121</f>
        <v>77206068</v>
      </c>
      <c r="B132" s="46" t="str">
        <f>Комплектация!C121</f>
        <v>15-1755П</v>
      </c>
      <c r="C132" s="46">
        <f>Комплектация!E121</f>
        <v>2013</v>
      </c>
      <c r="D132" s="46">
        <f t="shared" si="36"/>
        <v>13</v>
      </c>
      <c r="E132" s="47">
        <f t="shared" si="37"/>
        <v>40.625</v>
      </c>
      <c r="F132" s="48" t="str">
        <f>TEXT(Комплектация!V121,"0")&amp;"/"&amp;TEXT(Комплектация!AF121,"0")&amp;"/"&amp;TEXT(Комплектация!AP121,"0")&amp;"/"&amp;TEXT(Комплектация!AZ121,"0")</f>
        <v>2011/2001/2012/2013</v>
      </c>
      <c r="G132" s="49">
        <f>AVERAGE(Комплектация!V121,Комплектация!AF121,Комплектация!AP121,Комплектация!AZ121)</f>
        <v>2009.25</v>
      </c>
      <c r="H132" s="49">
        <f t="shared" si="38"/>
        <v>16.75</v>
      </c>
      <c r="I132" s="49">
        <f>AVERAGE(Комплектация!AA121:'Комплектация'!AB121,Комплектация!AK121:'Комплектация'!AL121,Комплектация!AU121:'Комплектация'!AV121,Комплектация!BE121:'Комплектация'!BF121)</f>
        <v>66.75</v>
      </c>
      <c r="J132" s="49">
        <f>MIN(Комплектация!AA121:'Комплектация'!AB121,Комплектация!AK121:'Комплектация'!AL121,Комплектация!AU121:'Комплектация'!AV121,Комплектация!BE121:'Комплектация'!BF121)</f>
        <v>60</v>
      </c>
      <c r="K132" s="47">
        <f t="shared" si="39"/>
        <v>0</v>
      </c>
      <c r="L132" s="47">
        <f t="shared" si="40"/>
        <v>55.833333333333336</v>
      </c>
      <c r="M132" s="47">
        <f t="shared" si="41"/>
        <v>16.75</v>
      </c>
      <c r="N132" s="47">
        <f t="shared" si="42"/>
        <v>30.465885772913815</v>
      </c>
      <c r="O132" s="47">
        <f t="shared" si="43"/>
        <v>69.534114227086178</v>
      </c>
      <c r="P132" s="50"/>
      <c r="Q132" s="51" t="str">
        <f t="shared" si="44"/>
        <v/>
      </c>
      <c r="R132" s="22" t="str">
        <f>IF(Комплектация!G121="",Комплектация!I121,IF(Комплектация!I121="",Комплектация!G121,IF(DATE(VALUE(RIGHT(Комплектация!G121,4)),VALUE(MID(Комплектация!G121,4,2)),VALUE(LEFT(Комплектация!G121,2)))&gt;=DATE(VALUE(RIGHT(Комплектация!I121,4)),VALUE(MID(Комплектация!I121,4,2)),VALUE(LEFT(Комплектация!I121,2))),Комплектация!G121,Комплектация!I121)))</f>
        <v>28.03.2026</v>
      </c>
      <c r="S132" s="22" t="str">
        <f>Комплектация!L121</f>
        <v>28.03.2028</v>
      </c>
      <c r="T132" s="24">
        <f t="shared" si="45"/>
        <v>1.6454483230663928</v>
      </c>
      <c r="U132" s="26">
        <f t="shared" si="46"/>
        <v>17.783857729138166</v>
      </c>
      <c r="V132" s="26">
        <f>IF(U132="","",U132*Справочник!$B$7/100)</f>
        <v>1.7783857729138166</v>
      </c>
      <c r="W132" s="24">
        <f>J132-Справочник!$B$4</f>
        <v>45</v>
      </c>
      <c r="X132" s="28">
        <f>IF(MIN(Комплектация!AA121:'Комплектация'!AB121)-Справочник!$B$4&lt;Справочник!$B$3,1,0)+IF(MIN(Комплектация!AK121:'Комплектация'!AL121)-Справочник!$B$4&lt;Справочник!$B$3,1,0)+IF(MIN(Комплектация!AU121:'Комплектация'!AV121)-Справочник!$B$4&lt;Справочник!$B$3,1,0)+IF(MIN(Комплектация!BE121:'Комплектация'!BF121)-Справочник!$B$4&lt;Справочник!$B$3,1,0)</f>
        <v>0</v>
      </c>
      <c r="Y132" s="33">
        <f>Справочник!$B$8</f>
        <v>4650000</v>
      </c>
      <c r="Z132" s="33">
        <f t="shared" si="47"/>
        <v>3233336.3115595072</v>
      </c>
    </row>
    <row r="133" spans="1:26" x14ac:dyDescent="0.25">
      <c r="A133" s="52">
        <f>Комплектация!A122</f>
        <v>77222164</v>
      </c>
      <c r="B133" s="53" t="str">
        <f>Комплектация!C122</f>
        <v>15-1755П</v>
      </c>
      <c r="C133" s="53">
        <f>Комплектация!E122</f>
        <v>2014</v>
      </c>
      <c r="D133" s="53">
        <f t="shared" si="36"/>
        <v>12</v>
      </c>
      <c r="E133" s="54">
        <f t="shared" si="37"/>
        <v>37.5</v>
      </c>
      <c r="F133" s="55" t="str">
        <f>TEXT(Комплектация!V122,"0")&amp;"/"&amp;TEXT(Комплектация!AF122,"0")&amp;"/"&amp;TEXT(Комплектация!AP122,"0")&amp;"/"&amp;TEXT(Комплектация!AZ122,"0")</f>
        <v>2014/2014/2006/2014</v>
      </c>
      <c r="G133" s="56">
        <f>AVERAGE(Комплектация!V122,Комплектация!AF122,Комплектация!AP122,Комплектация!AZ122)</f>
        <v>2012</v>
      </c>
      <c r="H133" s="56">
        <f t="shared" si="38"/>
        <v>14</v>
      </c>
      <c r="I133" s="56">
        <f>AVERAGE(Комплектация!AA122:'Комплектация'!AB122,Комплектация!AK122:'Комплектация'!AL122,Комплектация!AU122:'Комплектация'!AV122,Комплектация!BE122:'Комплектация'!BF122)</f>
        <v>75</v>
      </c>
      <c r="J133" s="56">
        <f>MIN(Комплектация!AA122:'Комплектация'!AB122,Комплектация!AK122:'Комплектация'!AL122,Комплектация!AU122:'Комплектация'!AV122,Комплектация!BE122:'Комплектация'!BF122)</f>
        <v>75</v>
      </c>
      <c r="K133" s="54">
        <f t="shared" si="39"/>
        <v>0</v>
      </c>
      <c r="L133" s="54">
        <f t="shared" si="40"/>
        <v>46.666666666666664</v>
      </c>
      <c r="M133" s="54">
        <f t="shared" si="41"/>
        <v>13.999999999999998</v>
      </c>
      <c r="N133" s="54">
        <f t="shared" si="42"/>
        <v>32.613013698630134</v>
      </c>
      <c r="O133" s="54">
        <f t="shared" si="43"/>
        <v>67.386986301369859</v>
      </c>
      <c r="P133" s="50"/>
      <c r="Q133" s="57" t="str">
        <f t="shared" si="44"/>
        <v/>
      </c>
      <c r="R133" s="23" t="str">
        <f>IF(Комплектация!G122="",Комплектация!I122,IF(Комплектация!I122="",Комплектация!G122,IF(DATE(VALUE(RIGHT(Комплектация!G122,4)),VALUE(MID(Комплектация!G122,4,2)),VALUE(LEFT(Комплектация!G122,2)))&gt;=DATE(VALUE(RIGHT(Комплектация!I122,4)),VALUE(MID(Комплектация!I122,4,2)),VALUE(LEFT(Комплектация!I122,2))),Комплектация!G122,Комплектация!I122)))</f>
        <v>22.03.2025</v>
      </c>
      <c r="S133" s="23" t="str">
        <f>Комплектация!L122</f>
        <v>22.03.2027</v>
      </c>
      <c r="T133" s="25">
        <f t="shared" si="45"/>
        <v>0.6269678302532512</v>
      </c>
      <c r="U133" s="27">
        <f t="shared" si="46"/>
        <v>68.630136986301366</v>
      </c>
      <c r="V133" s="27">
        <f>IF(U133="","",U133*Справочник!$B$7/100)</f>
        <v>6.8630136986301364</v>
      </c>
      <c r="W133" s="25">
        <f>J133-Справочник!$B$4</f>
        <v>60</v>
      </c>
      <c r="X133" s="29">
        <f>IF(MIN(Комплектация!AA122:'Комплектация'!AB122)-Справочник!$B$4&lt;Справочник!$B$3,1,0)+IF(MIN(Комплектация!AK122:'Комплектация'!AL122)-Справочник!$B$4&lt;Справочник!$B$3,1,0)+IF(MIN(Комплектация!AU122:'Комплектация'!AV122)-Справочник!$B$4&lt;Справочник!$B$3,1,0)+IF(MIN(Комплектация!BE122:'Комплектация'!BF122)-Справочник!$B$4&lt;Справочник!$B$3,1,0)</f>
        <v>0</v>
      </c>
      <c r="Y133" s="34">
        <f>Справочник!$B$8</f>
        <v>4650000</v>
      </c>
      <c r="Z133" s="34">
        <f t="shared" si="47"/>
        <v>3133494.8630136983</v>
      </c>
    </row>
    <row r="134" spans="1:26" x14ac:dyDescent="0.25">
      <c r="A134" s="45">
        <f>Комплектация!A123</f>
        <v>77228864</v>
      </c>
      <c r="B134" s="46" t="str">
        <f>Комплектация!C123</f>
        <v>15-150-04П</v>
      </c>
      <c r="C134" s="46">
        <f>Комплектация!E123</f>
        <v>2015</v>
      </c>
      <c r="D134" s="46">
        <f t="shared" si="36"/>
        <v>11</v>
      </c>
      <c r="E134" s="47">
        <f t="shared" si="37"/>
        <v>34.375</v>
      </c>
      <c r="F134" s="48" t="str">
        <f>TEXT(Комплектация!V123,"0")&amp;"/"&amp;TEXT(Комплектация!AF123,"0")&amp;"/"&amp;TEXT(Комплектация!AP123,"0")&amp;"/"&amp;TEXT(Комплектация!AZ123,"0")</f>
        <v>2015/2015/2015/2015</v>
      </c>
      <c r="G134" s="49">
        <f>AVERAGE(Комплектация!V123,Комплектация!AF123,Комплектация!AP123,Комплектация!AZ123)</f>
        <v>2015</v>
      </c>
      <c r="H134" s="49">
        <f t="shared" si="38"/>
        <v>11</v>
      </c>
      <c r="I134" s="49">
        <f>AVERAGE(Комплектация!AA123:'Комплектация'!AB123,Комплектация!AK123:'Комплектация'!AL123,Комплектация!AU123:'Комплектация'!AV123,Комплектация!BE123:'Комплектация'!BF123)</f>
        <v>39.75</v>
      </c>
      <c r="J134" s="49">
        <f>MIN(Комплектация!AA123:'Комплектация'!AB123,Комплектация!AK123:'Комплектация'!AL123,Комплектация!AU123:'Комплектация'!AV123,Комплектация!BE123:'Комплектация'!BF123)</f>
        <v>37</v>
      </c>
      <c r="K134" s="47">
        <f t="shared" si="39"/>
        <v>56.521739130434781</v>
      </c>
      <c r="L134" s="47">
        <f t="shared" si="40"/>
        <v>36.666666666666664</v>
      </c>
      <c r="M134" s="47">
        <f t="shared" si="41"/>
        <v>81</v>
      </c>
      <c r="N134" s="47">
        <f t="shared" si="42"/>
        <v>60.287864963503651</v>
      </c>
      <c r="O134" s="47">
        <f t="shared" si="43"/>
        <v>39.712135036496349</v>
      </c>
      <c r="P134" s="50"/>
      <c r="Q134" s="51" t="str">
        <f t="shared" si="44"/>
        <v/>
      </c>
      <c r="R134" s="22" t="str">
        <f>IF(Комплектация!G123="",Комплектация!I123,IF(Комплектация!I123="",Комплектация!G123,IF(DATE(VALUE(RIGHT(Комплектация!G123,4)),VALUE(MID(Комплектация!G123,4,2)),VALUE(LEFT(Комплектация!G123,2)))&gt;=DATE(VALUE(RIGHT(Комплектация!I123,4)),VALUE(MID(Комплектация!I123,4,2)),VALUE(LEFT(Комплектация!I123,2))),Комплектация!G123,Комплектация!I123)))</f>
        <v>24.10.2025</v>
      </c>
      <c r="S134" s="22" t="str">
        <f>Комплектация!L123</f>
        <v>24.10.2028</v>
      </c>
      <c r="T134" s="24">
        <f t="shared" si="45"/>
        <v>2.2203969883641341</v>
      </c>
      <c r="U134" s="26">
        <f t="shared" si="46"/>
        <v>26.003649635036496</v>
      </c>
      <c r="V134" s="26">
        <f>IF(U134="","",U134*Справочник!$B$7/100)</f>
        <v>2.6003649635036492</v>
      </c>
      <c r="W134" s="24">
        <f>J134-Справочник!$B$4</f>
        <v>22</v>
      </c>
      <c r="X134" s="28">
        <f>IF(MIN(Комплектация!AA123:'Комплектация'!AB123)-Справочник!$B$4&lt;Справочник!$B$3,1,0)+IF(MIN(Комплектация!AK123:'Комплектация'!AL123)-Справочник!$B$4&lt;Справочник!$B$3,1,0)+IF(MIN(Комплектация!AU123:'Комплектация'!AV123)-Справочник!$B$4&lt;Справочник!$B$3,1,0)+IF(MIN(Комплектация!BE123:'Комплектация'!BF123)-Справочник!$B$4&lt;Справочник!$B$3,1,0)</f>
        <v>4</v>
      </c>
      <c r="Y134" s="33">
        <f>Справочник!$B$8</f>
        <v>4650000</v>
      </c>
      <c r="Z134" s="33">
        <f t="shared" si="47"/>
        <v>1846614.2791970801</v>
      </c>
    </row>
    <row r="135" spans="1:26" x14ac:dyDescent="0.25">
      <c r="A135" s="52">
        <f>Комплектация!A124</f>
        <v>77223956</v>
      </c>
      <c r="B135" s="53" t="str">
        <f>Комплектация!C124</f>
        <v>15-150-04П</v>
      </c>
      <c r="C135" s="53">
        <f>Комплектация!E124</f>
        <v>2011</v>
      </c>
      <c r="D135" s="53">
        <f t="shared" si="36"/>
        <v>15</v>
      </c>
      <c r="E135" s="54">
        <f t="shared" si="37"/>
        <v>46.875</v>
      </c>
      <c r="F135" s="55" t="str">
        <f>TEXT(Комплектация!V124,"0")&amp;"/"&amp;TEXT(Комплектация!AF124,"0")&amp;"/"&amp;TEXT(Комплектация!AP124,"0")&amp;"/"&amp;TEXT(Комплектация!AZ124,"0")</f>
        <v>2011/2012/2011/2011</v>
      </c>
      <c r="G135" s="56">
        <f>AVERAGE(Комплектация!V124,Комплектация!AF124,Комплектация!AP124,Комплектация!AZ124)</f>
        <v>2011.25</v>
      </c>
      <c r="H135" s="56">
        <f t="shared" si="38"/>
        <v>14.75</v>
      </c>
      <c r="I135" s="56">
        <f>AVERAGE(Комплектация!AA124:'Комплектация'!AB124,Комплектация!AK124:'Комплектация'!AL124,Комплектация!AU124:'Комплектация'!AV124,Комплектация!BE124:'Комплектация'!BF124)</f>
        <v>74.25</v>
      </c>
      <c r="J135" s="56">
        <f>MIN(Комплектация!AA124:'Комплектация'!AB124,Комплектация!AK124:'Комплектация'!AL124,Комплектация!AU124:'Комплектация'!AV124,Комплектация!BE124:'Комплектация'!BF124)</f>
        <v>74</v>
      </c>
      <c r="K135" s="54">
        <f t="shared" si="39"/>
        <v>0</v>
      </c>
      <c r="L135" s="54">
        <f t="shared" si="40"/>
        <v>49.166666666666664</v>
      </c>
      <c r="M135" s="54">
        <f t="shared" si="41"/>
        <v>14.749999999999998</v>
      </c>
      <c r="N135" s="54">
        <f t="shared" si="42"/>
        <v>33.358120437956202</v>
      </c>
      <c r="O135" s="54">
        <f t="shared" si="43"/>
        <v>66.641879562043798</v>
      </c>
      <c r="P135" s="50"/>
      <c r="Q135" s="57" t="str">
        <f t="shared" si="44"/>
        <v/>
      </c>
      <c r="R135" s="23" t="str">
        <f>IF(Комплектация!G124="",Комплектация!I124,IF(Комплектация!I124="",Комплектация!G124,IF(DATE(VALUE(RIGHT(Комплектация!G124,4)),VALUE(MID(Комплектация!G124,4,2)),VALUE(LEFT(Комплектация!G124,2)))&gt;=DATE(VALUE(RIGHT(Комплектация!I124,4)),VALUE(MID(Комплектация!I124,4,2)),VALUE(LEFT(Комплектация!I124,2))),Комплектация!G124,Комплектация!I124)))</f>
        <v>30.10.2025</v>
      </c>
      <c r="S135" s="23" t="str">
        <f>Комплектация!L124</f>
        <v>30.10.2028</v>
      </c>
      <c r="T135" s="25">
        <f t="shared" si="45"/>
        <v>2.236824093086927</v>
      </c>
      <c r="U135" s="27">
        <f t="shared" si="46"/>
        <v>25.456204379562042</v>
      </c>
      <c r="V135" s="27">
        <f>IF(U135="","",U135*Справочник!$B$7/100)</f>
        <v>2.5456204379562042</v>
      </c>
      <c r="W135" s="25">
        <f>J135-Справочник!$B$4</f>
        <v>59</v>
      </c>
      <c r="X135" s="29">
        <f>IF(MIN(Комплектация!AA124:'Комплектация'!AB124)-Справочник!$B$4&lt;Справочник!$B$3,1,0)+IF(MIN(Комплектация!AK124:'Комплектация'!AL124)-Справочник!$B$4&lt;Справочник!$B$3,1,0)+IF(MIN(Комплектация!AU124:'Комплектация'!AV124)-Справочник!$B$4&lt;Справочник!$B$3,1,0)+IF(MIN(Комплектация!BE124:'Комплектация'!BF124)-Справочник!$B$4&lt;Справочник!$B$3,1,0)</f>
        <v>0</v>
      </c>
      <c r="Y135" s="34">
        <f>Справочник!$B$8</f>
        <v>4650000</v>
      </c>
      <c r="Z135" s="34">
        <f t="shared" si="47"/>
        <v>3098847.3996350365</v>
      </c>
    </row>
    <row r="136" spans="1:26" x14ac:dyDescent="0.25">
      <c r="A136" s="45">
        <f>Комплектация!A125</f>
        <v>77224434</v>
      </c>
      <c r="B136" s="46" t="str">
        <f>Комплектация!C125</f>
        <v>15-150-04П</v>
      </c>
      <c r="C136" s="46">
        <f>Комплектация!E125</f>
        <v>2011</v>
      </c>
      <c r="D136" s="46">
        <f t="shared" si="36"/>
        <v>15</v>
      </c>
      <c r="E136" s="47">
        <f t="shared" si="37"/>
        <v>46.875</v>
      </c>
      <c r="F136" s="48" t="str">
        <f>TEXT(Комплектация!V125,"0")&amp;"/"&amp;TEXT(Комплектация!AF125,"0")&amp;"/"&amp;TEXT(Комплектация!AP125,"0")&amp;"/"&amp;TEXT(Комплектация!AZ125,"0")</f>
        <v>2011/2011/2011/2012</v>
      </c>
      <c r="G136" s="49">
        <f>AVERAGE(Комплектация!V125,Комплектация!AF125,Комплектация!AP125,Комплектация!AZ125)</f>
        <v>2011.25</v>
      </c>
      <c r="H136" s="49">
        <f t="shared" si="38"/>
        <v>14.75</v>
      </c>
      <c r="I136" s="49">
        <f>AVERAGE(Комплектация!AA125:'Комплектация'!AB125,Комплектация!AK125:'Комплектация'!AL125,Комплектация!AU125:'Комплектация'!AV125,Комплектация!BE125:'Комплектация'!BF125)</f>
        <v>74</v>
      </c>
      <c r="J136" s="49">
        <f>MIN(Комплектация!AA125:'Комплектация'!AB125,Комплектация!AK125:'Комплектация'!AL125,Комплектация!AU125:'Комплектация'!AV125,Комплектация!BE125:'Комплектация'!BF125)</f>
        <v>74</v>
      </c>
      <c r="K136" s="47">
        <f t="shared" si="39"/>
        <v>0</v>
      </c>
      <c r="L136" s="47">
        <f t="shared" si="40"/>
        <v>49.166666666666664</v>
      </c>
      <c r="M136" s="47">
        <f t="shared" si="41"/>
        <v>14.749999999999998</v>
      </c>
      <c r="N136" s="47">
        <f t="shared" si="42"/>
        <v>33.358120437956202</v>
      </c>
      <c r="O136" s="47">
        <f t="shared" si="43"/>
        <v>66.641879562043798</v>
      </c>
      <c r="P136" s="50"/>
      <c r="Q136" s="51" t="str">
        <f t="shared" si="44"/>
        <v/>
      </c>
      <c r="R136" s="22" t="str">
        <f>IF(Комплектация!G125="",Комплектация!I125,IF(Комплектация!I125="",Комплектация!G125,IF(DATE(VALUE(RIGHT(Комплектация!G125,4)),VALUE(MID(Комплектация!G125,4,2)),VALUE(LEFT(Комплектация!G125,2)))&gt;=DATE(VALUE(RIGHT(Комплектация!I125,4)),VALUE(MID(Комплектация!I125,4,2)),VALUE(LEFT(Комплектация!I125,2))),Комплектация!G125,Комплектация!I125)))</f>
        <v>30.10.2025</v>
      </c>
      <c r="S136" s="22" t="str">
        <f>Комплектация!L125</f>
        <v>30.10.2028</v>
      </c>
      <c r="T136" s="24">
        <f t="shared" si="45"/>
        <v>2.236824093086927</v>
      </c>
      <c r="U136" s="26">
        <f t="shared" si="46"/>
        <v>25.456204379562042</v>
      </c>
      <c r="V136" s="26">
        <f>IF(U136="","",U136*Справочник!$B$7/100)</f>
        <v>2.5456204379562042</v>
      </c>
      <c r="W136" s="24">
        <f>J136-Справочник!$B$4</f>
        <v>59</v>
      </c>
      <c r="X136" s="28">
        <f>IF(MIN(Комплектация!AA125:'Комплектация'!AB125)-Справочник!$B$4&lt;Справочник!$B$3,1,0)+IF(MIN(Комплектация!AK125:'Комплектация'!AL125)-Справочник!$B$4&lt;Справочник!$B$3,1,0)+IF(MIN(Комплектация!AU125:'Комплектация'!AV125)-Справочник!$B$4&lt;Справочник!$B$3,1,0)+IF(MIN(Комплектация!BE125:'Комплектация'!BF125)-Справочник!$B$4&lt;Справочник!$B$3,1,0)</f>
        <v>0</v>
      </c>
      <c r="Y136" s="33">
        <f>Справочник!$B$8</f>
        <v>4650000</v>
      </c>
      <c r="Z136" s="33">
        <f t="shared" si="47"/>
        <v>3098847.3996350365</v>
      </c>
    </row>
    <row r="137" spans="1:26" x14ac:dyDescent="0.25">
      <c r="A137" s="52">
        <f>Комплектация!A126</f>
        <v>77206084</v>
      </c>
      <c r="B137" s="53" t="str">
        <f>Комплектация!C126</f>
        <v>15-1755П</v>
      </c>
      <c r="C137" s="53">
        <f>Комплектация!E126</f>
        <v>2013</v>
      </c>
      <c r="D137" s="53">
        <f t="shared" si="36"/>
        <v>13</v>
      </c>
      <c r="E137" s="54">
        <f t="shared" si="37"/>
        <v>40.625</v>
      </c>
      <c r="F137" s="55" t="str">
        <f>TEXT(Комплектация!V126,"0")&amp;"/"&amp;TEXT(Комплектация!AF126,"0")&amp;"/"&amp;TEXT(Комплектация!AP126,"0")&amp;"/"&amp;TEXT(Комплектация!AZ126,"0")</f>
        <v>2015/2012/2012/2015</v>
      </c>
      <c r="G137" s="56">
        <f>AVERAGE(Комплектация!V126,Комплектация!AF126,Комплектация!AP126,Комплектация!AZ126)</f>
        <v>2013.5</v>
      </c>
      <c r="H137" s="56">
        <f t="shared" si="38"/>
        <v>12.5</v>
      </c>
      <c r="I137" s="56">
        <f>AVERAGE(Комплектация!AA126:'Комплектация'!AB126,Комплектация!AK126:'Комплектация'!AL126,Комплектация!AU126:'Комплектация'!AV126,Комплектация!BE126:'Комплектация'!BF126)</f>
        <v>74</v>
      </c>
      <c r="J137" s="56">
        <f>MIN(Комплектация!AA126:'Комплектация'!AB126,Комплектация!AK126:'Комплектация'!AL126,Комплектация!AU126:'Комплектация'!AV126,Комплектация!BE126:'Комплектация'!BF126)</f>
        <v>74</v>
      </c>
      <c r="K137" s="54">
        <f t="shared" si="39"/>
        <v>0</v>
      </c>
      <c r="L137" s="54">
        <f t="shared" si="40"/>
        <v>41.666666666666671</v>
      </c>
      <c r="M137" s="54">
        <f t="shared" si="41"/>
        <v>12.500000000000002</v>
      </c>
      <c r="N137" s="54">
        <f t="shared" si="42"/>
        <v>30.466609589041095</v>
      </c>
      <c r="O137" s="54">
        <f t="shared" si="43"/>
        <v>69.533390410958901</v>
      </c>
      <c r="P137" s="50"/>
      <c r="Q137" s="57" t="str">
        <f t="shared" si="44"/>
        <v/>
      </c>
      <c r="R137" s="23" t="str">
        <f>IF(Комплектация!G126="",Комплектация!I126,IF(Комплектация!I126="",Комплектация!G126,IF(DATE(VALUE(RIGHT(Комплектация!G126,4)),VALUE(MID(Комплектация!G126,4,2)),VALUE(LEFT(Комплектация!G126,2)))&gt;=DATE(VALUE(RIGHT(Комплектация!I126,4)),VALUE(MID(Комплектация!I126,4,2)),VALUE(LEFT(Комплектация!I126,2))),Комплектация!G126,Комплектация!I126)))</f>
        <v>24.10.2025</v>
      </c>
      <c r="S137" s="23" t="str">
        <f>Комплектация!L126</f>
        <v>24.10.2027</v>
      </c>
      <c r="T137" s="25">
        <f t="shared" si="45"/>
        <v>1.2183436002737851</v>
      </c>
      <c r="U137" s="27">
        <f t="shared" si="46"/>
        <v>39.041095890410958</v>
      </c>
      <c r="V137" s="27">
        <f>IF(U137="","",U137*Справочник!$B$7/100)</f>
        <v>3.904109589041096</v>
      </c>
      <c r="W137" s="25">
        <f>J137-Справочник!$B$4</f>
        <v>59</v>
      </c>
      <c r="X137" s="29">
        <f>IF(MIN(Комплектация!AA126:'Комплектация'!AB126)-Справочник!$B$4&lt;Справочник!$B$3,1,0)+IF(MIN(Комплектация!AK126:'Комплектация'!AL126)-Справочник!$B$4&lt;Справочник!$B$3,1,0)+IF(MIN(Комплектация!AU126:'Комплектация'!AV126)-Справочник!$B$4&lt;Справочник!$B$3,1,0)+IF(MIN(Комплектация!BE126:'Комплектация'!BF126)-Справочник!$B$4&lt;Справочник!$B$3,1,0)</f>
        <v>0</v>
      </c>
      <c r="Y137" s="34">
        <f>Справочник!$B$8</f>
        <v>4650000</v>
      </c>
      <c r="Z137" s="34">
        <f t="shared" si="47"/>
        <v>3233302.6541095888</v>
      </c>
    </row>
    <row r="138" spans="1:26" x14ac:dyDescent="0.25">
      <c r="A138" s="45">
        <f>Комплектация!A127</f>
        <v>77223873</v>
      </c>
      <c r="B138" s="46" t="str">
        <f>Комплектация!C127</f>
        <v>15-150-04П</v>
      </c>
      <c r="C138" s="46">
        <f>Комплектация!E127</f>
        <v>2011</v>
      </c>
      <c r="D138" s="46">
        <f t="shared" si="36"/>
        <v>15</v>
      </c>
      <c r="E138" s="47">
        <f t="shared" si="37"/>
        <v>46.875</v>
      </c>
      <c r="F138" s="48" t="str">
        <f>TEXT(Комплектация!V127,"0")&amp;"/"&amp;TEXT(Комплектация!AF127,"0")&amp;"/"&amp;TEXT(Комплектация!AP127,"0")&amp;"/"&amp;TEXT(Комплектация!AZ127,"0")</f>
        <v>2010/2010/2002/2011</v>
      </c>
      <c r="G138" s="49">
        <f>AVERAGE(Комплектация!V127,Комплектация!AF127,Комплектация!AP127,Комплектация!AZ127)</f>
        <v>2008.25</v>
      </c>
      <c r="H138" s="49">
        <f t="shared" si="38"/>
        <v>17.75</v>
      </c>
      <c r="I138" s="49">
        <f>AVERAGE(Комплектация!AA127:'Комплектация'!AB127,Комплектация!AK127:'Комплектация'!AL127,Комплектация!AU127:'Комплектация'!AV127,Комплектация!BE127:'Комплектация'!BF127)</f>
        <v>54.5</v>
      </c>
      <c r="J138" s="49">
        <f>MIN(Комплектация!AA127:'Комплектация'!AB127,Комплектация!AK127:'Комплектация'!AL127,Комплектация!AU127:'Комплектация'!AV127,Комплектация!BE127:'Комплектация'!BF127)</f>
        <v>52</v>
      </c>
      <c r="K138" s="47">
        <f t="shared" si="39"/>
        <v>0</v>
      </c>
      <c r="L138" s="47">
        <f t="shared" si="40"/>
        <v>59.166666666666664</v>
      </c>
      <c r="M138" s="47">
        <f t="shared" si="41"/>
        <v>17.75</v>
      </c>
      <c r="N138" s="47">
        <f t="shared" si="42"/>
        <v>33.197536496350367</v>
      </c>
      <c r="O138" s="47">
        <f t="shared" si="43"/>
        <v>66.802463503649633</v>
      </c>
      <c r="P138" s="50"/>
      <c r="Q138" s="51" t="str">
        <f t="shared" si="44"/>
        <v/>
      </c>
      <c r="R138" s="22" t="str">
        <f>IF(Комплектация!G127="",Комплектация!I127,IF(Комплектация!I127="",Комплектация!G127,IF(DATE(VALUE(RIGHT(Комплектация!G127,4)),VALUE(MID(Комплектация!G127,4,2)),VALUE(LEFT(Комплектация!G127,2)))&gt;=DATE(VALUE(RIGHT(Комплектация!I127,4)),VALUE(MID(Комплектация!I127,4,2)),VALUE(LEFT(Комплектация!I127,2))),Комплектация!G127,Комплектация!I127)))</f>
        <v>30.04.2026</v>
      </c>
      <c r="S138" s="22" t="str">
        <f>Комплектация!L127</f>
        <v>30.04.2029</v>
      </c>
      <c r="T138" s="24">
        <f t="shared" si="45"/>
        <v>2.7351129363449691</v>
      </c>
      <c r="U138" s="26">
        <f t="shared" si="46"/>
        <v>8.8503649635036492</v>
      </c>
      <c r="V138" s="26">
        <f>IF(U138="","",U138*Справочник!$B$7/100)</f>
        <v>0.88503649635036497</v>
      </c>
      <c r="W138" s="24">
        <f>J138-Справочник!$B$4</f>
        <v>37</v>
      </c>
      <c r="X138" s="28">
        <f>IF(MIN(Комплектация!AA127:'Комплектация'!AB127)-Справочник!$B$4&lt;Справочник!$B$3,1,0)+IF(MIN(Комплектация!AK127:'Комплектация'!AL127)-Справочник!$B$4&lt;Справочник!$B$3,1,0)+IF(MIN(Комплектация!AU127:'Комплектация'!AV127)-Справочник!$B$4&lt;Справочник!$B$3,1,0)+IF(MIN(Комплектация!BE127:'Комплектация'!BF127)-Справочник!$B$4&lt;Справочник!$B$3,1,0)</f>
        <v>0</v>
      </c>
      <c r="Y138" s="33">
        <f>Справочник!$B$8</f>
        <v>4650000</v>
      </c>
      <c r="Z138" s="33">
        <f t="shared" si="47"/>
        <v>3106314.5529197077</v>
      </c>
    </row>
    <row r="139" spans="1:26" x14ac:dyDescent="0.25">
      <c r="A139" s="52">
        <f>Комплектация!A128</f>
        <v>77223915</v>
      </c>
      <c r="B139" s="53" t="str">
        <f>Комплектация!C128</f>
        <v>15-150-04П</v>
      </c>
      <c r="C139" s="53">
        <f>Комплектация!E128</f>
        <v>2011</v>
      </c>
      <c r="D139" s="53">
        <f t="shared" si="36"/>
        <v>15</v>
      </c>
      <c r="E139" s="54">
        <f t="shared" si="37"/>
        <v>46.875</v>
      </c>
      <c r="F139" s="55" t="str">
        <f>TEXT(Комплектация!V128,"0")&amp;"/"&amp;TEXT(Комплектация!AF128,"0")&amp;"/"&amp;TEXT(Комплектация!AP128,"0")&amp;"/"&amp;TEXT(Комплектация!AZ128,"0")</f>
        <v>2011/2024/2024/2024</v>
      </c>
      <c r="G139" s="56">
        <f>AVERAGE(Комплектация!V128,Комплектация!AF128,Комплектация!AP128,Комплектация!AZ128)</f>
        <v>2020.75</v>
      </c>
      <c r="H139" s="56">
        <f t="shared" si="38"/>
        <v>5.25</v>
      </c>
      <c r="I139" s="56">
        <f>AVERAGE(Комплектация!AA128:'Комплектация'!AB128,Комплектация!AK128:'Комплектация'!AL128,Комплектация!AU128:'Комплектация'!AV128,Комплектация!BE128:'Комплектация'!BF128)</f>
        <v>74</v>
      </c>
      <c r="J139" s="56">
        <f>MIN(Комплектация!AA128:'Комплектация'!AB128,Комплектация!AK128:'Комплектация'!AL128,Комплектация!AU128:'Комплектация'!AV128,Комплектация!BE128:'Комплектация'!BF128)</f>
        <v>74</v>
      </c>
      <c r="K139" s="54">
        <f t="shared" si="39"/>
        <v>0</v>
      </c>
      <c r="L139" s="54">
        <f t="shared" si="40"/>
        <v>17.5</v>
      </c>
      <c r="M139" s="54">
        <f t="shared" si="41"/>
        <v>5.25</v>
      </c>
      <c r="N139" s="54">
        <f t="shared" si="42"/>
        <v>26.728558394160583</v>
      </c>
      <c r="O139" s="54">
        <f t="shared" si="43"/>
        <v>73.271441605839414</v>
      </c>
      <c r="P139" s="50"/>
      <c r="Q139" s="57" t="str">
        <f t="shared" si="44"/>
        <v/>
      </c>
      <c r="R139" s="23" t="str">
        <f>IF(Комплектация!G128="",Комплектация!I128,IF(Комплектация!I128="",Комплектация!G128,IF(DATE(VALUE(RIGHT(Комплектация!G128,4)),VALUE(MID(Комплектация!G128,4,2)),VALUE(LEFT(Комплектация!G128,2)))&gt;=DATE(VALUE(RIGHT(Комплектация!I128,4)),VALUE(MID(Комплектация!I128,4,2)),VALUE(LEFT(Комплектация!I128,2))),Комплектация!G128,Комплектация!I128)))</f>
        <v>24.05.2026</v>
      </c>
      <c r="S139" s="23" t="str">
        <f>Комплектация!L128</f>
        <v>24.05.2029</v>
      </c>
      <c r="T139" s="25">
        <f t="shared" si="45"/>
        <v>2.8008213552361396</v>
      </c>
      <c r="U139" s="27">
        <f t="shared" si="46"/>
        <v>6.6605839416058394</v>
      </c>
      <c r="V139" s="27">
        <f>IF(U139="","",U139*Справочник!$B$7/100)</f>
        <v>0.66605839416058388</v>
      </c>
      <c r="W139" s="25">
        <f>J139-Справочник!$B$4</f>
        <v>59</v>
      </c>
      <c r="X139" s="29">
        <f>IF(MIN(Комплектация!AA128:'Комплектация'!AB128)-Справочник!$B$4&lt;Справочник!$B$3,1,0)+IF(MIN(Комплектация!AK128:'Комплектация'!AL128)-Справочник!$B$4&lt;Справочник!$B$3,1,0)+IF(MIN(Комплектация!AU128:'Комплектация'!AV128)-Справочник!$B$4&lt;Справочник!$B$3,1,0)+IF(MIN(Комплектация!BE128:'Комплектация'!BF128)-Справочник!$B$4&lt;Справочник!$B$3,1,0)</f>
        <v>0</v>
      </c>
      <c r="Y139" s="34">
        <f>Справочник!$B$8</f>
        <v>4650000</v>
      </c>
      <c r="Z139" s="34">
        <f t="shared" si="47"/>
        <v>3407122.0346715325</v>
      </c>
    </row>
    <row r="140" spans="1:26" x14ac:dyDescent="0.25">
      <c r="A140" s="45">
        <f>Комплектация!A129</f>
        <v>77223808</v>
      </c>
      <c r="B140" s="46" t="str">
        <f>Комплектация!C129</f>
        <v>15-150-04П</v>
      </c>
      <c r="C140" s="46">
        <f>Комплектация!E129</f>
        <v>2011</v>
      </c>
      <c r="D140" s="46">
        <f t="shared" si="36"/>
        <v>15</v>
      </c>
      <c r="E140" s="47">
        <f t="shared" si="37"/>
        <v>46.875</v>
      </c>
      <c r="F140" s="48" t="str">
        <f>TEXT(Комплектация!V129,"0")&amp;"/"&amp;TEXT(Комплектация!AF129,"0")&amp;"/"&amp;TEXT(Комплектация!AP129,"0")&amp;"/"&amp;TEXT(Комплектация!AZ129,"0")</f>
        <v>2011/2011/2013/2011</v>
      </c>
      <c r="G140" s="49">
        <f>AVERAGE(Комплектация!V129,Комплектация!AF129,Комплектация!AP129,Комплектация!AZ129)</f>
        <v>2011.5</v>
      </c>
      <c r="H140" s="49">
        <f t="shared" si="38"/>
        <v>14.5</v>
      </c>
      <c r="I140" s="49">
        <f>AVERAGE(Комплектация!AA129:'Комплектация'!AB129,Комплектация!AK129:'Комплектация'!AL129,Комплектация!AU129:'Комплектация'!AV129,Комплектация!BE129:'Комплектация'!BF129)</f>
        <v>73.5</v>
      </c>
      <c r="J140" s="49">
        <f>MIN(Комплектация!AA129:'Комплектация'!AB129,Комплектация!AK129:'Комплектация'!AL129,Комплектация!AU129:'Комплектация'!AV129,Комплектация!BE129:'Комплектация'!BF129)</f>
        <v>72</v>
      </c>
      <c r="K140" s="47">
        <f t="shared" si="39"/>
        <v>0</v>
      </c>
      <c r="L140" s="47">
        <f t="shared" si="40"/>
        <v>48.333333333333336</v>
      </c>
      <c r="M140" s="47">
        <f t="shared" si="41"/>
        <v>14.5</v>
      </c>
      <c r="N140" s="47">
        <f t="shared" si="42"/>
        <v>31.590784671532848</v>
      </c>
      <c r="O140" s="47">
        <f t="shared" si="43"/>
        <v>68.409215328467155</v>
      </c>
      <c r="P140" s="50"/>
      <c r="Q140" s="51" t="str">
        <f t="shared" si="44"/>
        <v/>
      </c>
      <c r="R140" s="22" t="str">
        <f>IF(Комплектация!G129="",Комплектация!I129,IF(Комплектация!I129="",Комплектация!G129,IF(DATE(VALUE(RIGHT(Комплектация!G129,4)),VALUE(MID(Комплектация!G129,4,2)),VALUE(LEFT(Комплектация!G129,2)))&gt;=DATE(VALUE(RIGHT(Комплектация!I129,4)),VALUE(MID(Комплектация!I129,4,2)),VALUE(LEFT(Комплектация!I129,2))),Комплектация!G129,Комплектация!I129)))</f>
        <v>28.04.2026</v>
      </c>
      <c r="S140" s="22" t="str">
        <f>Комплектация!L129</f>
        <v>28.04.2029</v>
      </c>
      <c r="T140" s="24">
        <f t="shared" si="45"/>
        <v>2.729637234770705</v>
      </c>
      <c r="U140" s="26">
        <f t="shared" si="46"/>
        <v>9.0328467153284677</v>
      </c>
      <c r="V140" s="26">
        <f>IF(U140="","",U140*Справочник!$B$7/100)</f>
        <v>0.90328467153284675</v>
      </c>
      <c r="W140" s="24">
        <f>J140-Справочник!$B$4</f>
        <v>57</v>
      </c>
      <c r="X140" s="28">
        <f>IF(MIN(Комплектация!AA129:'Комплектация'!AB129)-Справочник!$B$4&lt;Справочник!$B$3,1,0)+IF(MIN(Комплектация!AK129:'Комплектация'!AL129)-Справочник!$B$4&lt;Справочник!$B$3,1,0)+IF(MIN(Комплектация!AU129:'Комплектация'!AV129)-Справочник!$B$4&lt;Справочник!$B$3,1,0)+IF(MIN(Комплектация!BE129:'Комплектация'!BF129)-Справочник!$B$4&lt;Справочник!$B$3,1,0)</f>
        <v>0</v>
      </c>
      <c r="Y140" s="33">
        <f>Справочник!$B$8</f>
        <v>4650000</v>
      </c>
      <c r="Z140" s="33">
        <f t="shared" si="47"/>
        <v>3181028.5127737229</v>
      </c>
    </row>
    <row r="141" spans="1:26" x14ac:dyDescent="0.25">
      <c r="A141" s="52">
        <f>Комплектация!A130</f>
        <v>77223840</v>
      </c>
      <c r="B141" s="53" t="str">
        <f>Комплектация!C130</f>
        <v>15-5103-7П</v>
      </c>
      <c r="C141" s="53">
        <f>Комплектация!E130</f>
        <v>2011</v>
      </c>
      <c r="D141" s="53">
        <f t="shared" si="36"/>
        <v>15</v>
      </c>
      <c r="E141" s="54">
        <f t="shared" si="37"/>
        <v>46.875</v>
      </c>
      <c r="F141" s="55" t="str">
        <f>TEXT(Комплектация!V130,"0")&amp;"/"&amp;TEXT(Комплектация!AF130,"0")&amp;"/"&amp;TEXT(Комплектация!AP130,"0")&amp;"/"&amp;TEXT(Комплектация!AZ130,"0")</f>
        <v>2011/2013/2011/2011</v>
      </c>
      <c r="G141" s="56">
        <f>AVERAGE(Комплектация!V130,Комплектация!AF130,Комплектация!AP130,Комплектация!AZ130)</f>
        <v>2011.5</v>
      </c>
      <c r="H141" s="56">
        <f t="shared" si="38"/>
        <v>14.5</v>
      </c>
      <c r="I141" s="56">
        <f>AVERAGE(Комплектация!AA130:'Комплектация'!AB130,Комплектация!AK130:'Комплектация'!AL130,Комплектация!AU130:'Комплектация'!AV130,Комплектация!BE130:'Комплектация'!BF130)</f>
        <v>65</v>
      </c>
      <c r="J141" s="56">
        <f>MIN(Комплектация!AA130:'Комплектация'!AB130,Комплектация!AK130:'Комплектация'!AL130,Комплектация!AU130:'Комплектация'!AV130,Комплектация!BE130:'Комплектация'!BF130)</f>
        <v>63</v>
      </c>
      <c r="K141" s="54">
        <f t="shared" si="39"/>
        <v>0</v>
      </c>
      <c r="L141" s="54">
        <f t="shared" si="40"/>
        <v>48.333333333333336</v>
      </c>
      <c r="M141" s="54">
        <f t="shared" si="41"/>
        <v>14.5</v>
      </c>
      <c r="N141" s="54">
        <f t="shared" si="42"/>
        <v>31.581660583941606</v>
      </c>
      <c r="O141" s="54">
        <f t="shared" si="43"/>
        <v>68.418339416058387</v>
      </c>
      <c r="P141" s="50"/>
      <c r="Q141" s="57" t="str">
        <f t="shared" si="44"/>
        <v/>
      </c>
      <c r="R141" s="23" t="str">
        <f>IF(Комплектация!G130="",Комплектация!I130,IF(Комплектация!I130="",Комплектация!G130,IF(DATE(VALUE(RIGHT(Комплектация!G130,4)),VALUE(MID(Комплектация!G130,4,2)),VALUE(LEFT(Комплектация!G130,2)))&gt;=DATE(VALUE(RIGHT(Комплектация!I130,4)),VALUE(MID(Комплектация!I130,4,2)),VALUE(LEFT(Комплектация!I130,2))),Комплектация!G130,Комплектация!I130)))</f>
        <v>29.04.2026</v>
      </c>
      <c r="S141" s="23" t="str">
        <f>Комплектация!L130</f>
        <v>29.04.2029</v>
      </c>
      <c r="T141" s="25">
        <f t="shared" si="45"/>
        <v>2.732375085557837</v>
      </c>
      <c r="U141" s="27">
        <f t="shared" si="46"/>
        <v>8.9416058394160594</v>
      </c>
      <c r="V141" s="27">
        <f>IF(U141="","",U141*Справочник!$B$7/100)</f>
        <v>0.89416058394160591</v>
      </c>
      <c r="W141" s="25">
        <f>J141-Справочник!$B$4</f>
        <v>48</v>
      </c>
      <c r="X141" s="29">
        <f>IF(MIN(Комплектация!AA130:'Комплектация'!AB130)-Справочник!$B$4&lt;Справочник!$B$3,1,0)+IF(MIN(Комплектация!AK130:'Комплектация'!AL130)-Справочник!$B$4&lt;Справочник!$B$3,1,0)+IF(MIN(Комплектация!AU130:'Комплектация'!AV130)-Справочник!$B$4&lt;Справочник!$B$3,1,0)+IF(MIN(Комплектация!BE130:'Комплектация'!BF130)-Справочник!$B$4&lt;Справочник!$B$3,1,0)</f>
        <v>0</v>
      </c>
      <c r="Y141" s="34">
        <f>Справочник!$B$8</f>
        <v>4650000</v>
      </c>
      <c r="Z141" s="34">
        <f t="shared" si="47"/>
        <v>3181452.7828467148</v>
      </c>
    </row>
    <row r="142" spans="1:26" x14ac:dyDescent="0.25">
      <c r="A142" s="45">
        <f>Комплектация!A131</f>
        <v>77223857</v>
      </c>
      <c r="B142" s="46" t="str">
        <f>Комплектация!C131</f>
        <v>15-150-04П</v>
      </c>
      <c r="C142" s="46">
        <f>Комплектация!E131</f>
        <v>2011</v>
      </c>
      <c r="D142" s="46">
        <f t="shared" si="36"/>
        <v>15</v>
      </c>
      <c r="E142" s="47">
        <f t="shared" si="37"/>
        <v>46.875</v>
      </c>
      <c r="F142" s="48" t="str">
        <f>TEXT(Комплектация!V131,"0")&amp;"/"&amp;TEXT(Комплектация!AF131,"0")&amp;"/"&amp;TEXT(Комплектация!AP131,"0")&amp;"/"&amp;TEXT(Комплектация!AZ131,"0")</f>
        <v>2012/2011/2013/2012</v>
      </c>
      <c r="G142" s="49">
        <f>AVERAGE(Комплектация!V131,Комплектация!AF131,Комплектация!AP131,Комплектация!AZ131)</f>
        <v>2012</v>
      </c>
      <c r="H142" s="49">
        <f t="shared" si="38"/>
        <v>14</v>
      </c>
      <c r="I142" s="49">
        <f>AVERAGE(Комплектация!AA131:'Комплектация'!AB131,Комплектация!AK131:'Комплектация'!AL131,Комплектация!AU131:'Комплектация'!AV131,Комплектация!BE131:'Комплектация'!BF131)</f>
        <v>74</v>
      </c>
      <c r="J142" s="49">
        <f>MIN(Комплектация!AA131:'Комплектация'!AB131,Комплектация!AK131:'Комплектация'!AL131,Комплектация!AU131:'Комплектация'!AV131,Комплектация!BE131:'Комплектация'!BF131)</f>
        <v>74</v>
      </c>
      <c r="K142" s="47">
        <f t="shared" si="39"/>
        <v>0</v>
      </c>
      <c r="L142" s="47">
        <f t="shared" si="40"/>
        <v>46.666666666666664</v>
      </c>
      <c r="M142" s="47">
        <f t="shared" si="41"/>
        <v>13.999999999999998</v>
      </c>
      <c r="N142" s="47">
        <f t="shared" si="42"/>
        <v>32.983120437956202</v>
      </c>
      <c r="O142" s="47">
        <f t="shared" si="43"/>
        <v>67.016879562043798</v>
      </c>
      <c r="P142" s="50"/>
      <c r="Q142" s="51" t="str">
        <f t="shared" si="44"/>
        <v/>
      </c>
      <c r="R142" s="22" t="str">
        <f>IF(Комплектация!G131="",Комплектация!I131,IF(Комплектация!I131="",Комплектация!G131,IF(DATE(VALUE(RIGHT(Комплектация!G131,4)),VALUE(MID(Комплектация!G131,4,2)),VALUE(LEFT(Комплектация!G131,2)))&gt;=DATE(VALUE(RIGHT(Комплектация!I131,4)),VALUE(MID(Комплектация!I131,4,2)),VALUE(LEFT(Комплектация!I131,2))),Комплектация!G131,Комплектация!I131)))</f>
        <v>30.10.2025</v>
      </c>
      <c r="S142" s="22" t="str">
        <f>Комплектация!L131</f>
        <v>30.10.2028</v>
      </c>
      <c r="T142" s="24">
        <f t="shared" si="45"/>
        <v>2.236824093086927</v>
      </c>
      <c r="U142" s="26">
        <f t="shared" si="46"/>
        <v>25.456204379562042</v>
      </c>
      <c r="V142" s="26">
        <f>IF(U142="","",U142*Справочник!$B$7/100)</f>
        <v>2.5456204379562042</v>
      </c>
      <c r="W142" s="24">
        <f>J142-Справочник!$B$4</f>
        <v>59</v>
      </c>
      <c r="X142" s="28">
        <f>IF(MIN(Комплектация!AA131:'Комплектация'!AB131)-Справочник!$B$4&lt;Справочник!$B$3,1,0)+IF(MIN(Комплектация!AK131:'Комплектация'!AL131)-Справочник!$B$4&lt;Справочник!$B$3,1,0)+IF(MIN(Комплектация!AU131:'Комплектация'!AV131)-Справочник!$B$4&lt;Справочник!$B$3,1,0)+IF(MIN(Комплектация!BE131:'Комплектация'!BF131)-Справочник!$B$4&lt;Справочник!$B$3,1,0)</f>
        <v>0</v>
      </c>
      <c r="Y142" s="33">
        <f>Справочник!$B$8</f>
        <v>4650000</v>
      </c>
      <c r="Z142" s="33">
        <f t="shared" si="47"/>
        <v>3116284.8996350365</v>
      </c>
    </row>
    <row r="143" spans="1:26" x14ac:dyDescent="0.25">
      <c r="A143" s="52">
        <f>Комплектация!A132</f>
        <v>77224509</v>
      </c>
      <c r="B143" s="53" t="str">
        <f>Комплектация!C132</f>
        <v>15-5103-7П</v>
      </c>
      <c r="C143" s="53">
        <f>Комплектация!E132</f>
        <v>2011</v>
      </c>
      <c r="D143" s="53">
        <f t="shared" si="36"/>
        <v>15</v>
      </c>
      <c r="E143" s="54">
        <f t="shared" si="37"/>
        <v>46.875</v>
      </c>
      <c r="F143" s="55" t="str">
        <f>TEXT(Комплектация!V132,"0")&amp;"/"&amp;TEXT(Комплектация!AF132,"0")&amp;"/"&amp;TEXT(Комплектация!AP132,"0")&amp;"/"&amp;TEXT(Комплектация!AZ132,"0")</f>
        <v>2014/2013/2012/2012</v>
      </c>
      <c r="G143" s="56">
        <f>AVERAGE(Комплектация!V132,Комплектация!AF132,Комплектация!AP132,Комплектация!AZ132)</f>
        <v>2012.75</v>
      </c>
      <c r="H143" s="56">
        <f t="shared" si="38"/>
        <v>13.25</v>
      </c>
      <c r="I143" s="56">
        <f>AVERAGE(Комплектация!AA132:'Комплектация'!AB132,Комплектация!AK132:'Комплектация'!AL132,Комплектация!AU132:'Комплектация'!AV132,Комплектация!BE132:'Комплектация'!BF132)</f>
        <v>75</v>
      </c>
      <c r="J143" s="56">
        <f>MIN(Комплектация!AA132:'Комплектация'!AB132,Комплектация!AK132:'Комплектация'!AL132,Комплектация!AU132:'Комплектация'!AV132,Комплектация!BE132:'Комплектация'!BF132)</f>
        <v>75</v>
      </c>
      <c r="K143" s="54">
        <f t="shared" si="39"/>
        <v>0</v>
      </c>
      <c r="L143" s="54">
        <f t="shared" si="40"/>
        <v>44.166666666666664</v>
      </c>
      <c r="M143" s="54">
        <f t="shared" si="41"/>
        <v>13.249999999999998</v>
      </c>
      <c r="N143" s="54">
        <f t="shared" si="42"/>
        <v>33.228558394160586</v>
      </c>
      <c r="O143" s="54">
        <f t="shared" si="43"/>
        <v>66.771441605839414</v>
      </c>
      <c r="P143" s="50"/>
      <c r="Q143" s="57" t="str">
        <f t="shared" si="44"/>
        <v/>
      </c>
      <c r="R143" s="23" t="str">
        <f>IF(Комплектация!G132="",Комплектация!I132,IF(Комплектация!I132="",Комплектация!G132,IF(DATE(VALUE(RIGHT(Комплектация!G132,4)),VALUE(MID(Комплектация!G132,4,2)),VALUE(LEFT(Комплектация!G132,2)))&gt;=DATE(VALUE(RIGHT(Комплектация!I132,4)),VALUE(MID(Комплектация!I132,4,2)),VALUE(LEFT(Комплектация!I132,2))),Комплектация!G132,Комплектация!I132)))</f>
        <v>23.08.2025</v>
      </c>
      <c r="S143" s="23" t="str">
        <f>Комплектация!L132</f>
        <v>23.08.2028</v>
      </c>
      <c r="T143" s="25">
        <f t="shared" si="45"/>
        <v>2.0506502395619437</v>
      </c>
      <c r="U143" s="27">
        <f t="shared" si="46"/>
        <v>31.660583941605839</v>
      </c>
      <c r="V143" s="27">
        <f>IF(U143="","",U143*Справочник!$B$7/100)</f>
        <v>3.1660583941605842</v>
      </c>
      <c r="W143" s="25">
        <f>J143-Справочник!$B$4</f>
        <v>60</v>
      </c>
      <c r="X143" s="29">
        <f>IF(MIN(Комплектация!AA132:'Комплектация'!AB132)-Справочник!$B$4&lt;Справочник!$B$3,1,0)+IF(MIN(Комплектация!AK132:'Комплектация'!AL132)-Справочник!$B$4&lt;Справочник!$B$3,1,0)+IF(MIN(Комплектация!AU132:'Комплектация'!AV132)-Справочник!$B$4&lt;Справочник!$B$3,1,0)+IF(MIN(Комплектация!BE132:'Комплектация'!BF132)-Справочник!$B$4&lt;Справочник!$B$3,1,0)</f>
        <v>0</v>
      </c>
      <c r="Y143" s="34">
        <f>Справочник!$B$8</f>
        <v>4650000</v>
      </c>
      <c r="Z143" s="34">
        <f t="shared" si="47"/>
        <v>3104872.0346715325</v>
      </c>
    </row>
    <row r="144" spans="1:26" x14ac:dyDescent="0.25">
      <c r="A144" s="45">
        <f>Комплектация!A133</f>
        <v>77223931</v>
      </c>
      <c r="B144" s="46" t="str">
        <f>Комплектация!C133</f>
        <v>15-150-04П</v>
      </c>
      <c r="C144" s="46">
        <f>Комплектация!E133</f>
        <v>2011</v>
      </c>
      <c r="D144" s="46">
        <f t="shared" ref="D144:D175" si="48">MAX(0,YEAR($B$5)-C144)</f>
        <v>15</v>
      </c>
      <c r="E144" s="47">
        <f t="shared" ref="E144:E175" si="49">MIN(100,D144/$B$6*100)</f>
        <v>46.875</v>
      </c>
      <c r="F144" s="48" t="str">
        <f>TEXT(Комплектация!V133,"0")&amp;"/"&amp;TEXT(Комплектация!AF133,"0")&amp;"/"&amp;TEXT(Комплектация!AP133,"0")&amp;"/"&amp;TEXT(Комплектация!AZ133,"0")</f>
        <v>2005/2011/2014/2011</v>
      </c>
      <c r="G144" s="49">
        <f>AVERAGE(Комплектация!V133,Комплектация!AF133,Комплектация!AP133,Комплектация!AZ133)</f>
        <v>2010.25</v>
      </c>
      <c r="H144" s="49">
        <f t="shared" ref="H144:H175" si="50">MAX(0,YEAR($B$5)-G144)</f>
        <v>15.75</v>
      </c>
      <c r="I144" s="49">
        <f>AVERAGE(Комплектация!AA133:'Комплектация'!AB133,Комплектация!AK133:'Комплектация'!AL133,Комплектация!AU133:'Комплектация'!AV133,Комплектация!BE133:'Комплектация'!BF133)</f>
        <v>65</v>
      </c>
      <c r="J144" s="49">
        <f>MIN(Комплектация!AA133:'Комплектация'!AB133,Комплектация!AK133:'Комплектация'!AL133,Комплектация!AU133:'Комплектация'!AV133,Комплектация!BE133:'Комплектация'!BF133)</f>
        <v>62</v>
      </c>
      <c r="K144" s="47">
        <f t="shared" ref="K144:K175" si="51">MAX(0,MIN(100,($B$7-J144)/($B$7-$B$8)*100))</f>
        <v>0</v>
      </c>
      <c r="L144" s="47">
        <f t="shared" ref="L144:L175" si="52">MAX(0,MIN(100,H144/$B$9*100))</f>
        <v>52.5</v>
      </c>
      <c r="M144" s="47">
        <f t="shared" ref="M144:M175" si="53">MAX(K144,X144/4*100)*$B$10+L144*$B$11</f>
        <v>15.75</v>
      </c>
      <c r="N144" s="47">
        <f t="shared" ref="N144:N175" si="54">MIN(100,E144*$B$12+M144*$B$13+V144)</f>
        <v>33.867244525547449</v>
      </c>
      <c r="O144" s="47">
        <f t="shared" ref="O144:O175" si="55">100-N144</f>
        <v>66.132755474452551</v>
      </c>
      <c r="P144" s="50"/>
      <c r="Q144" s="51" t="str">
        <f t="shared" ref="Q144:Q175" si="56">IF(P144="","",P144*O144/100)</f>
        <v/>
      </c>
      <c r="R144" s="22" t="str">
        <f>IF(Комплектация!G133="",Комплектация!I133,IF(Комплектация!I133="",Комплектация!G133,IF(DATE(VALUE(RIGHT(Комплектация!G133,4)),VALUE(MID(Комплектация!G133,4,2)),VALUE(LEFT(Комплектация!G133,2)))&gt;=DATE(VALUE(RIGHT(Комплектация!I133,4)),VALUE(MID(Комплектация!I133,4,2)),VALUE(LEFT(Комплектация!I133,2))),Комплектация!G133,Комплектация!I133)))</f>
        <v>29.10.2025</v>
      </c>
      <c r="S144" s="22" t="str">
        <f>Комплектация!L133</f>
        <v>29.10.2028</v>
      </c>
      <c r="T144" s="24">
        <f t="shared" ref="T144:T175" si="57">IF(S144="","",MAX(0,(DATE(VALUE(RIGHT(S144,4)),VALUE(MID(S144,4,2)),VALUE(LEFT(S144,2)))-$B$5)/365.25))</f>
        <v>2.2340862422997945</v>
      </c>
      <c r="U144" s="26">
        <f t="shared" ref="U144:U175" si="58">IF(OR(R144="",S144=""),"",MAX(0,MIN(100,($B$5-DATE(VALUE(RIGHT(R144,4)),VALUE(MID(R144,4,2)),VALUE(LEFT(R144,2))))/(DATE(VALUE(RIGHT(S144,4)),VALUE(MID(S144,4,2)),VALUE(LEFT(S144,2)))-DATE(VALUE(RIGHT(R144,4)),VALUE(MID(R144,4,2)),VALUE(LEFT(R144,2))))*100)))</f>
        <v>25.547445255474454</v>
      </c>
      <c r="V144" s="26">
        <f>IF(U144="","",U144*Справочник!$B$7/100)</f>
        <v>2.5547445255474455</v>
      </c>
      <c r="W144" s="24">
        <f>J144-Справочник!$B$4</f>
        <v>47</v>
      </c>
      <c r="X144" s="28">
        <f>IF(MIN(Комплектация!AA133:'Комплектация'!AB133)-Справочник!$B$4&lt;Справочник!$B$3,1,0)+IF(MIN(Комплектация!AK133:'Комплектация'!AL133)-Справочник!$B$4&lt;Справочник!$B$3,1,0)+IF(MIN(Комплектация!AU133:'Комплектация'!AV133)-Справочник!$B$4&lt;Справочник!$B$3,1,0)+IF(MIN(Комплектация!BE133:'Комплектация'!BF133)-Справочник!$B$4&lt;Справочник!$B$3,1,0)</f>
        <v>0</v>
      </c>
      <c r="Y144" s="33">
        <f>Справочник!$B$8</f>
        <v>4650000</v>
      </c>
      <c r="Z144" s="33">
        <f t="shared" ref="Z144:Z175" si="59">Y144*O144/100</f>
        <v>3075173.1295620436</v>
      </c>
    </row>
    <row r="145" spans="1:26" x14ac:dyDescent="0.25">
      <c r="A145" s="52">
        <f>Комплектация!A134</f>
        <v>77221935</v>
      </c>
      <c r="B145" s="53" t="str">
        <f>Комплектация!C134</f>
        <v>15-150-04П</v>
      </c>
      <c r="C145" s="53">
        <f>Комплектация!E134</f>
        <v>2011</v>
      </c>
      <c r="D145" s="53">
        <f t="shared" si="48"/>
        <v>15</v>
      </c>
      <c r="E145" s="54">
        <f t="shared" si="49"/>
        <v>46.875</v>
      </c>
      <c r="F145" s="55" t="str">
        <f>TEXT(Комплектация!V134,"0")&amp;"/"&amp;TEXT(Комплектация!AF134,"0")&amp;"/"&amp;TEXT(Комплектация!AP134,"0")&amp;"/"&amp;TEXT(Комплектация!AZ134,"0")</f>
        <v>2010/2011/1987/1982</v>
      </c>
      <c r="G145" s="56">
        <f>AVERAGE(Комплектация!V134,Комплектация!AF134,Комплектация!AP134,Комплектация!AZ134)</f>
        <v>1997.5</v>
      </c>
      <c r="H145" s="56">
        <f t="shared" si="50"/>
        <v>28.5</v>
      </c>
      <c r="I145" s="56">
        <f>AVERAGE(Комплектация!AA134:'Комплектация'!AB134,Комплектация!AK134:'Комплектация'!AL134,Комплектация!AU134:'Комплектация'!AV134,Комплектация!BE134:'Комплектация'!BF134)</f>
        <v>58.75</v>
      </c>
      <c r="J145" s="56">
        <f>MIN(Комплектация!AA134:'Комплектация'!AB134,Комплектация!AK134:'Комплектация'!AL134,Комплектация!AU134:'Комплектация'!AV134,Комплектация!BE134:'Комплектация'!BF134)</f>
        <v>56</v>
      </c>
      <c r="K145" s="54">
        <f t="shared" si="51"/>
        <v>0</v>
      </c>
      <c r="L145" s="54">
        <f t="shared" si="52"/>
        <v>95</v>
      </c>
      <c r="M145" s="54">
        <f t="shared" si="53"/>
        <v>28.5</v>
      </c>
      <c r="N145" s="54">
        <f t="shared" si="54"/>
        <v>39.010492700729927</v>
      </c>
      <c r="O145" s="54">
        <f t="shared" si="55"/>
        <v>60.989507299270073</v>
      </c>
      <c r="P145" s="50"/>
      <c r="Q145" s="57" t="str">
        <f t="shared" si="56"/>
        <v/>
      </c>
      <c r="R145" s="23" t="str">
        <f>IF(Комплектация!G134="",Комплектация!I134,IF(Комплектация!I134="",Комплектация!G134,IF(DATE(VALUE(RIGHT(Комплектация!G134,4)),VALUE(MID(Комплектация!G134,4,2)),VALUE(LEFT(Комплектация!G134,2)))&gt;=DATE(VALUE(RIGHT(Комплектация!I134,4)),VALUE(MID(Комплектация!I134,4,2)),VALUE(LEFT(Комплектация!I134,2))),Комплектация!G134,Комплектация!I134)))</f>
        <v>13.03.2026</v>
      </c>
      <c r="S145" s="23" t="str">
        <f>Комплектация!L134</f>
        <v>13.03.2029</v>
      </c>
      <c r="T145" s="25">
        <f t="shared" si="57"/>
        <v>2.6036960985626285</v>
      </c>
      <c r="U145" s="27">
        <f t="shared" si="58"/>
        <v>13.229927007299269</v>
      </c>
      <c r="V145" s="27">
        <f>IF(U145="","",U145*Справочник!$B$7/100)</f>
        <v>1.3229927007299269</v>
      </c>
      <c r="W145" s="25">
        <f>J145-Справочник!$B$4</f>
        <v>41</v>
      </c>
      <c r="X145" s="29">
        <f>IF(MIN(Комплектация!AA134:'Комплектация'!AB134)-Справочник!$B$4&lt;Справочник!$B$3,1,0)+IF(MIN(Комплектация!AK134:'Комплектация'!AL134)-Справочник!$B$4&lt;Справочник!$B$3,1,0)+IF(MIN(Комплектация!AU134:'Комплектация'!AV134)-Справочник!$B$4&lt;Справочник!$B$3,1,0)+IF(MIN(Комплектация!BE134:'Комплектация'!BF134)-Справочник!$B$4&lt;Справочник!$B$3,1,0)</f>
        <v>0</v>
      </c>
      <c r="Y145" s="34">
        <f>Справочник!$B$8</f>
        <v>4650000</v>
      </c>
      <c r="Z145" s="34">
        <f t="shared" si="59"/>
        <v>2836012.0894160587</v>
      </c>
    </row>
    <row r="146" spans="1:26" x14ac:dyDescent="0.25">
      <c r="A146" s="45">
        <f>Комплектация!A135</f>
        <v>77221836</v>
      </c>
      <c r="B146" s="46" t="str">
        <f>Комплектация!C135</f>
        <v>15-150-04П</v>
      </c>
      <c r="C146" s="46">
        <f>Комплектация!E135</f>
        <v>2011</v>
      </c>
      <c r="D146" s="46">
        <f t="shared" si="48"/>
        <v>15</v>
      </c>
      <c r="E146" s="47">
        <f t="shared" si="49"/>
        <v>46.875</v>
      </c>
      <c r="F146" s="48" t="str">
        <f>TEXT(Комплектация!V135,"0")&amp;"/"&amp;TEXT(Комплектация!AF135,"0")&amp;"/"&amp;TEXT(Комплектация!AP135,"0")&amp;"/"&amp;TEXT(Комплектация!AZ135,"0")</f>
        <v>2011/2010/2009/2011</v>
      </c>
      <c r="G146" s="49">
        <f>AVERAGE(Комплектация!V135,Комплектация!AF135,Комплектация!AP135,Комплектация!AZ135)</f>
        <v>2010.25</v>
      </c>
      <c r="H146" s="49">
        <f t="shared" si="50"/>
        <v>15.75</v>
      </c>
      <c r="I146" s="49">
        <f>AVERAGE(Комплектация!AA135:'Комплектация'!AB135,Комплектация!AK135:'Комплектация'!AL135,Комплектация!AU135:'Комплектация'!AV135,Комплектация!BE135:'Комплектация'!BF135)</f>
        <v>65.75</v>
      </c>
      <c r="J146" s="49">
        <f>MIN(Комплектация!AA135:'Комплектация'!AB135,Комплектация!AK135:'Комплектация'!AL135,Комплектация!AU135:'Комплектация'!AV135,Комплектация!BE135:'Комплектация'!BF135)</f>
        <v>61</v>
      </c>
      <c r="K146" s="47">
        <f t="shared" si="51"/>
        <v>0</v>
      </c>
      <c r="L146" s="47">
        <f t="shared" si="52"/>
        <v>52.5</v>
      </c>
      <c r="M146" s="47">
        <f t="shared" si="53"/>
        <v>15.75</v>
      </c>
      <c r="N146" s="47">
        <f t="shared" si="54"/>
        <v>32.626368613138688</v>
      </c>
      <c r="O146" s="47">
        <f t="shared" si="55"/>
        <v>67.373631386861319</v>
      </c>
      <c r="P146" s="50"/>
      <c r="Q146" s="51" t="str">
        <f t="shared" si="56"/>
        <v/>
      </c>
      <c r="R146" s="22" t="str">
        <f>IF(Комплектация!G135="",Комплектация!I135,IF(Комплектация!I135="",Комплектация!G135,IF(DATE(VALUE(RIGHT(Комплектация!G135,4)),VALUE(MID(Комплектация!G135,4,2)),VALUE(LEFT(Комплектация!G135,2)))&gt;=DATE(VALUE(RIGHT(Комплектация!I135,4)),VALUE(MID(Комплектация!I135,4,2)),VALUE(LEFT(Комплектация!I135,2))),Комплектация!G135,Комплектация!I135)))</f>
        <v>14.03.2026</v>
      </c>
      <c r="S146" s="22" t="str">
        <f>Комплектация!L135</f>
        <v>14.03.2029</v>
      </c>
      <c r="T146" s="24">
        <f t="shared" si="57"/>
        <v>2.6064339493497606</v>
      </c>
      <c r="U146" s="26">
        <f t="shared" si="58"/>
        <v>13.138686131386862</v>
      </c>
      <c r="V146" s="26">
        <f>IF(U146="","",U146*Справочник!$B$7/100)</f>
        <v>1.3138686131386863</v>
      </c>
      <c r="W146" s="24">
        <f>J146-Справочник!$B$4</f>
        <v>46</v>
      </c>
      <c r="X146" s="28">
        <f>IF(MIN(Комплектация!AA135:'Комплектация'!AB135)-Справочник!$B$4&lt;Справочник!$B$3,1,0)+IF(MIN(Комплектация!AK135:'Комплектация'!AL135)-Справочник!$B$4&lt;Справочник!$B$3,1,0)+IF(MIN(Комплектация!AU135:'Комплектация'!AV135)-Справочник!$B$4&lt;Справочник!$B$3,1,0)+IF(MIN(Комплектация!BE135:'Комплектация'!BF135)-Справочник!$B$4&lt;Справочник!$B$3,1,0)</f>
        <v>0</v>
      </c>
      <c r="Y146" s="33">
        <f>Справочник!$B$8</f>
        <v>4650000</v>
      </c>
      <c r="Z146" s="33">
        <f t="shared" si="59"/>
        <v>3132873.8594890512</v>
      </c>
    </row>
    <row r="147" spans="1:26" x14ac:dyDescent="0.25">
      <c r="A147" s="52">
        <f>Комплектация!A136</f>
        <v>77227023</v>
      </c>
      <c r="B147" s="53" t="str">
        <f>Комплектация!C136</f>
        <v>15-150-04П</v>
      </c>
      <c r="C147" s="53">
        <f>Комплектация!E136</f>
        <v>2012</v>
      </c>
      <c r="D147" s="53">
        <f t="shared" si="48"/>
        <v>14</v>
      </c>
      <c r="E147" s="54">
        <f t="shared" si="49"/>
        <v>43.75</v>
      </c>
      <c r="F147" s="55" t="str">
        <f>TEXT(Комплектация!V136,"0")&amp;"/"&amp;TEXT(Комплектация!AF136,"0")&amp;"/"&amp;TEXT(Комплектация!AP136,"0")&amp;"/"&amp;TEXT(Комплектация!AZ136,"0")</f>
        <v>2012/2012/2018/2011</v>
      </c>
      <c r="G147" s="56">
        <f>AVERAGE(Комплектация!V136,Комплектация!AF136,Комплектация!AP136,Комплектация!AZ136)</f>
        <v>2013.25</v>
      </c>
      <c r="H147" s="56">
        <f t="shared" si="50"/>
        <v>12.75</v>
      </c>
      <c r="I147" s="56">
        <f>AVERAGE(Комплектация!AA136:'Комплектация'!AB136,Комплектация!AK136:'Комплектация'!AL136,Комплектация!AU136:'Комплектация'!AV136,Комплектация!BE136:'Комплектация'!BF136)</f>
        <v>42.25</v>
      </c>
      <c r="J147" s="56">
        <f>MIN(Комплектация!AA136:'Комплектация'!AB136,Комплектация!AK136:'Комплектация'!AL136,Комплектация!AU136:'Комплектация'!AV136,Комплектация!BE136:'Комплектация'!BF136)</f>
        <v>41</v>
      </c>
      <c r="K147" s="54">
        <f t="shared" si="51"/>
        <v>39.130434782608695</v>
      </c>
      <c r="L147" s="54">
        <f t="shared" si="52"/>
        <v>42.5</v>
      </c>
      <c r="M147" s="54">
        <f t="shared" si="53"/>
        <v>82.75</v>
      </c>
      <c r="N147" s="54">
        <f t="shared" si="54"/>
        <v>65.795620437956202</v>
      </c>
      <c r="O147" s="54">
        <f t="shared" si="55"/>
        <v>34.204379562043798</v>
      </c>
      <c r="P147" s="50"/>
      <c r="Q147" s="57" t="str">
        <f t="shared" si="56"/>
        <v/>
      </c>
      <c r="R147" s="23" t="str">
        <f>IF(Комплектация!G136="",Комплектация!I136,IF(Комплектация!I136="",Комплектация!G136,IF(DATE(VALUE(RIGHT(Комплектация!G136,4)),VALUE(MID(Комплектация!G136,4,2)),VALUE(LEFT(Комплектация!G136,2)))&gt;=DATE(VALUE(RIGHT(Комплектация!I136,4)),VALUE(MID(Комплектация!I136,4,2)),VALUE(LEFT(Комплектация!I136,2))),Комплектация!G136,Комплектация!I136)))</f>
        <v>30.10.2025</v>
      </c>
      <c r="S147" s="23" t="str">
        <f>Комплектация!L136</f>
        <v>30.10.2028</v>
      </c>
      <c r="T147" s="25">
        <f t="shared" si="57"/>
        <v>2.236824093086927</v>
      </c>
      <c r="U147" s="27">
        <f t="shared" si="58"/>
        <v>25.456204379562042</v>
      </c>
      <c r="V147" s="27">
        <f>IF(U147="","",U147*Справочник!$B$7/100)</f>
        <v>2.5456204379562042</v>
      </c>
      <c r="W147" s="25">
        <f>J147-Справочник!$B$4</f>
        <v>26</v>
      </c>
      <c r="X147" s="29">
        <f>IF(MIN(Комплектация!AA136:'Комплектация'!AB136)-Справочник!$B$4&lt;Справочник!$B$3,1,0)+IF(MIN(Комплектация!AK136:'Комплектация'!AL136)-Справочник!$B$4&lt;Справочник!$B$3,1,0)+IF(MIN(Комплектация!AU136:'Комплектация'!AV136)-Справочник!$B$4&lt;Справочник!$B$3,1,0)+IF(MIN(Комплектация!BE136:'Комплектация'!BF136)-Справочник!$B$4&lt;Справочник!$B$3,1,0)</f>
        <v>4</v>
      </c>
      <c r="Y147" s="34">
        <f>Справочник!$B$8</f>
        <v>4650000</v>
      </c>
      <c r="Z147" s="34">
        <f t="shared" si="59"/>
        <v>1590503.6496350365</v>
      </c>
    </row>
    <row r="148" spans="1:26" x14ac:dyDescent="0.25">
      <c r="A148" s="45">
        <f>Комплектация!A137</f>
        <v>77221877</v>
      </c>
      <c r="B148" s="46" t="str">
        <f>Комплектация!C137</f>
        <v>15-5103-7П</v>
      </c>
      <c r="C148" s="46">
        <f>Комплектация!E137</f>
        <v>2011</v>
      </c>
      <c r="D148" s="46">
        <f t="shared" si="48"/>
        <v>15</v>
      </c>
      <c r="E148" s="47">
        <f t="shared" si="49"/>
        <v>46.875</v>
      </c>
      <c r="F148" s="48" t="str">
        <f>TEXT(Комплектация!V137,"0")&amp;"/"&amp;TEXT(Комплектация!AF137,"0")&amp;"/"&amp;TEXT(Комплектация!AP137,"0")&amp;"/"&amp;TEXT(Комплектация!AZ137,"0")</f>
        <v>2012/2002/2013/2012</v>
      </c>
      <c r="G148" s="49">
        <f>AVERAGE(Комплектация!V137,Комплектация!AF137,Комплектация!AP137,Комплектация!AZ137)</f>
        <v>2009.75</v>
      </c>
      <c r="H148" s="49">
        <f t="shared" si="50"/>
        <v>16.25</v>
      </c>
      <c r="I148" s="49">
        <f>AVERAGE(Комплектация!AA137:'Комплектация'!AB137,Комплектация!AK137:'Комплектация'!AL137,Комплектация!AU137:'Комплектация'!AV137,Комплектация!BE137:'Комплектация'!BF137)</f>
        <v>57.5</v>
      </c>
      <c r="J148" s="49">
        <f>MIN(Комплектация!AA137:'Комплектация'!AB137,Комплектация!AK137:'Комплектация'!AL137,Комплектация!AU137:'Комплектация'!AV137,Комплектация!BE137:'Комплектация'!BF137)</f>
        <v>51</v>
      </c>
      <c r="K148" s="47">
        <f t="shared" si="51"/>
        <v>0</v>
      </c>
      <c r="L148" s="47">
        <f t="shared" si="52"/>
        <v>54.166666666666664</v>
      </c>
      <c r="M148" s="47">
        <f t="shared" si="53"/>
        <v>16.25</v>
      </c>
      <c r="N148" s="47">
        <f t="shared" si="54"/>
        <v>32.912864963503651</v>
      </c>
      <c r="O148" s="47">
        <f t="shared" si="55"/>
        <v>67.087135036496349</v>
      </c>
      <c r="P148" s="50"/>
      <c r="Q148" s="51" t="str">
        <f t="shared" si="56"/>
        <v/>
      </c>
      <c r="R148" s="22" t="str">
        <f>IF(Комплектация!G137="",Комплектация!I137,IF(Комплектация!I137="",Комплектация!G137,IF(DATE(VALUE(RIGHT(Комплектация!G137,4)),VALUE(MID(Комплектация!G137,4,2)),VALUE(LEFT(Комплектация!G137,2)))&gt;=DATE(VALUE(RIGHT(Комплектация!I137,4)),VALUE(MID(Комплектация!I137,4,2)),VALUE(LEFT(Комплектация!I137,2))),Комплектация!G137,Комплектация!I137)))</f>
        <v>10.03.2026</v>
      </c>
      <c r="S148" s="22" t="str">
        <f>Комплектация!L137</f>
        <v>10.03.2029</v>
      </c>
      <c r="T148" s="24">
        <f t="shared" si="57"/>
        <v>2.5954825462012319</v>
      </c>
      <c r="U148" s="26">
        <f t="shared" si="58"/>
        <v>13.503649635036496</v>
      </c>
      <c r="V148" s="26">
        <f>IF(U148="","",U148*Справочник!$B$7/100)</f>
        <v>1.3503649635036497</v>
      </c>
      <c r="W148" s="24">
        <f>J148-Справочник!$B$4</f>
        <v>36</v>
      </c>
      <c r="X148" s="28">
        <f>IF(MIN(Комплектация!AA137:'Комплектация'!AB137)-Справочник!$B$4&lt;Справочник!$B$3,1,0)+IF(MIN(Комплектация!AK137:'Комплектация'!AL137)-Справочник!$B$4&lt;Справочник!$B$3,1,0)+IF(MIN(Комплектация!AU137:'Комплектация'!AV137)-Справочник!$B$4&lt;Справочник!$B$3,1,0)+IF(MIN(Комплектация!BE137:'Комплектация'!BF137)-Справочник!$B$4&lt;Справочник!$B$3,1,0)</f>
        <v>0</v>
      </c>
      <c r="Y148" s="33">
        <f>Справочник!$B$8</f>
        <v>4650000</v>
      </c>
      <c r="Z148" s="33">
        <f t="shared" si="59"/>
        <v>3119551.7791970801</v>
      </c>
    </row>
    <row r="149" spans="1:26" x14ac:dyDescent="0.25">
      <c r="A149" s="52">
        <f>Комплектация!A138</f>
        <v>77228906</v>
      </c>
      <c r="B149" s="53" t="str">
        <f>Комплектация!C138</f>
        <v>15-150-04П</v>
      </c>
      <c r="C149" s="53">
        <f>Комплектация!E138</f>
        <v>2015</v>
      </c>
      <c r="D149" s="53">
        <f t="shared" si="48"/>
        <v>11</v>
      </c>
      <c r="E149" s="54">
        <f t="shared" si="49"/>
        <v>34.375</v>
      </c>
      <c r="F149" s="55" t="str">
        <f>TEXT(Комплектация!V138,"0")&amp;"/"&amp;TEXT(Комплектация!AF138,"0")&amp;"/"&amp;TEXT(Комплектация!AP138,"0")&amp;"/"&amp;TEXT(Комплектация!AZ138,"0")</f>
        <v>2015/2015/2015/2015</v>
      </c>
      <c r="G149" s="56">
        <f>AVERAGE(Комплектация!V138,Комплектация!AF138,Комплектация!AP138,Комплектация!AZ138)</f>
        <v>2015</v>
      </c>
      <c r="H149" s="56">
        <f t="shared" si="50"/>
        <v>11</v>
      </c>
      <c r="I149" s="56">
        <f>AVERAGE(Комплектация!AA138:'Комплектация'!AB138,Комплектация!AK138:'Комплектация'!AL138,Комплектация!AU138:'Комплектация'!AV138,Комплектация!BE138:'Комплектация'!BF138)</f>
        <v>41</v>
      </c>
      <c r="J149" s="56">
        <f>MIN(Комплектация!AA138:'Комплектация'!AB138,Комплектация!AK138:'Комплектация'!AL138,Комплектация!AU138:'Комплектация'!AV138,Комплектация!BE138:'Комплектация'!BF138)</f>
        <v>35</v>
      </c>
      <c r="K149" s="54">
        <f t="shared" si="51"/>
        <v>65.217391304347828</v>
      </c>
      <c r="L149" s="54">
        <f t="shared" si="52"/>
        <v>36.666666666666664</v>
      </c>
      <c r="M149" s="54">
        <f t="shared" si="53"/>
        <v>81</v>
      </c>
      <c r="N149" s="54">
        <f t="shared" si="54"/>
        <v>60.62545620437956</v>
      </c>
      <c r="O149" s="54">
        <f t="shared" si="55"/>
        <v>39.37454379562044</v>
      </c>
      <c r="P149" s="50"/>
      <c r="Q149" s="57" t="str">
        <f t="shared" si="56"/>
        <v/>
      </c>
      <c r="R149" s="23" t="str">
        <f>IF(Комплектация!G138="",Комплектация!I138,IF(Комплектация!I138="",Комплектация!G138,IF(DATE(VALUE(RIGHT(Комплектация!G138,4)),VALUE(MID(Комплектация!G138,4,2)),VALUE(LEFT(Комплектация!G138,2)))&gt;=DATE(VALUE(RIGHT(Комплектация!I138,4)),VALUE(MID(Комплектация!I138,4,2)),VALUE(LEFT(Комплектация!I138,2))),Комплектация!G138,Комплектация!I138)))</f>
        <v>17.09.2025</v>
      </c>
      <c r="S149" s="23" t="str">
        <f>Комплектация!L138</f>
        <v>17.09.2028</v>
      </c>
      <c r="T149" s="25">
        <f t="shared" si="57"/>
        <v>2.1190965092402463</v>
      </c>
      <c r="U149" s="27">
        <f t="shared" si="58"/>
        <v>29.37956204379562</v>
      </c>
      <c r="V149" s="27">
        <f>IF(U149="","",U149*Справочник!$B$7/100)</f>
        <v>2.937956204379562</v>
      </c>
      <c r="W149" s="25">
        <f>J149-Справочник!$B$4</f>
        <v>20</v>
      </c>
      <c r="X149" s="29">
        <f>IF(MIN(Комплектация!AA138:'Комплектация'!AB138)-Справочник!$B$4&lt;Справочник!$B$3,1,0)+IF(MIN(Комплектация!AK138:'Комплектация'!AL138)-Справочник!$B$4&lt;Справочник!$B$3,1,0)+IF(MIN(Комплектация!AU138:'Комплектация'!AV138)-Справочник!$B$4&lt;Справочник!$B$3,1,0)+IF(MIN(Комплектация!BE138:'Комплектация'!BF138)-Справочник!$B$4&lt;Справочник!$B$3,1,0)</f>
        <v>4</v>
      </c>
      <c r="Y149" s="34">
        <f>Справочник!$B$8</f>
        <v>4650000</v>
      </c>
      <c r="Z149" s="34">
        <f t="shared" si="59"/>
        <v>1830916.2864963505</v>
      </c>
    </row>
    <row r="150" spans="1:26" x14ac:dyDescent="0.25">
      <c r="A150" s="45">
        <f>Комплектация!A139</f>
        <v>77228930</v>
      </c>
      <c r="B150" s="46" t="str">
        <f>Комплектация!C139</f>
        <v>15-150-04П</v>
      </c>
      <c r="C150" s="46">
        <f>Комплектация!E139</f>
        <v>2015</v>
      </c>
      <c r="D150" s="46">
        <f t="shared" si="48"/>
        <v>11</v>
      </c>
      <c r="E150" s="47">
        <f t="shared" si="49"/>
        <v>34.375</v>
      </c>
      <c r="F150" s="48" t="str">
        <f>TEXT(Комплектация!V139,"0")&amp;"/"&amp;TEXT(Комплектация!AF139,"0")&amp;"/"&amp;TEXT(Комплектация!AP139,"0")&amp;"/"&amp;TEXT(Комплектация!AZ139,"0")</f>
        <v>2015/2015/2015/2019</v>
      </c>
      <c r="G150" s="49">
        <f>AVERAGE(Комплектация!V139,Комплектация!AF139,Комплектация!AP139,Комплектация!AZ139)</f>
        <v>2016</v>
      </c>
      <c r="H150" s="49">
        <f t="shared" si="50"/>
        <v>10</v>
      </c>
      <c r="I150" s="49">
        <f>AVERAGE(Комплектация!AA139:'Комплектация'!AB139,Комплектация!AK139:'Комплектация'!AL139,Комплектация!AU139:'Комплектация'!AV139,Комплектация!BE139:'Комплектация'!BF139)</f>
        <v>74.75</v>
      </c>
      <c r="J150" s="49">
        <f>MIN(Комплектация!AA139:'Комплектация'!AB139,Комплектация!AK139:'Комплектация'!AL139,Комплектация!AU139:'Комплектация'!AV139,Комплектация!BE139:'Комплектация'!BF139)</f>
        <v>73</v>
      </c>
      <c r="K150" s="47">
        <f t="shared" si="51"/>
        <v>0</v>
      </c>
      <c r="L150" s="47">
        <f t="shared" si="52"/>
        <v>33.333333333333329</v>
      </c>
      <c r="M150" s="47">
        <f t="shared" si="53"/>
        <v>9.9999999999999982</v>
      </c>
      <c r="N150" s="47">
        <f t="shared" si="54"/>
        <v>25.116332116788321</v>
      </c>
      <c r="O150" s="47">
        <f t="shared" si="55"/>
        <v>74.883667883211672</v>
      </c>
      <c r="P150" s="50"/>
      <c r="Q150" s="51" t="str">
        <f t="shared" si="56"/>
        <v/>
      </c>
      <c r="R150" s="22" t="str">
        <f>IF(Комплектация!G139="",Комплектация!I139,IF(Комплектация!I139="",Комплектация!G139,IF(DATE(VALUE(RIGHT(Комплектация!G139,4)),VALUE(MID(Комплектация!G139,4,2)),VALUE(LEFT(Комплектация!G139,2)))&gt;=DATE(VALUE(RIGHT(Комплектация!I139,4)),VALUE(MID(Комплектация!I139,4,2)),VALUE(LEFT(Комплектация!I139,2))),Комплектация!G139,Комплектация!I139)))</f>
        <v>18.09.2025</v>
      </c>
      <c r="S150" s="22" t="str">
        <f>Комплектация!L139</f>
        <v>18.09.2028</v>
      </c>
      <c r="T150" s="24">
        <f t="shared" si="57"/>
        <v>2.1218343600273784</v>
      </c>
      <c r="U150" s="26">
        <f t="shared" si="58"/>
        <v>29.288321167883215</v>
      </c>
      <c r="V150" s="26">
        <f>IF(U150="","",U150*Справочник!$B$7/100)</f>
        <v>2.9288321167883216</v>
      </c>
      <c r="W150" s="24">
        <f>J150-Справочник!$B$4</f>
        <v>58</v>
      </c>
      <c r="X150" s="28">
        <f>IF(MIN(Комплектация!AA139:'Комплектация'!AB139)-Справочник!$B$4&lt;Справочник!$B$3,1,0)+IF(MIN(Комплектация!AK139:'Комплектация'!AL139)-Справочник!$B$4&lt;Справочник!$B$3,1,0)+IF(MIN(Комплектация!AU139:'Комплектация'!AV139)-Справочник!$B$4&lt;Справочник!$B$3,1,0)+IF(MIN(Комплектация!BE139:'Комплектация'!BF139)-Справочник!$B$4&lt;Справочник!$B$3,1,0)</f>
        <v>0</v>
      </c>
      <c r="Y150" s="33">
        <f>Справочник!$B$8</f>
        <v>4650000</v>
      </c>
      <c r="Z150" s="33">
        <f t="shared" si="59"/>
        <v>3482090.5565693425</v>
      </c>
    </row>
    <row r="151" spans="1:26" x14ac:dyDescent="0.25">
      <c r="A151" s="52">
        <f>Комплектация!A140</f>
        <v>75165290</v>
      </c>
      <c r="B151" s="53" t="str">
        <f>Комплектация!C140</f>
        <v>15-1219-1П</v>
      </c>
      <c r="C151" s="53">
        <f>Комплектация!E140</f>
        <v>2020</v>
      </c>
      <c r="D151" s="53">
        <f t="shared" si="48"/>
        <v>6</v>
      </c>
      <c r="E151" s="54">
        <f t="shared" si="49"/>
        <v>18.75</v>
      </c>
      <c r="F151" s="55" t="str">
        <f>TEXT(Комплектация!V140,"0")&amp;"/"&amp;TEXT(Комплектация!AF140,"0")&amp;"/"&amp;TEXT(Комплектация!AP140,"0")&amp;"/"&amp;TEXT(Комплектация!AZ140,"0")</f>
        <v>2020/2020/2020/2020</v>
      </c>
      <c r="G151" s="56">
        <f>AVERAGE(Комплектация!V140,Комплектация!AF140,Комплектация!AP140,Комплектация!AZ140)</f>
        <v>2020</v>
      </c>
      <c r="H151" s="56">
        <f t="shared" si="50"/>
        <v>6</v>
      </c>
      <c r="I151" s="56">
        <f>AVERAGE(Комплектация!AA140:'Комплектация'!AB140,Комплектация!AK140:'Комплектация'!AL140,Комплектация!AU140:'Комплектация'!AV140,Комплектация!BE140:'Комплектация'!BF140)</f>
        <v>61.625</v>
      </c>
      <c r="J151" s="56">
        <f>MIN(Комплектация!AA140:'Комплектация'!AB140,Комплектация!AK140:'Комплектация'!AL140,Комплектация!AU140:'Комплектация'!AV140,Комплектация!BE140:'Комплектация'!BF140)</f>
        <v>60</v>
      </c>
      <c r="K151" s="54">
        <f t="shared" si="51"/>
        <v>0</v>
      </c>
      <c r="L151" s="54">
        <f t="shared" si="52"/>
        <v>20</v>
      </c>
      <c r="M151" s="54">
        <f t="shared" si="53"/>
        <v>6</v>
      </c>
      <c r="N151" s="54">
        <f t="shared" si="54"/>
        <v>15.950342465753424</v>
      </c>
      <c r="O151" s="54">
        <f t="shared" si="55"/>
        <v>84.049657534246577</v>
      </c>
      <c r="P151" s="50"/>
      <c r="Q151" s="57" t="str">
        <f t="shared" si="56"/>
        <v/>
      </c>
      <c r="R151" s="23" t="str">
        <f>IF(Комплектация!G140="",Комплектация!I140,IF(Комплектация!I140="",Комплектация!G140,IF(DATE(VALUE(RIGHT(Комплектация!G140,4)),VALUE(MID(Комплектация!G140,4,2)),VALUE(LEFT(Комплектация!G140,2)))&gt;=DATE(VALUE(RIGHT(Комплектация!I140,4)),VALUE(MID(Комплектация!I140,4,2)),VALUE(LEFT(Комплектация!I140,2))),Комплектация!G140,Комплектация!I140)))</f>
        <v>17.11.2025</v>
      </c>
      <c r="S151" s="23" t="str">
        <f>Комплектация!L140</f>
        <v>17.11.2027</v>
      </c>
      <c r="T151" s="25">
        <f t="shared" si="57"/>
        <v>1.2840520191649556</v>
      </c>
      <c r="U151" s="27">
        <f t="shared" si="58"/>
        <v>35.753424657534246</v>
      </c>
      <c r="V151" s="27">
        <f>IF(U151="","",U151*Справочник!$B$7/100)</f>
        <v>3.5753424657534247</v>
      </c>
      <c r="W151" s="25">
        <f>J151-Справочник!$B$4</f>
        <v>45</v>
      </c>
      <c r="X151" s="29">
        <f>IF(MIN(Комплектация!AA140:'Комплектация'!AB140)-Справочник!$B$4&lt;Справочник!$B$3,1,0)+IF(MIN(Комплектация!AK140:'Комплектация'!AL140)-Справочник!$B$4&lt;Справочник!$B$3,1,0)+IF(MIN(Комплектация!AU140:'Комплектация'!AV140)-Справочник!$B$4&lt;Справочник!$B$3,1,0)+IF(MIN(Комплектация!BE140:'Комплектация'!BF140)-Справочник!$B$4&lt;Справочник!$B$3,1,0)</f>
        <v>0</v>
      </c>
      <c r="Y151" s="34">
        <f>Справочник!$B$8</f>
        <v>4650000</v>
      </c>
      <c r="Z151" s="34">
        <f t="shared" si="59"/>
        <v>3908309.0753424657</v>
      </c>
    </row>
    <row r="152" spans="1:26" x14ac:dyDescent="0.25">
      <c r="A152" s="45">
        <f>Комплектация!A141</f>
        <v>75189191</v>
      </c>
      <c r="B152" s="46" t="str">
        <f>Комплектация!C141</f>
        <v>15-1219-1П</v>
      </c>
      <c r="C152" s="46">
        <f>Комплектация!E141</f>
        <v>2020</v>
      </c>
      <c r="D152" s="46">
        <f t="shared" si="48"/>
        <v>6</v>
      </c>
      <c r="E152" s="47">
        <f t="shared" si="49"/>
        <v>18.75</v>
      </c>
      <c r="F152" s="48" t="str">
        <f>TEXT(Комплектация!V141,"0")&amp;"/"&amp;TEXT(Комплектация!AF141,"0")&amp;"/"&amp;TEXT(Комплектация!AP141,"0")&amp;"/"&amp;TEXT(Комплектация!AZ141,"0")</f>
        <v>2020/2020/2020/2020</v>
      </c>
      <c r="G152" s="49">
        <f>AVERAGE(Комплектация!V141,Комплектация!AF141,Комплектация!AP141,Комплектация!AZ141)</f>
        <v>2020</v>
      </c>
      <c r="H152" s="49">
        <f t="shared" si="50"/>
        <v>6</v>
      </c>
      <c r="I152" s="49">
        <f>AVERAGE(Комплектация!AA141:'Комплектация'!AB141,Комплектация!AK141:'Комплектация'!AL141,Комплектация!AU141:'Комплектация'!AV141,Комплектация!BE141:'Комплектация'!BF141)</f>
        <v>61.75</v>
      </c>
      <c r="J152" s="49">
        <f>MIN(Комплектация!AA141:'Комплектация'!AB141,Комплектация!AK141:'Комплектация'!AL141,Комплектация!AU141:'Комплектация'!AV141,Комплектация!BE141:'Комплектация'!BF141)</f>
        <v>59</v>
      </c>
      <c r="K152" s="47">
        <f t="shared" si="51"/>
        <v>0</v>
      </c>
      <c r="L152" s="47">
        <f t="shared" si="52"/>
        <v>20</v>
      </c>
      <c r="M152" s="47">
        <f t="shared" si="53"/>
        <v>6</v>
      </c>
      <c r="N152" s="47">
        <f t="shared" si="54"/>
        <v>15.827054794520548</v>
      </c>
      <c r="O152" s="47">
        <f t="shared" si="55"/>
        <v>84.172945205479451</v>
      </c>
      <c r="P152" s="50"/>
      <c r="Q152" s="51" t="str">
        <f t="shared" si="56"/>
        <v/>
      </c>
      <c r="R152" s="22" t="str">
        <f>IF(Комплектация!G141="",Комплектация!I141,IF(Комплектация!I141="",Комплектация!G141,IF(DATE(VALUE(RIGHT(Комплектация!G141,4)),VALUE(MID(Комплектация!G141,4,2)),VALUE(LEFT(Комплектация!G141,2)))&gt;=DATE(VALUE(RIGHT(Комплектация!I141,4)),VALUE(MID(Комплектация!I141,4,2)),VALUE(LEFT(Комплектация!I141,2))),Комплектация!G141,Комплектация!I141)))</f>
        <v>26.11.2025</v>
      </c>
      <c r="S152" s="22" t="str">
        <f>Комплектация!L141</f>
        <v>26.11.2027</v>
      </c>
      <c r="T152" s="24">
        <f t="shared" si="57"/>
        <v>1.3086926762491444</v>
      </c>
      <c r="U152" s="26">
        <f t="shared" si="58"/>
        <v>34.520547945205479</v>
      </c>
      <c r="V152" s="26">
        <f>IF(U152="","",U152*Справочник!$B$7/100)</f>
        <v>3.4520547945205475</v>
      </c>
      <c r="W152" s="24">
        <f>J152-Справочник!$B$4</f>
        <v>44</v>
      </c>
      <c r="X152" s="28">
        <f>IF(MIN(Комплектация!AA141:'Комплектация'!AB141)-Справочник!$B$4&lt;Справочник!$B$3,1,0)+IF(MIN(Комплектация!AK141:'Комплектация'!AL141)-Справочник!$B$4&lt;Справочник!$B$3,1,0)+IF(MIN(Комплектация!AU141:'Комплектация'!AV141)-Справочник!$B$4&lt;Справочник!$B$3,1,0)+IF(MIN(Комплектация!BE141:'Комплектация'!BF141)-Справочник!$B$4&lt;Справочник!$B$3,1,0)</f>
        <v>0</v>
      </c>
      <c r="Y152" s="33">
        <f>Справочник!$B$8</f>
        <v>4650000</v>
      </c>
      <c r="Z152" s="33">
        <f t="shared" si="59"/>
        <v>3914041.9520547944</v>
      </c>
    </row>
    <row r="153" spans="1:26" x14ac:dyDescent="0.25">
      <c r="A153" s="52">
        <f>Комплектация!A142</f>
        <v>75182899</v>
      </c>
      <c r="B153" s="53" t="str">
        <f>Комплектация!C142</f>
        <v>15-1219-1П</v>
      </c>
      <c r="C153" s="53">
        <f>Комплектация!E142</f>
        <v>2020</v>
      </c>
      <c r="D153" s="53">
        <f t="shared" si="48"/>
        <v>6</v>
      </c>
      <c r="E153" s="54">
        <f t="shared" si="49"/>
        <v>18.75</v>
      </c>
      <c r="F153" s="55" t="str">
        <f>TEXT(Комплектация!V142,"0")&amp;"/"&amp;TEXT(Комплектация!AF142,"0")&amp;"/"&amp;TEXT(Комплектация!AP142,"0")&amp;"/"&amp;TEXT(Комплектация!AZ142,"0")</f>
        <v>2020/2020/2020/2020</v>
      </c>
      <c r="G153" s="56">
        <f>AVERAGE(Комплектация!V142,Комплектация!AF142,Комплектация!AP142,Комплектация!AZ142)</f>
        <v>2020</v>
      </c>
      <c r="H153" s="56">
        <f t="shared" si="50"/>
        <v>6</v>
      </c>
      <c r="I153" s="56">
        <f>AVERAGE(Комплектация!AA142:'Комплектация'!AB142,Комплектация!AK142:'Комплектация'!AL142,Комплектация!AU142:'Комплектация'!AV142,Комплектация!BE142:'Комплектация'!BF142)</f>
        <v>55.25</v>
      </c>
      <c r="J153" s="56">
        <f>MIN(Комплектация!AA142:'Комплектация'!AB142,Комплектация!AK142:'Комплектация'!AL142,Комплектация!AU142:'Комплектация'!AV142,Комплектация!BE142:'Комплектация'!BF142)</f>
        <v>53</v>
      </c>
      <c r="K153" s="54">
        <f t="shared" si="51"/>
        <v>0</v>
      </c>
      <c r="L153" s="54">
        <f t="shared" si="52"/>
        <v>20</v>
      </c>
      <c r="M153" s="54">
        <f t="shared" si="53"/>
        <v>6</v>
      </c>
      <c r="N153" s="54">
        <f t="shared" si="54"/>
        <v>15.511986301369863</v>
      </c>
      <c r="O153" s="54">
        <f t="shared" si="55"/>
        <v>84.488013698630141</v>
      </c>
      <c r="P153" s="50"/>
      <c r="Q153" s="57" t="str">
        <f t="shared" si="56"/>
        <v/>
      </c>
      <c r="R153" s="23" t="str">
        <f>IF(Комплектация!G142="",Комплектация!I142,IF(Комплектация!I142="",Комплектация!G142,IF(DATE(VALUE(RIGHT(Комплектация!G142,4)),VALUE(MID(Комплектация!G142,4,2)),VALUE(LEFT(Комплектация!G142,2)))&gt;=DATE(VALUE(RIGHT(Комплектация!I142,4)),VALUE(MID(Комплектация!I142,4,2)),VALUE(LEFT(Комплектация!I142,2))),Комплектация!G142,Комплектация!I142)))</f>
        <v>19.12.2025</v>
      </c>
      <c r="S153" s="23" t="str">
        <f>Комплектация!L142</f>
        <v>19.12.2027</v>
      </c>
      <c r="T153" s="25">
        <f t="shared" si="57"/>
        <v>1.3716632443531827</v>
      </c>
      <c r="U153" s="27">
        <f t="shared" si="58"/>
        <v>31.36986301369863</v>
      </c>
      <c r="V153" s="27">
        <f>IF(U153="","",U153*Справочник!$B$7/100)</f>
        <v>3.1369863013698631</v>
      </c>
      <c r="W153" s="25">
        <f>J153-Справочник!$B$4</f>
        <v>38</v>
      </c>
      <c r="X153" s="29">
        <f>IF(MIN(Комплектация!AA142:'Комплектация'!AB142)-Справочник!$B$4&lt;Справочник!$B$3,1,0)+IF(MIN(Комплектация!AK142:'Комплектация'!AL142)-Справочник!$B$4&lt;Справочник!$B$3,1,0)+IF(MIN(Комплектация!AU142:'Комплектация'!AV142)-Справочник!$B$4&lt;Справочник!$B$3,1,0)+IF(MIN(Комплектация!BE142:'Комплектация'!BF142)-Справочник!$B$4&lt;Справочник!$B$3,1,0)</f>
        <v>0</v>
      </c>
      <c r="Y153" s="34">
        <f>Справочник!$B$8</f>
        <v>4650000</v>
      </c>
      <c r="Z153" s="34">
        <f t="shared" si="59"/>
        <v>3928692.6369863017</v>
      </c>
    </row>
    <row r="154" spans="1:26" x14ac:dyDescent="0.25">
      <c r="A154" s="45">
        <f>Комплектация!A143</f>
        <v>75183095</v>
      </c>
      <c r="B154" s="46" t="str">
        <f>Комплектация!C143</f>
        <v>15-1219-1П</v>
      </c>
      <c r="C154" s="46">
        <f>Комплектация!E143</f>
        <v>2020</v>
      </c>
      <c r="D154" s="46">
        <f t="shared" si="48"/>
        <v>6</v>
      </c>
      <c r="E154" s="47">
        <f t="shared" si="49"/>
        <v>18.75</v>
      </c>
      <c r="F154" s="48" t="str">
        <f>TEXT(Комплектация!V143,"0")&amp;"/"&amp;TEXT(Комплектация!AF143,"0")&amp;"/"&amp;TEXT(Комплектация!AP143,"0")&amp;"/"&amp;TEXT(Комплектация!AZ143,"0")</f>
        <v>2020/2020/2020/2020</v>
      </c>
      <c r="G154" s="49">
        <f>AVERAGE(Комплектация!V143,Комплектация!AF143,Комплектация!AP143,Комплектация!AZ143)</f>
        <v>2020</v>
      </c>
      <c r="H154" s="49">
        <f t="shared" si="50"/>
        <v>6</v>
      </c>
      <c r="I154" s="49">
        <f>AVERAGE(Комплектация!AA143:'Комплектация'!AB143,Комплектация!AK143:'Комплектация'!AL143,Комплектация!AU143:'Комплектация'!AV143,Комплектация!BE143:'Комплектация'!BF143)</f>
        <v>58.375</v>
      </c>
      <c r="J154" s="49">
        <f>MIN(Комплектация!AA143:'Комплектация'!AB143,Комплектация!AK143:'Комплектация'!AL143,Комплектация!AU143:'Комплектация'!AV143,Комплектация!BE143:'Комплектация'!BF143)</f>
        <v>54</v>
      </c>
      <c r="K154" s="47">
        <f t="shared" si="51"/>
        <v>0</v>
      </c>
      <c r="L154" s="47">
        <f t="shared" si="52"/>
        <v>20</v>
      </c>
      <c r="M154" s="47">
        <f t="shared" si="53"/>
        <v>6</v>
      </c>
      <c r="N154" s="47">
        <f t="shared" si="54"/>
        <v>16.210616438356162</v>
      </c>
      <c r="O154" s="47">
        <f t="shared" si="55"/>
        <v>83.789383561643831</v>
      </c>
      <c r="P154" s="50"/>
      <c r="Q154" s="51" t="str">
        <f t="shared" si="56"/>
        <v/>
      </c>
      <c r="R154" s="22" t="str">
        <f>IF(Комплектация!G143="",Комплектация!I143,IF(Комплектация!I143="",Комплектация!G143,IF(DATE(VALUE(RIGHT(Комплектация!G143,4)),VALUE(MID(Комплектация!G143,4,2)),VALUE(LEFT(Комплектация!G143,2)))&gt;=DATE(VALUE(RIGHT(Комплектация!I143,4)),VALUE(MID(Комплектация!I143,4,2)),VALUE(LEFT(Комплектация!I143,2))),Комплектация!G143,Комплектация!I143)))</f>
        <v>29.10.2025</v>
      </c>
      <c r="S154" s="22" t="str">
        <f>Комплектация!L143</f>
        <v>29.10.2027</v>
      </c>
      <c r="T154" s="24">
        <f t="shared" si="57"/>
        <v>1.2320328542094456</v>
      </c>
      <c r="U154" s="26">
        <f t="shared" si="58"/>
        <v>38.356164383561641</v>
      </c>
      <c r="V154" s="26">
        <f>IF(U154="","",U154*Справочник!$B$7/100)</f>
        <v>3.8356164383561637</v>
      </c>
      <c r="W154" s="24">
        <f>J154-Справочник!$B$4</f>
        <v>39</v>
      </c>
      <c r="X154" s="28">
        <f>IF(MIN(Комплектация!AA143:'Комплектация'!AB143)-Справочник!$B$4&lt;Справочник!$B$3,1,0)+IF(MIN(Комплектация!AK143:'Комплектация'!AL143)-Справочник!$B$4&lt;Справочник!$B$3,1,0)+IF(MIN(Комплектация!AU143:'Комплектация'!AV143)-Справочник!$B$4&lt;Справочник!$B$3,1,0)+IF(MIN(Комплектация!BE143:'Комплектация'!BF143)-Справочник!$B$4&lt;Справочник!$B$3,1,0)</f>
        <v>0</v>
      </c>
      <c r="Y154" s="33">
        <f>Справочник!$B$8</f>
        <v>4650000</v>
      </c>
      <c r="Z154" s="33">
        <f t="shared" si="59"/>
        <v>3896206.3356164382</v>
      </c>
    </row>
    <row r="155" spans="1:26" x14ac:dyDescent="0.25">
      <c r="A155" s="52">
        <f>Комплектация!A144</f>
        <v>75176198</v>
      </c>
      <c r="B155" s="53" t="str">
        <f>Комплектация!C144</f>
        <v>15-1219-1П</v>
      </c>
      <c r="C155" s="53">
        <f>Комплектация!E144</f>
        <v>2020</v>
      </c>
      <c r="D155" s="53">
        <f t="shared" si="48"/>
        <v>6</v>
      </c>
      <c r="E155" s="54">
        <f t="shared" si="49"/>
        <v>18.75</v>
      </c>
      <c r="F155" s="55" t="str">
        <f>TEXT(Комплектация!V144,"0")&amp;"/"&amp;TEXT(Комплектация!AF144,"0")&amp;"/"&amp;TEXT(Комплектация!AP144,"0")&amp;"/"&amp;TEXT(Комплектация!AZ144,"0")</f>
        <v>2020/2020/2020/2020</v>
      </c>
      <c r="G155" s="56">
        <f>AVERAGE(Комплектация!V144,Комплектация!AF144,Комплектация!AP144,Комплектация!AZ144)</f>
        <v>2020</v>
      </c>
      <c r="H155" s="56">
        <f t="shared" si="50"/>
        <v>6</v>
      </c>
      <c r="I155" s="56">
        <f>AVERAGE(Комплектация!AA144:'Комплектация'!AB144,Комплектация!AK144:'Комплектация'!AL144,Комплектация!AU144:'Комплектация'!AV144,Комплектация!BE144:'Комплектация'!BF144)</f>
        <v>59.625</v>
      </c>
      <c r="J155" s="56">
        <f>MIN(Комплектация!AA144:'Комплектация'!AB144,Комплектация!AK144:'Комплектация'!AL144,Комплектация!AU144:'Комплектация'!AV144,Комплектация!BE144:'Комплектация'!BF144)</f>
        <v>56</v>
      </c>
      <c r="K155" s="54">
        <f t="shared" si="51"/>
        <v>0</v>
      </c>
      <c r="L155" s="54">
        <f t="shared" si="52"/>
        <v>20</v>
      </c>
      <c r="M155" s="54">
        <f t="shared" si="53"/>
        <v>6</v>
      </c>
      <c r="N155" s="54">
        <f t="shared" si="54"/>
        <v>15.785958904109588</v>
      </c>
      <c r="O155" s="54">
        <f t="shared" si="55"/>
        <v>84.214041095890408</v>
      </c>
      <c r="P155" s="50"/>
      <c r="Q155" s="57" t="str">
        <f t="shared" si="56"/>
        <v/>
      </c>
      <c r="R155" s="23" t="str">
        <f>IF(Комплектация!G144="",Комплектация!I144,IF(Комплектация!I144="",Комплектация!G144,IF(DATE(VALUE(RIGHT(Комплектация!G144,4)),VALUE(MID(Комплектация!G144,4,2)),VALUE(LEFT(Комплектация!G144,2)))&gt;=DATE(VALUE(RIGHT(Комплектация!I144,4)),VALUE(MID(Комплектация!I144,4,2)),VALUE(LEFT(Комплектация!I144,2))),Комплектация!G144,Комплектация!I144)))</f>
        <v>29.11.2025</v>
      </c>
      <c r="S155" s="23" t="str">
        <f>Комплектация!L144</f>
        <v>29.11.2027</v>
      </c>
      <c r="T155" s="25">
        <f t="shared" si="57"/>
        <v>1.3169062286105406</v>
      </c>
      <c r="U155" s="27">
        <f t="shared" si="58"/>
        <v>34.109589041095887</v>
      </c>
      <c r="V155" s="27">
        <f>IF(U155="","",U155*Справочник!$B$7/100)</f>
        <v>3.4109589041095889</v>
      </c>
      <c r="W155" s="25">
        <f>J155-Справочник!$B$4</f>
        <v>41</v>
      </c>
      <c r="X155" s="29">
        <f>IF(MIN(Комплектация!AA144:'Комплектация'!AB144)-Справочник!$B$4&lt;Справочник!$B$3,1,0)+IF(MIN(Комплектация!AK144:'Комплектация'!AL144)-Справочник!$B$4&lt;Справочник!$B$3,1,0)+IF(MIN(Комплектация!AU144:'Комплектация'!AV144)-Справочник!$B$4&lt;Справочник!$B$3,1,0)+IF(MIN(Комплектация!BE144:'Комплектация'!BF144)-Справочник!$B$4&lt;Справочник!$B$3,1,0)</f>
        <v>0</v>
      </c>
      <c r="Y155" s="34">
        <f>Справочник!$B$8</f>
        <v>4650000</v>
      </c>
      <c r="Z155" s="34">
        <f t="shared" si="59"/>
        <v>3915952.9109589038</v>
      </c>
    </row>
    <row r="156" spans="1:26" x14ac:dyDescent="0.25">
      <c r="A156" s="45">
        <f>Комплектация!A145</f>
        <v>75183699</v>
      </c>
      <c r="B156" s="46" t="str">
        <f>Комплектация!C145</f>
        <v>15-1219-1П</v>
      </c>
      <c r="C156" s="46">
        <f>Комплектация!E145</f>
        <v>2020</v>
      </c>
      <c r="D156" s="46">
        <f t="shared" si="48"/>
        <v>6</v>
      </c>
      <c r="E156" s="47">
        <f t="shared" si="49"/>
        <v>18.75</v>
      </c>
      <c r="F156" s="48" t="str">
        <f>TEXT(Комплектация!V145,"0")&amp;"/"&amp;TEXT(Комплектация!AF145,"0")&amp;"/"&amp;TEXT(Комплектация!AP145,"0")&amp;"/"&amp;TEXT(Комплектация!AZ145,"0")</f>
        <v>2020/2020/2020/2020</v>
      </c>
      <c r="G156" s="49">
        <f>AVERAGE(Комплектация!V145,Комплектация!AF145,Комплектация!AP145,Комплектация!AZ145)</f>
        <v>2020</v>
      </c>
      <c r="H156" s="49">
        <f t="shared" si="50"/>
        <v>6</v>
      </c>
      <c r="I156" s="49">
        <f>AVERAGE(Комплектация!AA145:'Комплектация'!AB145,Комплектация!AK145:'Комплектация'!AL145,Комплектация!AU145:'Комплектация'!AV145,Комплектация!BE145:'Комплектация'!BF145)</f>
        <v>64.25</v>
      </c>
      <c r="J156" s="49">
        <f>MIN(Комплектация!AA145:'Комплектация'!AB145,Комплектация!AK145:'Комплектация'!AL145,Комплектация!AU145:'Комплектация'!AV145,Комплектация!BE145:'Комплектация'!BF145)</f>
        <v>60</v>
      </c>
      <c r="K156" s="47">
        <f t="shared" si="51"/>
        <v>0</v>
      </c>
      <c r="L156" s="47">
        <f t="shared" si="52"/>
        <v>20</v>
      </c>
      <c r="M156" s="47">
        <f t="shared" si="53"/>
        <v>6</v>
      </c>
      <c r="N156" s="47">
        <f t="shared" si="54"/>
        <v>16.416095890410958</v>
      </c>
      <c r="O156" s="47">
        <f t="shared" si="55"/>
        <v>83.583904109589042</v>
      </c>
      <c r="P156" s="50"/>
      <c r="Q156" s="51" t="str">
        <f t="shared" si="56"/>
        <v/>
      </c>
      <c r="R156" s="22" t="str">
        <f>IF(Комплектация!G145="",Комплектация!I145,IF(Комплектация!I145="",Комплектация!G145,IF(DATE(VALUE(RIGHT(Комплектация!G145,4)),VALUE(MID(Комплектация!G145,4,2)),VALUE(LEFT(Комплектация!G145,2)))&gt;=DATE(VALUE(RIGHT(Комплектация!I145,4)),VALUE(MID(Комплектация!I145,4,2)),VALUE(LEFT(Комплектация!I145,2))),Комплектация!G145,Комплектация!I145)))</f>
        <v>14.10.2025</v>
      </c>
      <c r="S156" s="22" t="str">
        <f>Комплектация!L145</f>
        <v>14.10.2027</v>
      </c>
      <c r="T156" s="24">
        <f t="shared" si="57"/>
        <v>1.1909650924024642</v>
      </c>
      <c r="U156" s="26">
        <f t="shared" si="58"/>
        <v>40.410958904109592</v>
      </c>
      <c r="V156" s="26">
        <f>IF(U156="","",U156*Справочник!$B$7/100)</f>
        <v>4.0410958904109586</v>
      </c>
      <c r="W156" s="24">
        <f>J156-Справочник!$B$4</f>
        <v>45</v>
      </c>
      <c r="X156" s="28">
        <f>IF(MIN(Комплектация!AA145:'Комплектация'!AB145)-Справочник!$B$4&lt;Справочник!$B$3,1,0)+IF(MIN(Комплектация!AK145:'Комплектация'!AL145)-Справочник!$B$4&lt;Справочник!$B$3,1,0)+IF(MIN(Комплектация!AU145:'Комплектация'!AV145)-Справочник!$B$4&lt;Справочник!$B$3,1,0)+IF(MIN(Комплектация!BE145:'Комплектация'!BF145)-Справочник!$B$4&lt;Справочник!$B$3,1,0)</f>
        <v>0</v>
      </c>
      <c r="Y156" s="33">
        <f>Справочник!$B$8</f>
        <v>4650000</v>
      </c>
      <c r="Z156" s="33">
        <f t="shared" si="59"/>
        <v>3886651.5410958906</v>
      </c>
    </row>
    <row r="157" spans="1:26" x14ac:dyDescent="0.25">
      <c r="A157" s="52">
        <f>Комплектация!A146</f>
        <v>75164897</v>
      </c>
      <c r="B157" s="53" t="str">
        <f>Комплектация!C146</f>
        <v>15-1219-1П</v>
      </c>
      <c r="C157" s="53">
        <f>Комплектация!E146</f>
        <v>2020</v>
      </c>
      <c r="D157" s="53">
        <f t="shared" si="48"/>
        <v>6</v>
      </c>
      <c r="E157" s="54">
        <f t="shared" si="49"/>
        <v>18.75</v>
      </c>
      <c r="F157" s="55" t="str">
        <f>TEXT(Комплектация!V146,"0")&amp;"/"&amp;TEXT(Комплектация!AF146,"0")&amp;"/"&amp;TEXT(Комплектация!AP146,"0")&amp;"/"&amp;TEXT(Комплектация!AZ146,"0")</f>
        <v>2020/2020/2020/2020</v>
      </c>
      <c r="G157" s="56">
        <f>AVERAGE(Комплектация!V146,Комплектация!AF146,Комплектация!AP146,Комплектация!AZ146)</f>
        <v>2020</v>
      </c>
      <c r="H157" s="56">
        <f t="shared" si="50"/>
        <v>6</v>
      </c>
      <c r="I157" s="56">
        <f>AVERAGE(Комплектация!AA146:'Комплектация'!AB146,Комплектация!AK146:'Комплектация'!AL146,Комплектация!AU146:'Комплектация'!AV146,Комплектация!BE146:'Комплектация'!BF146)</f>
        <v>57.125</v>
      </c>
      <c r="J157" s="56">
        <f>MIN(Комплектация!AA146:'Комплектация'!AB146,Комплектация!AK146:'Комплектация'!AL146,Комплектация!AU146:'Комплектация'!AV146,Комплектация!BE146:'Комплектация'!BF146)</f>
        <v>55</v>
      </c>
      <c r="K157" s="54">
        <f t="shared" si="51"/>
        <v>0</v>
      </c>
      <c r="L157" s="54">
        <f t="shared" si="52"/>
        <v>20</v>
      </c>
      <c r="M157" s="54">
        <f t="shared" si="53"/>
        <v>6</v>
      </c>
      <c r="N157" s="54">
        <f t="shared" si="54"/>
        <v>15.498287671232877</v>
      </c>
      <c r="O157" s="54">
        <f t="shared" si="55"/>
        <v>84.501712328767127</v>
      </c>
      <c r="P157" s="50"/>
      <c r="Q157" s="57" t="str">
        <f t="shared" si="56"/>
        <v/>
      </c>
      <c r="R157" s="23" t="str">
        <f>IF(Комплектация!G146="",Комплектация!I146,IF(Комплектация!I146="",Комплектация!G146,IF(DATE(VALUE(RIGHT(Комплектация!G146,4)),VALUE(MID(Комплектация!G146,4,2)),VALUE(LEFT(Комплектация!G146,2)))&gt;=DATE(VALUE(RIGHT(Комплектация!I146,4)),VALUE(MID(Комплектация!I146,4,2)),VALUE(LEFT(Комплектация!I146,2))),Комплектация!G146,Комплектация!I146)))</f>
        <v>20.12.2025</v>
      </c>
      <c r="S157" s="23" t="str">
        <f>Комплектация!L146</f>
        <v>20.12.2027</v>
      </c>
      <c r="T157" s="25">
        <f t="shared" si="57"/>
        <v>1.3744010951403149</v>
      </c>
      <c r="U157" s="27">
        <f t="shared" si="58"/>
        <v>31.232876712328768</v>
      </c>
      <c r="V157" s="27">
        <f>IF(U157="","",U157*Справочник!$B$7/100)</f>
        <v>3.1232876712328768</v>
      </c>
      <c r="W157" s="25">
        <f>J157-Справочник!$B$4</f>
        <v>40</v>
      </c>
      <c r="X157" s="29">
        <f>IF(MIN(Комплектация!AA146:'Комплектация'!AB146)-Справочник!$B$4&lt;Справочник!$B$3,1,0)+IF(MIN(Комплектация!AK146:'Комплектация'!AL146)-Справочник!$B$4&lt;Справочник!$B$3,1,0)+IF(MIN(Комплектация!AU146:'Комплектация'!AV146)-Справочник!$B$4&lt;Справочник!$B$3,1,0)+IF(MIN(Комплектация!BE146:'Комплектация'!BF146)-Справочник!$B$4&lt;Справочник!$B$3,1,0)</f>
        <v>0</v>
      </c>
      <c r="Y157" s="34">
        <f>Справочник!$B$8</f>
        <v>4650000</v>
      </c>
      <c r="Z157" s="34">
        <f t="shared" si="59"/>
        <v>3929329.6232876712</v>
      </c>
    </row>
    <row r="158" spans="1:26" x14ac:dyDescent="0.25">
      <c r="A158" s="45">
        <f>Комплектация!A147</f>
        <v>75175893</v>
      </c>
      <c r="B158" s="46" t="str">
        <f>Комплектация!C147</f>
        <v>15-1219-1П</v>
      </c>
      <c r="C158" s="46">
        <f>Комплектация!E147</f>
        <v>2020</v>
      </c>
      <c r="D158" s="46">
        <f t="shared" si="48"/>
        <v>6</v>
      </c>
      <c r="E158" s="47">
        <f t="shared" si="49"/>
        <v>18.75</v>
      </c>
      <c r="F158" s="48" t="str">
        <f>TEXT(Комплектация!V147,"0")&amp;"/"&amp;TEXT(Комплектация!AF147,"0")&amp;"/"&amp;TEXT(Комплектация!AP147,"0")&amp;"/"&amp;TEXT(Комплектация!AZ147,"0")</f>
        <v>2020/2020/2020/2020</v>
      </c>
      <c r="G158" s="49">
        <f>AVERAGE(Комплектация!V147,Комплектация!AF147,Комплектация!AP147,Комплектация!AZ147)</f>
        <v>2020</v>
      </c>
      <c r="H158" s="49">
        <f t="shared" si="50"/>
        <v>6</v>
      </c>
      <c r="I158" s="49">
        <f>AVERAGE(Комплектация!AA147:'Комплектация'!AB147,Комплектация!AK147:'Комплектация'!AL147,Комплектация!AU147:'Комплектация'!AV147,Комплектация!BE147:'Комплектация'!BF147)</f>
        <v>59</v>
      </c>
      <c r="J158" s="49">
        <f>MIN(Комплектация!AA147:'Комплектация'!AB147,Комплектация!AK147:'Комплектация'!AL147,Комплектация!AU147:'Комплектация'!AV147,Комплектация!BE147:'Комплектация'!BF147)</f>
        <v>58</v>
      </c>
      <c r="K158" s="47">
        <f t="shared" si="51"/>
        <v>0</v>
      </c>
      <c r="L158" s="47">
        <f t="shared" si="52"/>
        <v>20</v>
      </c>
      <c r="M158" s="47">
        <f t="shared" si="53"/>
        <v>6</v>
      </c>
      <c r="N158" s="47">
        <f t="shared" si="54"/>
        <v>17.00513698630137</v>
      </c>
      <c r="O158" s="47">
        <f t="shared" si="55"/>
        <v>82.994863013698634</v>
      </c>
      <c r="P158" s="50"/>
      <c r="Q158" s="51" t="str">
        <f t="shared" si="56"/>
        <v/>
      </c>
      <c r="R158" s="22" t="str">
        <f>IF(Комплектация!G147="",Комплектация!I147,IF(Комплектация!I147="",Комплектация!G147,IF(DATE(VALUE(RIGHT(Комплектация!G147,4)),VALUE(MID(Комплектация!G147,4,2)),VALUE(LEFT(Комплектация!G147,2)))&gt;=DATE(VALUE(RIGHT(Комплектация!I147,4)),VALUE(MID(Комплектация!I147,4,2)),VALUE(LEFT(Комплектация!I147,2))),Комплектация!G147,Комплектация!I147)))</f>
        <v>01.09.2025</v>
      </c>
      <c r="S158" s="22" t="str">
        <f>Комплектация!L147</f>
        <v>01.09.2027</v>
      </c>
      <c r="T158" s="24">
        <f t="shared" si="57"/>
        <v>1.0732375085557837</v>
      </c>
      <c r="U158" s="26">
        <f t="shared" si="58"/>
        <v>46.301369863013697</v>
      </c>
      <c r="V158" s="26">
        <f>IF(U158="","",U158*Справочник!$B$7/100)</f>
        <v>4.6301369863013697</v>
      </c>
      <c r="W158" s="24">
        <f>J158-Справочник!$B$4</f>
        <v>43</v>
      </c>
      <c r="X158" s="28">
        <f>IF(MIN(Комплектация!AA147:'Комплектация'!AB147)-Справочник!$B$4&lt;Справочник!$B$3,1,0)+IF(MIN(Комплектация!AK147:'Комплектация'!AL147)-Справочник!$B$4&lt;Справочник!$B$3,1,0)+IF(MIN(Комплектация!AU147:'Комплектация'!AV147)-Справочник!$B$4&lt;Справочник!$B$3,1,0)+IF(MIN(Комплектация!BE147:'Комплектация'!BF147)-Справочник!$B$4&lt;Справочник!$B$3,1,0)</f>
        <v>0</v>
      </c>
      <c r="Y158" s="33">
        <f>Справочник!$B$8</f>
        <v>4650000</v>
      </c>
      <c r="Z158" s="33">
        <f t="shared" si="59"/>
        <v>3859261.1301369863</v>
      </c>
    </row>
    <row r="159" spans="1:26" x14ac:dyDescent="0.25">
      <c r="A159" s="52">
        <f>Комплектация!A148</f>
        <v>75182493</v>
      </c>
      <c r="B159" s="53" t="str">
        <f>Комплектация!C148</f>
        <v>15-1219-1П</v>
      </c>
      <c r="C159" s="53">
        <f>Комплектация!E148</f>
        <v>2020</v>
      </c>
      <c r="D159" s="53">
        <f t="shared" si="48"/>
        <v>6</v>
      </c>
      <c r="E159" s="54">
        <f t="shared" si="49"/>
        <v>18.75</v>
      </c>
      <c r="F159" s="55" t="str">
        <f>TEXT(Комплектация!V148,"0")&amp;"/"&amp;TEXT(Комплектация!AF148,"0")&amp;"/"&amp;TEXT(Комплектация!AP148,"0")&amp;"/"&amp;TEXT(Комплектация!AZ148,"0")</f>
        <v>2020/2020/2020/2020</v>
      </c>
      <c r="G159" s="56">
        <f>AVERAGE(Комплектация!V148,Комплектация!AF148,Комплектация!AP148,Комплектация!AZ148)</f>
        <v>2020</v>
      </c>
      <c r="H159" s="56">
        <f t="shared" si="50"/>
        <v>6</v>
      </c>
      <c r="I159" s="56">
        <f>AVERAGE(Комплектация!AA148:'Комплектация'!AB148,Комплектация!AK148:'Комплектация'!AL148,Комплектация!AU148:'Комплектация'!AV148,Комплектация!BE148:'Комплектация'!BF148)</f>
        <v>51.25</v>
      </c>
      <c r="J159" s="56">
        <f>MIN(Комплектация!AA148:'Комплектация'!AB148,Комплектация!AK148:'Комплектация'!AL148,Комплектация!AU148:'Комплектация'!AV148,Комплектация!BE148:'Комплектация'!BF148)</f>
        <v>49</v>
      </c>
      <c r="K159" s="54">
        <f t="shared" si="51"/>
        <v>4.3478260869565215</v>
      </c>
      <c r="L159" s="54">
        <f t="shared" si="52"/>
        <v>20</v>
      </c>
      <c r="M159" s="54">
        <f t="shared" si="53"/>
        <v>23.5</v>
      </c>
      <c r="N159" s="54">
        <f t="shared" si="54"/>
        <v>25.097602739726028</v>
      </c>
      <c r="O159" s="54">
        <f t="shared" si="55"/>
        <v>74.902397260273972</v>
      </c>
      <c r="P159" s="50"/>
      <c r="Q159" s="57" t="str">
        <f t="shared" si="56"/>
        <v/>
      </c>
      <c r="R159" s="23" t="str">
        <f>IF(Комплектация!G148="",Комплектация!I148,IF(Комплектация!I148="",Комплектация!G148,IF(DATE(VALUE(RIGHT(Комплектация!G148,4)),VALUE(MID(Комплектация!G148,4,2)),VALUE(LEFT(Комплектация!G148,2)))&gt;=DATE(VALUE(RIGHT(Комплектация!I148,4)),VALUE(MID(Комплектация!I148,4,2)),VALUE(LEFT(Комплектация!I148,2))),Комплектация!G148,Комплектация!I148)))</f>
        <v>19.10.2025</v>
      </c>
      <c r="S159" s="23" t="str">
        <f>Комплектация!L148</f>
        <v>19.10.2027</v>
      </c>
      <c r="T159" s="25">
        <f t="shared" si="57"/>
        <v>1.2046543463381245</v>
      </c>
      <c r="U159" s="27">
        <f t="shared" si="58"/>
        <v>39.726027397260275</v>
      </c>
      <c r="V159" s="27">
        <f>IF(U159="","",U159*Справочник!$B$7/100)</f>
        <v>3.9726027397260277</v>
      </c>
      <c r="W159" s="25">
        <f>J159-Справочник!$B$4</f>
        <v>34</v>
      </c>
      <c r="X159" s="29">
        <f>IF(MIN(Комплектация!AA148:'Комплектация'!AB148)-Справочник!$B$4&lt;Справочник!$B$3,1,0)+IF(MIN(Комплектация!AK148:'Комплектация'!AL148)-Справочник!$B$4&lt;Справочник!$B$3,1,0)+IF(MIN(Комплектация!AU148:'Комплектация'!AV148)-Справочник!$B$4&lt;Справочник!$B$3,1,0)+IF(MIN(Комплектация!BE148:'Комплектация'!BF148)-Справочник!$B$4&lt;Справочник!$B$3,1,0)</f>
        <v>1</v>
      </c>
      <c r="Y159" s="34">
        <f>Справочник!$B$8</f>
        <v>4650000</v>
      </c>
      <c r="Z159" s="34">
        <f t="shared" si="59"/>
        <v>3482961.4726027399</v>
      </c>
    </row>
    <row r="160" spans="1:26" x14ac:dyDescent="0.25">
      <c r="A160" s="45">
        <f>Комплектация!A149</f>
        <v>75175992</v>
      </c>
      <c r="B160" s="46" t="str">
        <f>Комплектация!C149</f>
        <v>15-1219-1П</v>
      </c>
      <c r="C160" s="46">
        <f>Комплектация!E149</f>
        <v>2020</v>
      </c>
      <c r="D160" s="46">
        <f t="shared" si="48"/>
        <v>6</v>
      </c>
      <c r="E160" s="47">
        <f t="shared" si="49"/>
        <v>18.75</v>
      </c>
      <c r="F160" s="48" t="str">
        <f>TEXT(Комплектация!V149,"0")&amp;"/"&amp;TEXT(Комплектация!AF149,"0")&amp;"/"&amp;TEXT(Комплектация!AP149,"0")&amp;"/"&amp;TEXT(Комплектация!AZ149,"0")</f>
        <v>2020/2020/2020/2020</v>
      </c>
      <c r="G160" s="49">
        <f>AVERAGE(Комплектация!V149,Комплектация!AF149,Комплектация!AP149,Комплектация!AZ149)</f>
        <v>2020</v>
      </c>
      <c r="H160" s="49">
        <f t="shared" si="50"/>
        <v>6</v>
      </c>
      <c r="I160" s="49">
        <f>AVERAGE(Комплектация!AA149:'Комплектация'!AB149,Комплектация!AK149:'Комплектация'!AL149,Комплектация!AU149:'Комплектация'!AV149,Комплектация!BE149:'Комплектация'!BF149)</f>
        <v>52.25</v>
      </c>
      <c r="J160" s="49">
        <f>MIN(Комплектация!AA149:'Комплектация'!AB149,Комплектация!AK149:'Комплектация'!AL149,Комплектация!AU149:'Комплектация'!AV149,Комплектация!BE149:'Комплектация'!BF149)</f>
        <v>43</v>
      </c>
      <c r="K160" s="47">
        <f t="shared" si="51"/>
        <v>30.434782608695656</v>
      </c>
      <c r="L160" s="47">
        <f t="shared" si="52"/>
        <v>20</v>
      </c>
      <c r="M160" s="47">
        <f t="shared" si="53"/>
        <v>27.304347826086957</v>
      </c>
      <c r="N160" s="47">
        <f t="shared" si="54"/>
        <v>26.479228707564026</v>
      </c>
      <c r="O160" s="47">
        <f t="shared" si="55"/>
        <v>73.520771292435967</v>
      </c>
      <c r="P160" s="50"/>
      <c r="Q160" s="51" t="str">
        <f t="shared" si="56"/>
        <v/>
      </c>
      <c r="R160" s="22" t="str">
        <f>IF(Комплектация!G149="",Комплектация!I149,IF(Комплектация!I149="",Комплектация!G149,IF(DATE(VALUE(RIGHT(Комплектация!G149,4)),VALUE(MID(Комплектация!G149,4,2)),VALUE(LEFT(Комплектация!G149,2)))&gt;=DATE(VALUE(RIGHT(Комплектация!I149,4)),VALUE(MID(Комплектация!I149,4,2)),VALUE(LEFT(Комплектация!I149,2))),Комплектация!G149,Комплектация!I149)))</f>
        <v>26.11.2025</v>
      </c>
      <c r="S160" s="22" t="str">
        <f>Комплектация!L149</f>
        <v>26.11.2027</v>
      </c>
      <c r="T160" s="24">
        <f t="shared" si="57"/>
        <v>1.3086926762491444</v>
      </c>
      <c r="U160" s="26">
        <f t="shared" si="58"/>
        <v>34.520547945205479</v>
      </c>
      <c r="V160" s="26">
        <f>IF(U160="","",U160*Справочник!$B$7/100)</f>
        <v>3.4520547945205475</v>
      </c>
      <c r="W160" s="24">
        <f>J160-Справочник!$B$4</f>
        <v>28</v>
      </c>
      <c r="X160" s="28">
        <f>IF(MIN(Комплектация!AA149:'Комплектация'!AB149)-Справочник!$B$4&lt;Справочник!$B$3,1,0)+IF(MIN(Комплектация!AK149:'Комплектация'!AL149)-Справочник!$B$4&lt;Справочник!$B$3,1,0)+IF(MIN(Комплектация!AU149:'Комплектация'!AV149)-Справочник!$B$4&lt;Справочник!$B$3,1,0)+IF(MIN(Комплектация!BE149:'Комплектация'!BF149)-Справочник!$B$4&lt;Справочник!$B$3,1,0)</f>
        <v>1</v>
      </c>
      <c r="Y160" s="33">
        <f>Справочник!$B$8</f>
        <v>4650000</v>
      </c>
      <c r="Z160" s="33">
        <f t="shared" si="59"/>
        <v>3418715.8650982725</v>
      </c>
    </row>
    <row r="161" spans="1:26" x14ac:dyDescent="0.25">
      <c r="A161" s="52">
        <f>Комплектация!A150</f>
        <v>77205649</v>
      </c>
      <c r="B161" s="53" t="str">
        <f>Комплектация!C150</f>
        <v>15-1755П</v>
      </c>
      <c r="C161" s="53">
        <f>Комплектация!E150</f>
        <v>2013</v>
      </c>
      <c r="D161" s="53">
        <f t="shared" si="48"/>
        <v>13</v>
      </c>
      <c r="E161" s="54">
        <f t="shared" si="49"/>
        <v>40.625</v>
      </c>
      <c r="F161" s="55" t="str">
        <f>TEXT(Комплектация!V150,"0")&amp;"/"&amp;TEXT(Комплектация!AF150,"0")&amp;"/"&amp;TEXT(Комплектация!AP150,"0")&amp;"/"&amp;TEXT(Комплектация!AZ150,"0")</f>
        <v>2013/2013/2013/2013</v>
      </c>
      <c r="G161" s="56">
        <f>AVERAGE(Комплектация!V150,Комплектация!AF150,Комплектация!AP150,Комплектация!AZ150)</f>
        <v>2013</v>
      </c>
      <c r="H161" s="56">
        <f t="shared" si="50"/>
        <v>13</v>
      </c>
      <c r="I161" s="56">
        <f>AVERAGE(Комплектация!AA150:'Комплектация'!AB150,Комплектация!AK150:'Комплектация'!AL150,Комплектация!AU150:'Комплектация'!AV150,Комплектация!BE150:'Комплектация'!BF150)</f>
        <v>56.25</v>
      </c>
      <c r="J161" s="56">
        <f>MIN(Комплектация!AA150:'Комплектация'!AB150,Комплектация!AK150:'Комплектация'!AL150,Комплектация!AU150:'Комплектация'!AV150,Комплектация!BE150:'Комплектация'!BF150)</f>
        <v>54</v>
      </c>
      <c r="K161" s="54">
        <f t="shared" si="51"/>
        <v>0</v>
      </c>
      <c r="L161" s="54">
        <f t="shared" si="52"/>
        <v>43.333333333333336</v>
      </c>
      <c r="M161" s="54">
        <f t="shared" si="53"/>
        <v>13</v>
      </c>
      <c r="N161" s="54">
        <f t="shared" si="54"/>
        <v>29.141267123287669</v>
      </c>
      <c r="O161" s="54">
        <f t="shared" si="55"/>
        <v>70.858732876712338</v>
      </c>
      <c r="P161" s="50"/>
      <c r="Q161" s="57" t="str">
        <f t="shared" si="56"/>
        <v/>
      </c>
      <c r="R161" s="23" t="str">
        <f>IF(Комплектация!G150="",Комплектация!I150,IF(Комплектация!I150="",Комплектация!G150,IF(DATE(VALUE(RIGHT(Комплектация!G150,4)),VALUE(MID(Комплектация!G150,4,2)),VALUE(LEFT(Комплектация!G150,2)))&gt;=DATE(VALUE(RIGHT(Комплектация!I150,4)),VALUE(MID(Комплектация!I150,4,2)),VALUE(LEFT(Комплектация!I150,2))),Комплектация!G150,Комплектация!I150)))</f>
        <v>16.02.2026</v>
      </c>
      <c r="S161" s="23" t="str">
        <f>Комплектация!L150</f>
        <v>16.02.2028</v>
      </c>
      <c r="T161" s="25">
        <f t="shared" si="57"/>
        <v>1.5331964407939767</v>
      </c>
      <c r="U161" s="27">
        <f t="shared" si="58"/>
        <v>23.287671232876711</v>
      </c>
      <c r="V161" s="27">
        <f>IF(U161="","",U161*Справочник!$B$7/100)</f>
        <v>2.3287671232876708</v>
      </c>
      <c r="W161" s="25">
        <f>J161-Справочник!$B$4</f>
        <v>39</v>
      </c>
      <c r="X161" s="29">
        <f>IF(MIN(Комплектация!AA150:'Комплектация'!AB150)-Справочник!$B$4&lt;Справочник!$B$3,1,0)+IF(MIN(Комплектация!AK150:'Комплектация'!AL150)-Справочник!$B$4&lt;Справочник!$B$3,1,0)+IF(MIN(Комплектация!AU150:'Комплектация'!AV150)-Справочник!$B$4&lt;Справочник!$B$3,1,0)+IF(MIN(Комплектация!BE150:'Комплектация'!BF150)-Справочник!$B$4&lt;Справочник!$B$3,1,0)</f>
        <v>0</v>
      </c>
      <c r="Y161" s="34">
        <f>Справочник!$B$8</f>
        <v>4650000</v>
      </c>
      <c r="Z161" s="34">
        <f t="shared" si="59"/>
        <v>3294931.0787671236</v>
      </c>
    </row>
    <row r="162" spans="1:26" x14ac:dyDescent="0.25">
      <c r="A162" s="45">
        <f>Комплектация!A151</f>
        <v>75187096</v>
      </c>
      <c r="B162" s="46" t="str">
        <f>Комплектация!C151</f>
        <v>15-1219-1П</v>
      </c>
      <c r="C162" s="46">
        <f>Комплектация!E151</f>
        <v>2020</v>
      </c>
      <c r="D162" s="46">
        <f t="shared" si="48"/>
        <v>6</v>
      </c>
      <c r="E162" s="47">
        <f t="shared" si="49"/>
        <v>18.75</v>
      </c>
      <c r="F162" s="48" t="str">
        <f>TEXT(Комплектация!V151,"0")&amp;"/"&amp;TEXT(Комплектация!AF151,"0")&amp;"/"&amp;TEXT(Комплектация!AP151,"0")&amp;"/"&amp;TEXT(Комплектация!AZ151,"0")</f>
        <v>2020/2020/2020/2020</v>
      </c>
      <c r="G162" s="49">
        <f>AVERAGE(Комплектация!V151,Комплектация!AF151,Комплектация!AP151,Комплектация!AZ151)</f>
        <v>2020</v>
      </c>
      <c r="H162" s="49">
        <f t="shared" si="50"/>
        <v>6</v>
      </c>
      <c r="I162" s="49">
        <f>AVERAGE(Комплектация!AA151:'Комплектация'!AB151,Комплектация!AK151:'Комплектация'!AL151,Комплектация!AU151:'Комплектация'!AV151,Комплектация!BE151:'Комплектация'!BF151)</f>
        <v>59.5</v>
      </c>
      <c r="J162" s="49">
        <f>MIN(Комплектация!AA151:'Комплектация'!AB151,Комплектация!AK151:'Комплектация'!AL151,Комплектация!AU151:'Комплектация'!AV151,Комплектация!BE151:'Комплектация'!BF151)</f>
        <v>55</v>
      </c>
      <c r="K162" s="47">
        <f t="shared" si="51"/>
        <v>0</v>
      </c>
      <c r="L162" s="47">
        <f t="shared" si="52"/>
        <v>20</v>
      </c>
      <c r="M162" s="47">
        <f t="shared" si="53"/>
        <v>6</v>
      </c>
      <c r="N162" s="47">
        <f t="shared" si="54"/>
        <v>16.525684931506849</v>
      </c>
      <c r="O162" s="47">
        <f t="shared" si="55"/>
        <v>83.474315068493155</v>
      </c>
      <c r="P162" s="50"/>
      <c r="Q162" s="51" t="str">
        <f t="shared" si="56"/>
        <v/>
      </c>
      <c r="R162" s="22" t="str">
        <f>IF(Комплектация!G151="",Комплектация!I151,IF(Комплектация!I151="",Комплектация!G151,IF(DATE(VALUE(RIGHT(Комплектация!G151,4)),VALUE(MID(Комплектация!G151,4,2)),VALUE(LEFT(Комплектация!G151,2)))&gt;=DATE(VALUE(RIGHT(Комплектация!I151,4)),VALUE(MID(Комплектация!I151,4,2)),VALUE(LEFT(Комплектация!I151,2))),Комплектация!G151,Комплектация!I151)))</f>
        <v>06.10.2025</v>
      </c>
      <c r="S162" s="22" t="str">
        <f>Комплектация!L151</f>
        <v>06.10.2027</v>
      </c>
      <c r="T162" s="24">
        <f t="shared" si="57"/>
        <v>1.1690622861054072</v>
      </c>
      <c r="U162" s="26">
        <f t="shared" si="58"/>
        <v>41.506849315068493</v>
      </c>
      <c r="V162" s="26">
        <f>IF(U162="","",U162*Справочник!$B$7/100)</f>
        <v>4.1506849315068495</v>
      </c>
      <c r="W162" s="24">
        <f>J162-Справочник!$B$4</f>
        <v>40</v>
      </c>
      <c r="X162" s="28">
        <f>IF(MIN(Комплектация!AA151:'Комплектация'!AB151)-Справочник!$B$4&lt;Справочник!$B$3,1,0)+IF(MIN(Комплектация!AK151:'Комплектация'!AL151)-Справочник!$B$4&lt;Справочник!$B$3,1,0)+IF(MIN(Комплектация!AU151:'Комплектация'!AV151)-Справочник!$B$4&lt;Справочник!$B$3,1,0)+IF(MIN(Комплектация!BE151:'Комплектация'!BF151)-Справочник!$B$4&lt;Справочник!$B$3,1,0)</f>
        <v>0</v>
      </c>
      <c r="Y162" s="33">
        <f>Справочник!$B$8</f>
        <v>4650000</v>
      </c>
      <c r="Z162" s="33">
        <f t="shared" si="59"/>
        <v>3881555.6506849318</v>
      </c>
    </row>
    <row r="163" spans="1:26" x14ac:dyDescent="0.25">
      <c r="A163" s="52">
        <f>Комплектация!A152</f>
        <v>75182295</v>
      </c>
      <c r="B163" s="53" t="str">
        <f>Комплектация!C152</f>
        <v>15-1219-1П</v>
      </c>
      <c r="C163" s="53">
        <f>Комплектация!E152</f>
        <v>2020</v>
      </c>
      <c r="D163" s="53">
        <f t="shared" si="48"/>
        <v>6</v>
      </c>
      <c r="E163" s="54">
        <f t="shared" si="49"/>
        <v>18.75</v>
      </c>
      <c r="F163" s="55" t="str">
        <f>TEXT(Комплектация!V152,"0")&amp;"/"&amp;TEXT(Комплектация!AF152,"0")&amp;"/"&amp;TEXT(Комплектация!AP152,"0")&amp;"/"&amp;TEXT(Комплектация!AZ152,"0")</f>
        <v>2020/2020/2020/2020</v>
      </c>
      <c r="G163" s="56">
        <f>AVERAGE(Комплектация!V152,Комплектация!AF152,Комплектация!AP152,Комплектация!AZ152)</f>
        <v>2020</v>
      </c>
      <c r="H163" s="56">
        <f t="shared" si="50"/>
        <v>6</v>
      </c>
      <c r="I163" s="56">
        <f>AVERAGE(Комплектация!AA152:'Комплектация'!AB152,Комплектация!AK152:'Комплектация'!AL152,Комплектация!AU152:'Комплектация'!AV152,Комплектация!BE152:'Комплектация'!BF152)</f>
        <v>60.375</v>
      </c>
      <c r="J163" s="56">
        <f>MIN(Комплектация!AA152:'Комплектация'!AB152,Комплектация!AK152:'Комплектация'!AL152,Комплектация!AU152:'Комплектация'!AV152,Комплектация!BE152:'Комплектация'!BF152)</f>
        <v>58</v>
      </c>
      <c r="K163" s="54">
        <f t="shared" si="51"/>
        <v>0</v>
      </c>
      <c r="L163" s="54">
        <f t="shared" si="52"/>
        <v>20</v>
      </c>
      <c r="M163" s="54">
        <f t="shared" si="53"/>
        <v>6</v>
      </c>
      <c r="N163" s="54">
        <f t="shared" si="54"/>
        <v>16.292808219178081</v>
      </c>
      <c r="O163" s="54">
        <f t="shared" si="55"/>
        <v>83.707191780821915</v>
      </c>
      <c r="P163" s="50"/>
      <c r="Q163" s="57" t="str">
        <f t="shared" si="56"/>
        <v/>
      </c>
      <c r="R163" s="23" t="str">
        <f>IF(Комплектация!G152="",Комплектация!I152,IF(Комплектация!I152="",Комплектация!G152,IF(DATE(VALUE(RIGHT(Комплектация!G152,4)),VALUE(MID(Комплектация!G152,4,2)),VALUE(LEFT(Комплектация!G152,2)))&gt;=DATE(VALUE(RIGHT(Комплектация!I152,4)),VALUE(MID(Комплектация!I152,4,2)),VALUE(LEFT(Комплектация!I152,2))),Комплектация!G152,Комплектация!I152)))</f>
        <v>23.10.2025</v>
      </c>
      <c r="S163" s="23" t="str">
        <f>Комплектация!L152</f>
        <v>23.10.2027</v>
      </c>
      <c r="T163" s="25">
        <f t="shared" si="57"/>
        <v>1.215605749486653</v>
      </c>
      <c r="U163" s="27">
        <f t="shared" si="58"/>
        <v>39.178082191780824</v>
      </c>
      <c r="V163" s="27">
        <f>IF(U163="","",U163*Справочник!$B$7/100)</f>
        <v>3.9178082191780823</v>
      </c>
      <c r="W163" s="25">
        <f>J163-Справочник!$B$4</f>
        <v>43</v>
      </c>
      <c r="X163" s="29">
        <f>IF(MIN(Комплектация!AA152:'Комплектация'!AB152)-Справочник!$B$4&lt;Справочник!$B$3,1,0)+IF(MIN(Комплектация!AK152:'Комплектация'!AL152)-Справочник!$B$4&lt;Справочник!$B$3,1,0)+IF(MIN(Комплектация!AU152:'Комплектация'!AV152)-Справочник!$B$4&lt;Справочник!$B$3,1,0)+IF(MIN(Комплектация!BE152:'Комплектация'!BF152)-Справочник!$B$4&lt;Справочник!$B$3,1,0)</f>
        <v>0</v>
      </c>
      <c r="Y163" s="34">
        <f>Справочник!$B$8</f>
        <v>4650000</v>
      </c>
      <c r="Z163" s="34">
        <f t="shared" si="59"/>
        <v>3892384.4178082193</v>
      </c>
    </row>
    <row r="164" spans="1:26" x14ac:dyDescent="0.25">
      <c r="A164" s="45">
        <f>Комплектация!A153</f>
        <v>75182790</v>
      </c>
      <c r="B164" s="46" t="str">
        <f>Комплектация!C153</f>
        <v>15-1219-1П</v>
      </c>
      <c r="C164" s="46">
        <f>Комплектация!E153</f>
        <v>2020</v>
      </c>
      <c r="D164" s="46">
        <f t="shared" si="48"/>
        <v>6</v>
      </c>
      <c r="E164" s="47">
        <f t="shared" si="49"/>
        <v>18.75</v>
      </c>
      <c r="F164" s="48" t="str">
        <f>TEXT(Комплектация!V153,"0")&amp;"/"&amp;TEXT(Комплектация!AF153,"0")&amp;"/"&amp;TEXT(Комплектация!AP153,"0")&amp;"/"&amp;TEXT(Комплектация!AZ153,"0")</f>
        <v>2020/2020/2020/2020</v>
      </c>
      <c r="G164" s="49">
        <f>AVERAGE(Комплектация!V153,Комплектация!AF153,Комплектация!AP153,Комплектация!AZ153)</f>
        <v>2020</v>
      </c>
      <c r="H164" s="49">
        <f t="shared" si="50"/>
        <v>6</v>
      </c>
      <c r="I164" s="49">
        <f>AVERAGE(Комплектация!AA153:'Комплектация'!AB153,Комплектация!AK153:'Комплектация'!AL153,Комплектация!AU153:'Комплектация'!AV153,Комплектация!BE153:'Комплектация'!BF153)</f>
        <v>62.125</v>
      </c>
      <c r="J164" s="49">
        <f>MIN(Комплектация!AA153:'Комплектация'!AB153,Комплектация!AK153:'Комплектация'!AL153,Комплектация!AU153:'Комплектация'!AV153,Комплектация!BE153:'Комплектация'!BF153)</f>
        <v>60</v>
      </c>
      <c r="K164" s="47">
        <f t="shared" si="51"/>
        <v>0</v>
      </c>
      <c r="L164" s="47">
        <f t="shared" si="52"/>
        <v>20</v>
      </c>
      <c r="M164" s="47">
        <f t="shared" si="53"/>
        <v>6</v>
      </c>
      <c r="N164" s="47">
        <f t="shared" si="54"/>
        <v>16.799657534246574</v>
      </c>
      <c r="O164" s="47">
        <f t="shared" si="55"/>
        <v>83.200342465753423</v>
      </c>
      <c r="P164" s="50"/>
      <c r="Q164" s="51" t="str">
        <f t="shared" si="56"/>
        <v/>
      </c>
      <c r="R164" s="22" t="str">
        <f>IF(Комплектация!G153="",Комплектация!I153,IF(Комплектация!I153="",Комплектация!G153,IF(DATE(VALUE(RIGHT(Комплектация!G153,4)),VALUE(MID(Комплектация!G153,4,2)),VALUE(LEFT(Комплектация!G153,2)))&gt;=DATE(VALUE(RIGHT(Комплектация!I153,4)),VALUE(MID(Комплектация!I153,4,2)),VALUE(LEFT(Комплектация!I153,2))),Комплектация!G153,Комплектация!I153)))</f>
        <v>16.09.2025</v>
      </c>
      <c r="S164" s="22" t="str">
        <f>Комплектация!L153</f>
        <v>16.09.2027</v>
      </c>
      <c r="T164" s="24">
        <f t="shared" si="57"/>
        <v>1.1143052703627652</v>
      </c>
      <c r="U164" s="26">
        <f t="shared" si="58"/>
        <v>44.246575342465754</v>
      </c>
      <c r="V164" s="26">
        <f>IF(U164="","",U164*Справочник!$B$7/100)</f>
        <v>4.4246575342465748</v>
      </c>
      <c r="W164" s="24">
        <f>J164-Справочник!$B$4</f>
        <v>45</v>
      </c>
      <c r="X164" s="28">
        <f>IF(MIN(Комплектация!AA153:'Комплектация'!AB153)-Справочник!$B$4&lt;Справочник!$B$3,1,0)+IF(MIN(Комплектация!AK153:'Комплектация'!AL153)-Справочник!$B$4&lt;Справочник!$B$3,1,0)+IF(MIN(Комплектация!AU153:'Комплектация'!AV153)-Справочник!$B$4&lt;Справочник!$B$3,1,0)+IF(MIN(Комплектация!BE153:'Комплектация'!BF153)-Справочник!$B$4&lt;Справочник!$B$3,1,0)</f>
        <v>0</v>
      </c>
      <c r="Y164" s="33">
        <f>Справочник!$B$8</f>
        <v>4650000</v>
      </c>
      <c r="Z164" s="33">
        <f t="shared" si="59"/>
        <v>3868815.9246575343</v>
      </c>
    </row>
    <row r="165" spans="1:26" x14ac:dyDescent="0.25">
      <c r="A165" s="52">
        <f>Комплектация!A154</f>
        <v>75165696</v>
      </c>
      <c r="B165" s="53" t="str">
        <f>Комплектация!C154</f>
        <v>15-1219-1П</v>
      </c>
      <c r="C165" s="53">
        <f>Комплектация!E154</f>
        <v>2020</v>
      </c>
      <c r="D165" s="53">
        <f t="shared" si="48"/>
        <v>6</v>
      </c>
      <c r="E165" s="54">
        <f t="shared" si="49"/>
        <v>18.75</v>
      </c>
      <c r="F165" s="55" t="str">
        <f>TEXT(Комплектация!V154,"0")&amp;"/"&amp;TEXT(Комплектация!AF154,"0")&amp;"/"&amp;TEXT(Комплектация!AP154,"0")&amp;"/"&amp;TEXT(Комплектация!AZ154,"0")</f>
        <v>2020/2020/2020/2020</v>
      </c>
      <c r="G165" s="56">
        <f>AVERAGE(Комплектация!V154,Комплектация!AF154,Комплектация!AP154,Комплектация!AZ154)</f>
        <v>2020</v>
      </c>
      <c r="H165" s="56">
        <f t="shared" si="50"/>
        <v>6</v>
      </c>
      <c r="I165" s="56">
        <f>AVERAGE(Комплектация!AA154:'Комплектация'!AB154,Комплектация!AK154:'Комплектация'!AL154,Комплектация!AU154:'Комплектация'!AV154,Комплектация!BE154:'Комплектация'!BF154)</f>
        <v>63.25</v>
      </c>
      <c r="J165" s="56">
        <f>MIN(Комплектация!AA154:'Комплектация'!AB154,Комплектация!AK154:'Комплектация'!AL154,Комплектация!AU154:'Комплектация'!AV154,Комплектация!BE154:'Комплектация'!BF154)</f>
        <v>60</v>
      </c>
      <c r="K165" s="54">
        <f t="shared" si="51"/>
        <v>0</v>
      </c>
      <c r="L165" s="54">
        <f t="shared" si="52"/>
        <v>20</v>
      </c>
      <c r="M165" s="54">
        <f t="shared" si="53"/>
        <v>6</v>
      </c>
      <c r="N165" s="54">
        <f t="shared" si="54"/>
        <v>16.717465753424658</v>
      </c>
      <c r="O165" s="54">
        <f t="shared" si="55"/>
        <v>83.282534246575338</v>
      </c>
      <c r="P165" s="50"/>
      <c r="Q165" s="57" t="str">
        <f t="shared" si="56"/>
        <v/>
      </c>
      <c r="R165" s="23" t="str">
        <f>IF(Комплектация!G154="",Комплектация!I154,IF(Комплектация!I154="",Комплектация!G154,IF(DATE(VALUE(RIGHT(Комплектация!G154,4)),VALUE(MID(Комплектация!G154,4,2)),VALUE(LEFT(Комплектация!G154,2)))&gt;=DATE(VALUE(RIGHT(Комплектация!I154,4)),VALUE(MID(Комплектация!I154,4,2)),VALUE(LEFT(Комплектация!I154,2))),Комплектация!G154,Комплектация!I154)))</f>
        <v>22.09.2025</v>
      </c>
      <c r="S165" s="23" t="str">
        <f>Комплектация!L154</f>
        <v>22.09.2027</v>
      </c>
      <c r="T165" s="25">
        <f t="shared" si="57"/>
        <v>1.1307323750855578</v>
      </c>
      <c r="U165" s="27">
        <f t="shared" si="58"/>
        <v>43.424657534246577</v>
      </c>
      <c r="V165" s="27">
        <f>IF(U165="","",U165*Справочник!$B$7/100)</f>
        <v>4.3424657534246585</v>
      </c>
      <c r="W165" s="25">
        <f>J165-Справочник!$B$4</f>
        <v>45</v>
      </c>
      <c r="X165" s="29">
        <f>IF(MIN(Комплектация!AA154:'Комплектация'!AB154)-Справочник!$B$4&lt;Справочник!$B$3,1,0)+IF(MIN(Комплектация!AK154:'Комплектация'!AL154)-Справочник!$B$4&lt;Справочник!$B$3,1,0)+IF(MIN(Комплектация!AU154:'Комплектация'!AV154)-Справочник!$B$4&lt;Справочник!$B$3,1,0)+IF(MIN(Комплектация!BE154:'Комплектация'!BF154)-Справочник!$B$4&lt;Справочник!$B$3,1,0)</f>
        <v>0</v>
      </c>
      <c r="Y165" s="34">
        <f>Справочник!$B$8</f>
        <v>4650000</v>
      </c>
      <c r="Z165" s="34">
        <f t="shared" si="59"/>
        <v>3872637.8424657527</v>
      </c>
    </row>
    <row r="166" spans="1:26" x14ac:dyDescent="0.25">
      <c r="A166" s="45">
        <f>Комплектация!A155</f>
        <v>75183194</v>
      </c>
      <c r="B166" s="46" t="str">
        <f>Комплектация!C155</f>
        <v>15-1219-1П</v>
      </c>
      <c r="C166" s="46">
        <f>Комплектация!E155</f>
        <v>2020</v>
      </c>
      <c r="D166" s="46">
        <f t="shared" si="48"/>
        <v>6</v>
      </c>
      <c r="E166" s="47">
        <f t="shared" si="49"/>
        <v>18.75</v>
      </c>
      <c r="F166" s="48" t="str">
        <f>TEXT(Комплектация!V155,"0")&amp;"/"&amp;TEXT(Комплектация!AF155,"0")&amp;"/"&amp;TEXT(Комплектация!AP155,"0")&amp;"/"&amp;TEXT(Комплектация!AZ155,"0")</f>
        <v>2020/2020/2020/2020</v>
      </c>
      <c r="G166" s="49">
        <f>AVERAGE(Комплектация!V155,Комплектация!AF155,Комплектация!AP155,Комплектация!AZ155)</f>
        <v>2020</v>
      </c>
      <c r="H166" s="49">
        <f t="shared" si="50"/>
        <v>6</v>
      </c>
      <c r="I166" s="49">
        <f>AVERAGE(Комплектация!AA155:'Комплектация'!AB155,Комплектация!AK155:'Комплектация'!AL155,Комплектация!AU155:'Комплектация'!AV155,Комплектация!BE155:'Комплектация'!BF155)</f>
        <v>64.25</v>
      </c>
      <c r="J166" s="49">
        <f>MIN(Комплектация!AA155:'Комплектация'!AB155,Комплектация!AK155:'Комплектация'!AL155,Комплектация!AU155:'Комплектация'!AV155,Комплектация!BE155:'Комплектация'!BF155)</f>
        <v>63</v>
      </c>
      <c r="K166" s="47">
        <f t="shared" si="51"/>
        <v>0</v>
      </c>
      <c r="L166" s="47">
        <f t="shared" si="52"/>
        <v>20</v>
      </c>
      <c r="M166" s="47">
        <f t="shared" si="53"/>
        <v>6</v>
      </c>
      <c r="N166" s="47">
        <f t="shared" si="54"/>
        <v>14.827054794520548</v>
      </c>
      <c r="O166" s="47">
        <f t="shared" si="55"/>
        <v>85.172945205479451</v>
      </c>
      <c r="P166" s="50"/>
      <c r="Q166" s="51" t="str">
        <f t="shared" si="56"/>
        <v/>
      </c>
      <c r="R166" s="22" t="str">
        <f>IF(Комплектация!G155="",Комплектация!I155,IF(Комплектация!I155="",Комплектация!G155,IF(DATE(VALUE(RIGHT(Комплектация!G155,4)),VALUE(MID(Комплектация!G155,4,2)),VALUE(LEFT(Комплектация!G155,2)))&gt;=DATE(VALUE(RIGHT(Комплектация!I155,4)),VALUE(MID(Комплектация!I155,4,2)),VALUE(LEFT(Комплектация!I155,2))),Комплектация!G155,Комплектация!I155)))</f>
        <v>07.02.2026</v>
      </c>
      <c r="S166" s="22" t="str">
        <f>Комплектация!L155</f>
        <v>07.02.2028</v>
      </c>
      <c r="T166" s="24">
        <f t="shared" si="57"/>
        <v>1.5085557837097878</v>
      </c>
      <c r="U166" s="26">
        <f t="shared" si="58"/>
        <v>24.520547945205479</v>
      </c>
      <c r="V166" s="26">
        <f>IF(U166="","",U166*Справочник!$B$7/100)</f>
        <v>2.452054794520548</v>
      </c>
      <c r="W166" s="24">
        <f>J166-Справочник!$B$4</f>
        <v>48</v>
      </c>
      <c r="X166" s="28">
        <f>IF(MIN(Комплектация!AA155:'Комплектация'!AB155)-Справочник!$B$4&lt;Справочник!$B$3,1,0)+IF(MIN(Комплектация!AK155:'Комплектация'!AL155)-Справочник!$B$4&lt;Справочник!$B$3,1,0)+IF(MIN(Комплектация!AU155:'Комплектация'!AV155)-Справочник!$B$4&lt;Справочник!$B$3,1,0)+IF(MIN(Комплектация!BE155:'Комплектация'!BF155)-Справочник!$B$4&lt;Справочник!$B$3,1,0)</f>
        <v>0</v>
      </c>
      <c r="Y166" s="33">
        <f>Справочник!$B$8</f>
        <v>4650000</v>
      </c>
      <c r="Z166" s="33">
        <f t="shared" si="59"/>
        <v>3960541.9520547944</v>
      </c>
    </row>
    <row r="167" spans="1:26" x14ac:dyDescent="0.25">
      <c r="A167" s="52">
        <f>Комплектация!A156</f>
        <v>77223949</v>
      </c>
      <c r="B167" s="53" t="str">
        <f>Комплектация!C156</f>
        <v>15-150-04П</v>
      </c>
      <c r="C167" s="53">
        <f>Комплектация!E156</f>
        <v>2011</v>
      </c>
      <c r="D167" s="53">
        <f t="shared" si="48"/>
        <v>15</v>
      </c>
      <c r="E167" s="54">
        <f t="shared" si="49"/>
        <v>46.875</v>
      </c>
      <c r="F167" s="55" t="str">
        <f>TEXT(Комплектация!V156,"0")&amp;"/"&amp;TEXT(Комплектация!AF156,"0")&amp;"/"&amp;TEXT(Комплектация!AP156,"0")&amp;"/"&amp;TEXT(Комплектация!AZ156,"0")</f>
        <v>1996/1991/2011/2011</v>
      </c>
      <c r="G167" s="56">
        <f>AVERAGE(Комплектация!V156,Комплектация!AF156,Комплектация!AP156,Комплектация!AZ156)</f>
        <v>2002.25</v>
      </c>
      <c r="H167" s="56">
        <f t="shared" si="50"/>
        <v>23.75</v>
      </c>
      <c r="I167" s="56">
        <f>AVERAGE(Комплектация!AA156:'Комплектация'!AB156,Комплектация!AK156:'Комплектация'!AL156,Комплектация!AU156:'Комплектация'!AV156,Комплектация!BE156:'Комплектация'!BF156)</f>
        <v>64</v>
      </c>
      <c r="J167" s="56">
        <f>MIN(Комплектация!AA156:'Комплектация'!AB156,Комплектация!AK156:'Комплектация'!AL156,Комплектация!AU156:'Комплектация'!AV156,Комплектация!BE156:'Комплектация'!BF156)</f>
        <v>64</v>
      </c>
      <c r="K167" s="54">
        <f t="shared" si="51"/>
        <v>0</v>
      </c>
      <c r="L167" s="54">
        <f t="shared" si="52"/>
        <v>79.166666666666657</v>
      </c>
      <c r="M167" s="54">
        <f t="shared" si="53"/>
        <v>23.749999999999996</v>
      </c>
      <c r="N167" s="54">
        <f t="shared" si="54"/>
        <v>35.805200729927009</v>
      </c>
      <c r="O167" s="54">
        <f t="shared" si="55"/>
        <v>64.194799270072991</v>
      </c>
      <c r="P167" s="50"/>
      <c r="Q167" s="57" t="str">
        <f t="shared" si="56"/>
        <v/>
      </c>
      <c r="R167" s="23" t="str">
        <f>IF(Комплектация!G156="",Комплектация!I156,IF(Комплектация!I156="",Комплектация!G156,IF(DATE(VALUE(RIGHT(Комплектация!G156,4)),VALUE(MID(Комплектация!G156,4,2)),VALUE(LEFT(Комплектация!G156,2)))&gt;=DATE(VALUE(RIGHT(Комплектация!I156,4)),VALUE(MID(Комплектация!I156,4,2)),VALUE(LEFT(Комплектация!I156,2))),Комплектация!G156,Комплектация!I156)))</f>
        <v>12.06.2026</v>
      </c>
      <c r="S167" s="23" t="str">
        <f>Комплектация!L156</f>
        <v>12.06.2029</v>
      </c>
      <c r="T167" s="25">
        <f t="shared" si="57"/>
        <v>2.8528405201916494</v>
      </c>
      <c r="U167" s="27">
        <f t="shared" si="58"/>
        <v>4.9270072992700733</v>
      </c>
      <c r="V167" s="27">
        <f>IF(U167="","",U167*Справочник!$B$7/100)</f>
        <v>0.49270072992700731</v>
      </c>
      <c r="W167" s="25">
        <f>J167-Справочник!$B$4</f>
        <v>49</v>
      </c>
      <c r="X167" s="29">
        <f>IF(MIN(Комплектация!AA156:'Комплектация'!AB156)-Справочник!$B$4&lt;Справочник!$B$3,1,0)+IF(MIN(Комплектация!AK156:'Комплектация'!AL156)-Справочник!$B$4&lt;Справочник!$B$3,1,0)+IF(MIN(Комплектация!AU156:'Комплектация'!AV156)-Справочник!$B$4&lt;Справочник!$B$3,1,0)+IF(MIN(Комплектация!BE156:'Комплектация'!BF156)-Справочник!$B$4&lt;Справочник!$B$3,1,0)</f>
        <v>0</v>
      </c>
      <c r="Y167" s="34">
        <f>Справочник!$B$8</f>
        <v>4650000</v>
      </c>
      <c r="Z167" s="34">
        <f t="shared" si="59"/>
        <v>2985058.1660583941</v>
      </c>
    </row>
    <row r="168" spans="1:26" x14ac:dyDescent="0.25">
      <c r="A168" s="45">
        <f>Комплектация!A157</f>
        <v>77228740</v>
      </c>
      <c r="B168" s="46" t="str">
        <f>Комплектация!C157</f>
        <v>15-5103-7П</v>
      </c>
      <c r="C168" s="46">
        <f>Комплектация!E157</f>
        <v>2015</v>
      </c>
      <c r="D168" s="46">
        <f t="shared" si="48"/>
        <v>11</v>
      </c>
      <c r="E168" s="47">
        <f t="shared" si="49"/>
        <v>34.375</v>
      </c>
      <c r="F168" s="48" t="str">
        <f>TEXT(Комплектация!V157,"0")&amp;"/"&amp;TEXT(Комплектация!AF157,"0")&amp;"/"&amp;TEXT(Комплектация!AP157,"0")&amp;"/"&amp;TEXT(Комплектация!AZ157,"0")</f>
        <v>2015/2014/2014/2015</v>
      </c>
      <c r="G168" s="49">
        <f>AVERAGE(Комплектация!V157,Комплектация!AF157,Комплектация!AP157,Комплектация!AZ157)</f>
        <v>2014.5</v>
      </c>
      <c r="H168" s="49">
        <f t="shared" si="50"/>
        <v>11.5</v>
      </c>
      <c r="I168" s="49">
        <f>AVERAGE(Комплектация!AA157:'Комплектация'!AB157,Комплектация!AK157:'Комплектация'!AL157,Комплектация!AU157:'Комплектация'!AV157,Комплектация!BE157:'Комплектация'!BF157)</f>
        <v>74</v>
      </c>
      <c r="J168" s="49">
        <f>MIN(Комплектация!AA157:'Комплектация'!AB157,Комплектация!AK157:'Комплектация'!AL157,Комплектация!AU157:'Комплектация'!AV157,Комплектация!BE157:'Комплектация'!BF157)</f>
        <v>73</v>
      </c>
      <c r="K168" s="47">
        <f t="shared" si="51"/>
        <v>0</v>
      </c>
      <c r="L168" s="47">
        <f t="shared" si="52"/>
        <v>38.333333333333336</v>
      </c>
      <c r="M168" s="47">
        <f t="shared" si="53"/>
        <v>11.5</v>
      </c>
      <c r="N168" s="47">
        <f t="shared" si="54"/>
        <v>26.130930656934307</v>
      </c>
      <c r="O168" s="47">
        <f t="shared" si="55"/>
        <v>73.869069343065689</v>
      </c>
      <c r="P168" s="50"/>
      <c r="Q168" s="51" t="str">
        <f t="shared" si="56"/>
        <v/>
      </c>
      <c r="R168" s="22" t="str">
        <f>IF(Комплектация!G157="",Комплектация!I157,IF(Комплектация!I157="",Комплектация!G157,IF(DATE(VALUE(RIGHT(Комплектация!G157,4)),VALUE(MID(Комплектация!G157,4,2)),VALUE(LEFT(Комплектация!G157,2)))&gt;=DATE(VALUE(RIGHT(Комплектация!I157,4)),VALUE(MID(Комплектация!I157,4,2)),VALUE(LEFT(Комплектация!I157,2))),Комплектация!G157,Комплектация!I157)))</f>
        <v>20.08.2025</v>
      </c>
      <c r="S168" s="22" t="str">
        <f>Комплектация!L157</f>
        <v>20.08.2028</v>
      </c>
      <c r="T168" s="24">
        <f t="shared" si="57"/>
        <v>2.0424366872005475</v>
      </c>
      <c r="U168" s="26">
        <f t="shared" si="58"/>
        <v>31.934306569343068</v>
      </c>
      <c r="V168" s="26">
        <f>IF(U168="","",U168*Справочник!$B$7/100)</f>
        <v>3.1934306569343067</v>
      </c>
      <c r="W168" s="24">
        <f>J168-Справочник!$B$4</f>
        <v>58</v>
      </c>
      <c r="X168" s="28">
        <f>IF(MIN(Комплектация!AA157:'Комплектация'!AB157)-Справочник!$B$4&lt;Справочник!$B$3,1,0)+IF(MIN(Комплектация!AK157:'Комплектация'!AL157)-Справочник!$B$4&lt;Справочник!$B$3,1,0)+IF(MIN(Комплектация!AU157:'Комплектация'!AV157)-Справочник!$B$4&lt;Справочник!$B$3,1,0)+IF(MIN(Комплектация!BE157:'Комплектация'!BF157)-Справочник!$B$4&lt;Справочник!$B$3,1,0)</f>
        <v>0</v>
      </c>
      <c r="Y168" s="33">
        <f>Справочник!$B$8</f>
        <v>4650000</v>
      </c>
      <c r="Z168" s="33">
        <f t="shared" si="59"/>
        <v>3434911.7244525547</v>
      </c>
    </row>
    <row r="169" spans="1:26" x14ac:dyDescent="0.25">
      <c r="A169" s="52">
        <f>Комплектация!A158</f>
        <v>77222081</v>
      </c>
      <c r="B169" s="53" t="str">
        <f>Комплектация!C158</f>
        <v>15-5103-7П</v>
      </c>
      <c r="C169" s="53">
        <f>Комплектация!E158</f>
        <v>2011</v>
      </c>
      <c r="D169" s="53">
        <f t="shared" si="48"/>
        <v>15</v>
      </c>
      <c r="E169" s="54">
        <f t="shared" si="49"/>
        <v>46.875</v>
      </c>
      <c r="F169" s="55" t="str">
        <f>TEXT(Комплектация!V158,"0")&amp;"/"&amp;TEXT(Комплектация!AF158,"0")&amp;"/"&amp;TEXT(Комплектация!AP158,"0")&amp;"/"&amp;TEXT(Комплектация!AZ158,"0")</f>
        <v>2011/2011/2011/2011</v>
      </c>
      <c r="G169" s="56">
        <f>AVERAGE(Комплектация!V158,Комплектация!AF158,Комплектация!AP158,Комплектация!AZ158)</f>
        <v>2011</v>
      </c>
      <c r="H169" s="56">
        <f t="shared" si="50"/>
        <v>15</v>
      </c>
      <c r="I169" s="56">
        <f>AVERAGE(Комплектация!AA158:'Комплектация'!AB158,Комплектация!AK158:'Комплектация'!AL158,Комплектация!AU158:'Комплектация'!AV158,Комплектация!BE158:'Комплектация'!BF158)</f>
        <v>67.375</v>
      </c>
      <c r="J169" s="56">
        <f>MIN(Комплектация!AA158:'Комплектация'!AB158,Комплектация!AK158:'Комплектация'!AL158,Комплектация!AU158:'Комплектация'!AV158,Комплектация!BE158:'Комплектация'!BF158)</f>
        <v>66</v>
      </c>
      <c r="K169" s="54">
        <f t="shared" si="51"/>
        <v>0</v>
      </c>
      <c r="L169" s="54">
        <f t="shared" si="52"/>
        <v>50</v>
      </c>
      <c r="M169" s="54">
        <f t="shared" si="53"/>
        <v>15</v>
      </c>
      <c r="N169" s="54">
        <f t="shared" si="54"/>
        <v>34.09443430656934</v>
      </c>
      <c r="O169" s="54">
        <f t="shared" si="55"/>
        <v>65.90556569343066</v>
      </c>
      <c r="P169" s="50"/>
      <c r="Q169" s="57" t="str">
        <f t="shared" si="56"/>
        <v/>
      </c>
      <c r="R169" s="23" t="str">
        <f>IF(Комплектация!G158="",Комплектация!I158,IF(Комплектация!I158="",Комплектация!G158,IF(DATE(VALUE(RIGHT(Комплектация!G158,4)),VALUE(MID(Комплектация!G158,4,2)),VALUE(LEFT(Комплектация!G158,2)))&gt;=DATE(VALUE(RIGHT(Комплектация!I158,4)),VALUE(MID(Комплектация!I158,4,2)),VALUE(LEFT(Комплектация!I158,2))),Комплектация!G158,Комплектация!I158)))</f>
        <v>24.08.2025</v>
      </c>
      <c r="S169" s="23" t="str">
        <f>Комплектация!L158</f>
        <v>24.08.2028</v>
      </c>
      <c r="T169" s="25">
        <f t="shared" si="57"/>
        <v>2.0533880903490758</v>
      </c>
      <c r="U169" s="27">
        <f t="shared" si="58"/>
        <v>31.569343065693428</v>
      </c>
      <c r="V169" s="27">
        <f>IF(U169="","",U169*Справочник!$B$7/100)</f>
        <v>3.1569343065693425</v>
      </c>
      <c r="W169" s="25">
        <f>J169-Справочник!$B$4</f>
        <v>51</v>
      </c>
      <c r="X169" s="29">
        <f>IF(MIN(Комплектация!AA158:'Комплектация'!AB158)-Справочник!$B$4&lt;Справочник!$B$3,1,0)+IF(MIN(Комплектация!AK158:'Комплектация'!AL158)-Справочник!$B$4&lt;Справочник!$B$3,1,0)+IF(MIN(Комплектация!AU158:'Комплектация'!AV158)-Справочник!$B$4&lt;Справочник!$B$3,1,0)+IF(MIN(Комплектация!BE158:'Комплектация'!BF158)-Справочник!$B$4&lt;Справочник!$B$3,1,0)</f>
        <v>0</v>
      </c>
      <c r="Y169" s="34">
        <f>Справочник!$B$8</f>
        <v>4650000</v>
      </c>
      <c r="Z169" s="34">
        <f t="shared" si="59"/>
        <v>3064608.8047445253</v>
      </c>
    </row>
    <row r="170" spans="1:26" x14ac:dyDescent="0.25">
      <c r="A170" s="45">
        <f>Комплектация!A159</f>
        <v>77224574</v>
      </c>
      <c r="B170" s="46" t="str">
        <f>Комплектация!C159</f>
        <v>15-5103-7П</v>
      </c>
      <c r="C170" s="46">
        <f>Комплектация!E159</f>
        <v>2012</v>
      </c>
      <c r="D170" s="46">
        <f t="shared" si="48"/>
        <v>14</v>
      </c>
      <c r="E170" s="47">
        <f t="shared" si="49"/>
        <v>43.75</v>
      </c>
      <c r="F170" s="48" t="str">
        <f>TEXT(Комплектация!V159,"0")&amp;"/"&amp;TEXT(Комплектация!AF159,"0")&amp;"/"&amp;TEXT(Комплектация!AP159,"0")&amp;"/"&amp;TEXT(Комплектация!AZ159,"0")</f>
        <v>2004/2002/1988/1988</v>
      </c>
      <c r="G170" s="49">
        <f>AVERAGE(Комплектация!V159,Комплектация!AF159,Комплектация!AP159,Комплектация!AZ159)</f>
        <v>1995.5</v>
      </c>
      <c r="H170" s="49">
        <f t="shared" si="50"/>
        <v>30.5</v>
      </c>
      <c r="I170" s="49">
        <f>AVERAGE(Комплектация!AA159:'Комплектация'!AB159,Комплектация!AK159:'Комплектация'!AL159,Комплектация!AU159:'Комплектация'!AV159,Комплектация!BE159:'Комплектация'!BF159)</f>
        <v>66.375</v>
      </c>
      <c r="J170" s="49">
        <f>MIN(Комплектация!AA159:'Комплектация'!AB159,Комплектация!AK159:'Комплектация'!AL159,Комплектация!AU159:'Комплектация'!AV159,Комплектация!BE159:'Комплектация'!BF159)</f>
        <v>64</v>
      </c>
      <c r="K170" s="47">
        <f t="shared" si="51"/>
        <v>0</v>
      </c>
      <c r="L170" s="47">
        <f t="shared" si="52"/>
        <v>100</v>
      </c>
      <c r="M170" s="47">
        <f t="shared" si="53"/>
        <v>30</v>
      </c>
      <c r="N170" s="47">
        <f t="shared" si="54"/>
        <v>40.041058394160586</v>
      </c>
      <c r="O170" s="47">
        <f t="shared" si="55"/>
        <v>59.958941605839414</v>
      </c>
      <c r="P170" s="50"/>
      <c r="Q170" s="51" t="str">
        <f t="shared" si="56"/>
        <v/>
      </c>
      <c r="R170" s="22" t="str">
        <f>IF(Комплектация!G159="",Комплектация!I159,IF(Комплектация!I159="",Комплектация!G159,IF(DATE(VALUE(RIGHT(Комплектация!G159,4)),VALUE(MID(Комплектация!G159,4,2)),VALUE(LEFT(Комплектация!G159,2)))&gt;=DATE(VALUE(RIGHT(Комплектация!I159,4)),VALUE(MID(Комплектация!I159,4,2)),VALUE(LEFT(Комплектация!I159,2))),Комплектация!G159,Комплектация!I159)))</f>
        <v>23.08.2025</v>
      </c>
      <c r="S170" s="22" t="str">
        <f>Комплектация!L159</f>
        <v>23.08.2028</v>
      </c>
      <c r="T170" s="24">
        <f t="shared" si="57"/>
        <v>2.0506502395619437</v>
      </c>
      <c r="U170" s="26">
        <f t="shared" si="58"/>
        <v>31.660583941605839</v>
      </c>
      <c r="V170" s="26">
        <f>IF(U170="","",U170*Справочник!$B$7/100)</f>
        <v>3.1660583941605842</v>
      </c>
      <c r="W170" s="24">
        <f>J170-Справочник!$B$4</f>
        <v>49</v>
      </c>
      <c r="X170" s="28">
        <f>IF(MIN(Комплектация!AA159:'Комплектация'!AB159)-Справочник!$B$4&lt;Справочник!$B$3,1,0)+IF(MIN(Комплектация!AK159:'Комплектация'!AL159)-Справочник!$B$4&lt;Справочник!$B$3,1,0)+IF(MIN(Комплектация!AU159:'Комплектация'!AV159)-Справочник!$B$4&lt;Справочник!$B$3,1,0)+IF(MIN(Комплектация!BE159:'Комплектация'!BF159)-Справочник!$B$4&lt;Справочник!$B$3,1,0)</f>
        <v>0</v>
      </c>
      <c r="Y170" s="33">
        <f>Справочник!$B$8</f>
        <v>4650000</v>
      </c>
      <c r="Z170" s="33">
        <f t="shared" si="59"/>
        <v>2788090.7846715325</v>
      </c>
    </row>
    <row r="171" spans="1:26" x14ac:dyDescent="0.25">
      <c r="A171" s="52">
        <f>Комплектация!A160</f>
        <v>77228732</v>
      </c>
      <c r="B171" s="53" t="str">
        <f>Комплектация!C160</f>
        <v>15-5103-7П</v>
      </c>
      <c r="C171" s="53">
        <f>Комплектация!E160</f>
        <v>2015</v>
      </c>
      <c r="D171" s="53">
        <f t="shared" si="48"/>
        <v>11</v>
      </c>
      <c r="E171" s="54">
        <f t="shared" si="49"/>
        <v>34.375</v>
      </c>
      <c r="F171" s="55" t="str">
        <f>TEXT(Комплектация!V160,"0")&amp;"/"&amp;TEXT(Комплектация!AF160,"0")&amp;"/"&amp;TEXT(Комплектация!AP160,"0")&amp;"/"&amp;TEXT(Комплектация!AZ160,"0")</f>
        <v>2011/2008/2011/1987</v>
      </c>
      <c r="G171" s="56">
        <f>AVERAGE(Комплектация!V160,Комплектация!AF160,Комплектация!AP160,Комплектация!AZ160)</f>
        <v>2004.25</v>
      </c>
      <c r="H171" s="56">
        <f t="shared" si="50"/>
        <v>21.75</v>
      </c>
      <c r="I171" s="56">
        <f>AVERAGE(Комплектация!AA160:'Комплектация'!AB160,Комплектация!AK160:'Комплектация'!AL160,Комплектация!AU160:'Комплектация'!AV160,Комплектация!BE160:'Комплектация'!BF160)</f>
        <v>65.75</v>
      </c>
      <c r="J171" s="56">
        <f>MIN(Комплектация!AA160:'Комплектация'!AB160,Комплектация!AK160:'Комплектация'!AL160,Комплектация!AU160:'Комплектация'!AV160,Комплектация!BE160:'Комплектация'!BF160)</f>
        <v>63</v>
      </c>
      <c r="K171" s="54">
        <f t="shared" si="51"/>
        <v>0</v>
      </c>
      <c r="L171" s="54">
        <f t="shared" si="52"/>
        <v>72.5</v>
      </c>
      <c r="M171" s="54">
        <f t="shared" si="53"/>
        <v>21.75</v>
      </c>
      <c r="N171" s="54">
        <f t="shared" si="54"/>
        <v>31.255930656934307</v>
      </c>
      <c r="O171" s="54">
        <f t="shared" si="55"/>
        <v>68.744069343065689</v>
      </c>
      <c r="P171" s="50"/>
      <c r="Q171" s="57" t="str">
        <f t="shared" si="56"/>
        <v/>
      </c>
      <c r="R171" s="23" t="str">
        <f>IF(Комплектация!G160="",Комплектация!I160,IF(Комплектация!I160="",Комплектация!G160,IF(DATE(VALUE(RIGHT(Комплектация!G160,4)),VALUE(MID(Комплектация!G160,4,2)),VALUE(LEFT(Комплектация!G160,2)))&gt;=DATE(VALUE(RIGHT(Комплектация!I160,4)),VALUE(MID(Комплектация!I160,4,2)),VALUE(LEFT(Комплектация!I160,2))),Комплектация!G160,Комплектация!I160)))</f>
        <v>20.08.2025</v>
      </c>
      <c r="S171" s="23" t="str">
        <f>Комплектация!L160</f>
        <v>20.08.2028</v>
      </c>
      <c r="T171" s="25">
        <f t="shared" si="57"/>
        <v>2.0424366872005475</v>
      </c>
      <c r="U171" s="27">
        <f t="shared" si="58"/>
        <v>31.934306569343068</v>
      </c>
      <c r="V171" s="27">
        <f>IF(U171="","",U171*Справочник!$B$7/100)</f>
        <v>3.1934306569343067</v>
      </c>
      <c r="W171" s="25">
        <f>J171-Справочник!$B$4</f>
        <v>48</v>
      </c>
      <c r="X171" s="29">
        <f>IF(MIN(Комплектация!AA160:'Комплектация'!AB160)-Справочник!$B$4&lt;Справочник!$B$3,1,0)+IF(MIN(Комплектация!AK160:'Комплектация'!AL160)-Справочник!$B$4&lt;Справочник!$B$3,1,0)+IF(MIN(Комплектация!AU160:'Комплектация'!AV160)-Справочник!$B$4&lt;Справочник!$B$3,1,0)+IF(MIN(Комплектация!BE160:'Комплектация'!BF160)-Справочник!$B$4&lt;Справочник!$B$3,1,0)</f>
        <v>0</v>
      </c>
      <c r="Y171" s="34">
        <f>Справочник!$B$8</f>
        <v>4650000</v>
      </c>
      <c r="Z171" s="34">
        <f t="shared" si="59"/>
        <v>3196599.2244525547</v>
      </c>
    </row>
    <row r="172" spans="1:26" x14ac:dyDescent="0.25">
      <c r="A172" s="45">
        <f>Комплектация!A161</f>
        <v>77227031</v>
      </c>
      <c r="B172" s="46" t="str">
        <f>Комплектация!C161</f>
        <v>15-150-04П</v>
      </c>
      <c r="C172" s="46">
        <f>Комплектация!E161</f>
        <v>2012</v>
      </c>
      <c r="D172" s="46">
        <f t="shared" si="48"/>
        <v>14</v>
      </c>
      <c r="E172" s="47">
        <f t="shared" si="49"/>
        <v>43.75</v>
      </c>
      <c r="F172" s="48" t="str">
        <f>TEXT(Комплектация!V161,"0")&amp;"/"&amp;TEXT(Комплектация!AF161,"0")&amp;"/"&amp;TEXT(Комплектация!AP161,"0")&amp;"/"&amp;TEXT(Комплектация!AZ161,"0")</f>
        <v>2012/2018/2014/2008</v>
      </c>
      <c r="G172" s="49">
        <f>AVERAGE(Комплектация!V161,Комплектация!AF161,Комплектация!AP161,Комплектация!AZ161)</f>
        <v>2013</v>
      </c>
      <c r="H172" s="49">
        <f t="shared" si="50"/>
        <v>13</v>
      </c>
      <c r="I172" s="49">
        <f>AVERAGE(Комплектация!AA161:'Комплектация'!AB161,Комплектация!AK161:'Комплектация'!AL161,Комплектация!AU161:'Комплектация'!AV161,Комплектация!BE161:'Комплектация'!BF161)</f>
        <v>72.875</v>
      </c>
      <c r="J172" s="49">
        <f>MIN(Комплектация!AA161:'Комплектация'!AB161,Комплектация!AK161:'Комплектация'!AL161,Комплектация!AU161:'Комплектация'!AV161,Комплектация!BE161:'Комплектация'!BF161)</f>
        <v>70</v>
      </c>
      <c r="K172" s="47">
        <f t="shared" si="51"/>
        <v>0</v>
      </c>
      <c r="L172" s="47">
        <f t="shared" si="52"/>
        <v>43.333333333333336</v>
      </c>
      <c r="M172" s="47">
        <f t="shared" si="53"/>
        <v>13</v>
      </c>
      <c r="N172" s="47">
        <f t="shared" si="54"/>
        <v>31.531934306569344</v>
      </c>
      <c r="O172" s="47">
        <f t="shared" si="55"/>
        <v>68.46806569343066</v>
      </c>
      <c r="P172" s="50"/>
      <c r="Q172" s="51" t="str">
        <f t="shared" si="56"/>
        <v/>
      </c>
      <c r="R172" s="22" t="str">
        <f>IF(Комплектация!G161="",Комплектация!I161,IF(Комплектация!I161="",Комплектация!G161,IF(DATE(VALUE(RIGHT(Комплектация!G161,4)),VALUE(MID(Комплектация!G161,4,2)),VALUE(LEFT(Комплектация!G161,2)))&gt;=DATE(VALUE(RIGHT(Комплектация!I161,4)),VALUE(MID(Комплектация!I161,4,2)),VALUE(LEFT(Комплектация!I161,2))),Комплектация!G161,Комплектация!I161)))</f>
        <v>24.08.2025</v>
      </c>
      <c r="S172" s="22" t="str">
        <f>Комплектация!L161</f>
        <v>24.08.2028</v>
      </c>
      <c r="T172" s="24">
        <f t="shared" si="57"/>
        <v>2.0533880903490758</v>
      </c>
      <c r="U172" s="26">
        <f t="shared" si="58"/>
        <v>31.569343065693428</v>
      </c>
      <c r="V172" s="26">
        <f>IF(U172="","",U172*Справочник!$B$7/100)</f>
        <v>3.1569343065693425</v>
      </c>
      <c r="W172" s="24">
        <f>J172-Справочник!$B$4</f>
        <v>55</v>
      </c>
      <c r="X172" s="28">
        <f>IF(MIN(Комплектация!AA161:'Комплектация'!AB161)-Справочник!$B$4&lt;Справочник!$B$3,1,0)+IF(MIN(Комплектация!AK161:'Комплектация'!AL161)-Справочник!$B$4&lt;Справочник!$B$3,1,0)+IF(MIN(Комплектация!AU161:'Комплектация'!AV161)-Справочник!$B$4&lt;Справочник!$B$3,1,0)+IF(MIN(Комплектация!BE161:'Комплектация'!BF161)-Справочник!$B$4&lt;Справочник!$B$3,1,0)</f>
        <v>0</v>
      </c>
      <c r="Y172" s="33">
        <f>Справочник!$B$8</f>
        <v>4650000</v>
      </c>
      <c r="Z172" s="33">
        <f t="shared" si="59"/>
        <v>3183765.0547445253</v>
      </c>
    </row>
    <row r="173" spans="1:26" x14ac:dyDescent="0.25">
      <c r="A173" s="52">
        <f>Комплектация!A162</f>
        <v>77221901</v>
      </c>
      <c r="B173" s="53" t="str">
        <f>Комплектация!C162</f>
        <v>15-5103-7П</v>
      </c>
      <c r="C173" s="53">
        <f>Комплектация!E162</f>
        <v>2011</v>
      </c>
      <c r="D173" s="53">
        <f t="shared" si="48"/>
        <v>15</v>
      </c>
      <c r="E173" s="54">
        <f t="shared" si="49"/>
        <v>46.875</v>
      </c>
      <c r="F173" s="55" t="str">
        <f>TEXT(Комплектация!V162,"0")&amp;"/"&amp;TEXT(Комплектация!AF162,"0")&amp;"/"&amp;TEXT(Комплектация!AP162,"0")&amp;"/"&amp;TEXT(Комплектация!AZ162,"0")</f>
        <v>2013/2011/2011/2012</v>
      </c>
      <c r="G173" s="56">
        <f>AVERAGE(Комплектация!V162,Комплектация!AF162,Комплектация!AP162,Комплектация!AZ162)</f>
        <v>2011.75</v>
      </c>
      <c r="H173" s="56">
        <f t="shared" si="50"/>
        <v>14.25</v>
      </c>
      <c r="I173" s="56">
        <f>AVERAGE(Комплектация!AA162:'Комплектация'!AB162,Комплектация!AK162:'Комплектация'!AL162,Комплектация!AU162:'Комплектация'!AV162,Комплектация!BE162:'Комплектация'!BF162)</f>
        <v>74</v>
      </c>
      <c r="J173" s="56">
        <f>MIN(Комплектация!AA162:'Комплектация'!AB162,Комплектация!AK162:'Комплектация'!AL162,Комплектация!AU162:'Комплектация'!AV162,Комплектация!BE162:'Комплектация'!BF162)</f>
        <v>74</v>
      </c>
      <c r="K173" s="54">
        <f t="shared" si="51"/>
        <v>0</v>
      </c>
      <c r="L173" s="54">
        <f t="shared" si="52"/>
        <v>47.5</v>
      </c>
      <c r="M173" s="54">
        <f t="shared" si="53"/>
        <v>14.25</v>
      </c>
      <c r="N173" s="54">
        <f t="shared" si="54"/>
        <v>33.108120437956202</v>
      </c>
      <c r="O173" s="54">
        <f t="shared" si="55"/>
        <v>66.891879562043798</v>
      </c>
      <c r="P173" s="50"/>
      <c r="Q173" s="57" t="str">
        <f t="shared" si="56"/>
        <v/>
      </c>
      <c r="R173" s="23" t="str">
        <f>IF(Комплектация!G162="",Комплектация!I162,IF(Комплектация!I162="",Комплектация!G162,IF(DATE(VALUE(RIGHT(Комплектация!G162,4)),VALUE(MID(Комплектация!G162,4,2)),VALUE(LEFT(Комплектация!G162,2)))&gt;=DATE(VALUE(RIGHT(Комплектация!I162,4)),VALUE(MID(Комплектация!I162,4,2)),VALUE(LEFT(Комплектация!I162,2))),Комплектация!G162,Комплектация!I162)))</f>
        <v>30.10.2025</v>
      </c>
      <c r="S173" s="23" t="str">
        <f>Комплектация!L162</f>
        <v>30.10.2028</v>
      </c>
      <c r="T173" s="25">
        <f t="shared" si="57"/>
        <v>2.236824093086927</v>
      </c>
      <c r="U173" s="27">
        <f t="shared" si="58"/>
        <v>25.456204379562042</v>
      </c>
      <c r="V173" s="27">
        <f>IF(U173="","",U173*Справочник!$B$7/100)</f>
        <v>2.5456204379562042</v>
      </c>
      <c r="W173" s="25">
        <f>J173-Справочник!$B$4</f>
        <v>59</v>
      </c>
      <c r="X173" s="29">
        <f>IF(MIN(Комплектация!AA162:'Комплектация'!AB162)-Справочник!$B$4&lt;Справочник!$B$3,1,0)+IF(MIN(Комплектация!AK162:'Комплектация'!AL162)-Справочник!$B$4&lt;Справочник!$B$3,1,0)+IF(MIN(Комплектация!AU162:'Комплектация'!AV162)-Справочник!$B$4&lt;Справочник!$B$3,1,0)+IF(MIN(Комплектация!BE162:'Комплектация'!BF162)-Справочник!$B$4&lt;Справочник!$B$3,1,0)</f>
        <v>0</v>
      </c>
      <c r="Y173" s="34">
        <f>Справочник!$B$8</f>
        <v>4650000</v>
      </c>
      <c r="Z173" s="34">
        <f t="shared" si="59"/>
        <v>3110472.3996350365</v>
      </c>
    </row>
    <row r="174" spans="1:26" x14ac:dyDescent="0.25">
      <c r="A174" s="45">
        <f>Комплектация!A163</f>
        <v>77221943</v>
      </c>
      <c r="B174" s="46" t="str">
        <f>Комплектация!C163</f>
        <v>15-150-04П</v>
      </c>
      <c r="C174" s="46">
        <f>Комплектация!E163</f>
        <v>2012</v>
      </c>
      <c r="D174" s="46">
        <f t="shared" si="48"/>
        <v>14</v>
      </c>
      <c r="E174" s="47">
        <f t="shared" si="49"/>
        <v>43.75</v>
      </c>
      <c r="F174" s="48" t="str">
        <f>TEXT(Комплектация!V163,"0")&amp;"/"&amp;TEXT(Комплектация!AF163,"0")&amp;"/"&amp;TEXT(Комплектация!AP163,"0")&amp;"/"&amp;TEXT(Комплектация!AZ163,"0")</f>
        <v>2012/1986/2015/2012</v>
      </c>
      <c r="G174" s="49">
        <f>AVERAGE(Комплектация!V163,Комплектация!AF163,Комплектация!AP163,Комплектация!AZ163)</f>
        <v>2006.25</v>
      </c>
      <c r="H174" s="49">
        <f t="shared" si="50"/>
        <v>19.75</v>
      </c>
      <c r="I174" s="49">
        <f>AVERAGE(Комплектация!AA163:'Комплектация'!AB163,Комплектация!AK163:'Комплектация'!AL163,Комплектация!AU163:'Комплектация'!AV163,Комплектация!BE163:'Комплектация'!BF163)</f>
        <v>75</v>
      </c>
      <c r="J174" s="49">
        <f>MIN(Комплектация!AA163:'Комплектация'!AB163,Комплектация!AK163:'Комплектация'!AL163,Комплектация!AU163:'Комплектация'!AV163,Комплектация!BE163:'Комплектация'!BF163)</f>
        <v>75</v>
      </c>
      <c r="K174" s="47">
        <f t="shared" si="51"/>
        <v>0</v>
      </c>
      <c r="L174" s="47">
        <f t="shared" si="52"/>
        <v>65.833333333333329</v>
      </c>
      <c r="M174" s="47">
        <f t="shared" si="53"/>
        <v>19.749999999999996</v>
      </c>
      <c r="N174" s="47">
        <f t="shared" si="54"/>
        <v>38.297945205479451</v>
      </c>
      <c r="O174" s="47">
        <f t="shared" si="55"/>
        <v>61.702054794520549</v>
      </c>
      <c r="P174" s="50"/>
      <c r="Q174" s="51" t="str">
        <f t="shared" si="56"/>
        <v/>
      </c>
      <c r="R174" s="22" t="str">
        <f>IF(Комплектация!G163="",Комплектация!I163,IF(Комплектация!I163="",Комплектация!G163,IF(DATE(VALUE(RIGHT(Комплектация!G163,4)),VALUE(MID(Комплектация!G163,4,2)),VALUE(LEFT(Комплектация!G163,2)))&gt;=DATE(VALUE(RIGHT(Комплектация!I163,4)),VALUE(MID(Комплектация!I163,4,2)),VALUE(LEFT(Комплектация!I163,2))),Комплектация!G163,Комплектация!I163)))</f>
        <v>18.08.2024</v>
      </c>
      <c r="S174" s="22" t="str">
        <f>Комплектация!L163</f>
        <v>18.08.2027</v>
      </c>
      <c r="T174" s="24">
        <f t="shared" si="57"/>
        <v>1.0349075975359343</v>
      </c>
      <c r="U174" s="26">
        <f t="shared" si="58"/>
        <v>65.479452054794521</v>
      </c>
      <c r="V174" s="26">
        <f>IF(U174="","",U174*Справочник!$B$7/100)</f>
        <v>6.5479452054794525</v>
      </c>
      <c r="W174" s="24">
        <f>J174-Справочник!$B$4</f>
        <v>60</v>
      </c>
      <c r="X174" s="28">
        <f>IF(MIN(Комплектация!AA163:'Комплектация'!AB163)-Справочник!$B$4&lt;Справочник!$B$3,1,0)+IF(MIN(Комплектация!AK163:'Комплектация'!AL163)-Справочник!$B$4&lt;Справочник!$B$3,1,0)+IF(MIN(Комплектация!AU163:'Комплектация'!AV163)-Справочник!$B$4&lt;Справочник!$B$3,1,0)+IF(MIN(Комплектация!BE163:'Комплектация'!BF163)-Справочник!$B$4&lt;Справочник!$B$3,1,0)</f>
        <v>0</v>
      </c>
      <c r="Y174" s="33">
        <f>Справочник!$B$8</f>
        <v>4650000</v>
      </c>
      <c r="Z174" s="33">
        <f t="shared" si="59"/>
        <v>2869145.5479452056</v>
      </c>
    </row>
    <row r="175" spans="1:26" x14ac:dyDescent="0.25">
      <c r="A175" s="52">
        <f>Комплектация!A164</f>
        <v>77223782</v>
      </c>
      <c r="B175" s="53" t="str">
        <f>Комплектация!C164</f>
        <v>15-5103-7П</v>
      </c>
      <c r="C175" s="53">
        <f>Комплектация!E164</f>
        <v>2011</v>
      </c>
      <c r="D175" s="53">
        <f t="shared" si="48"/>
        <v>15</v>
      </c>
      <c r="E175" s="54">
        <f t="shared" si="49"/>
        <v>46.875</v>
      </c>
      <c r="F175" s="55" t="str">
        <f>TEXT(Комплектация!V164,"0")&amp;"/"&amp;TEXT(Комплектация!AF164,"0")&amp;"/"&amp;TEXT(Комплектация!AP164,"0")&amp;"/"&amp;TEXT(Комплектация!AZ164,"0")</f>
        <v>2010/2012/2011/2010</v>
      </c>
      <c r="G175" s="56">
        <f>AVERAGE(Комплектация!V164,Комплектация!AF164,Комплектация!AP164,Комплектация!AZ164)</f>
        <v>2010.75</v>
      </c>
      <c r="H175" s="56">
        <f t="shared" si="50"/>
        <v>15.25</v>
      </c>
      <c r="I175" s="56">
        <f>AVERAGE(Комплектация!AA164:'Комплектация'!AB164,Комплектация!AK164:'Комплектация'!AL164,Комплектация!AU164:'Комплектация'!AV164,Комплектация!BE164:'Комплектация'!BF164)</f>
        <v>73.5</v>
      </c>
      <c r="J175" s="56">
        <f>MIN(Комплектация!AA164:'Комплектация'!AB164,Комплектация!AK164:'Комплектация'!AL164,Комплектация!AU164:'Комплектация'!AV164,Комплектация!BE164:'Комплектация'!BF164)</f>
        <v>72</v>
      </c>
      <c r="K175" s="54">
        <f t="shared" si="51"/>
        <v>0</v>
      </c>
      <c r="L175" s="54">
        <f t="shared" si="52"/>
        <v>50.833333333333329</v>
      </c>
      <c r="M175" s="54">
        <f t="shared" si="53"/>
        <v>15.249999999999998</v>
      </c>
      <c r="N175" s="54">
        <f t="shared" si="54"/>
        <v>32.440237226277375</v>
      </c>
      <c r="O175" s="54">
        <f t="shared" si="55"/>
        <v>67.559762773722625</v>
      </c>
      <c r="P175" s="50"/>
      <c r="Q175" s="57" t="str">
        <f t="shared" si="56"/>
        <v/>
      </c>
      <c r="R175" s="23" t="str">
        <f>IF(Комплектация!G164="",Комплектация!I164,IF(Комплектация!I164="",Комплектация!G164,IF(DATE(VALUE(RIGHT(Комплектация!G164,4)),VALUE(MID(Комплектация!G164,4,2)),VALUE(LEFT(Комплектация!G164,2)))&gt;=DATE(VALUE(RIGHT(Комплектация!I164,4)),VALUE(MID(Комплектация!I164,4,2)),VALUE(LEFT(Комплектация!I164,2))),Комплектация!G164,Комплектация!I164)))</f>
        <v>07.03.2026</v>
      </c>
      <c r="S175" s="23" t="str">
        <f>Комплектация!L164</f>
        <v>07.03.2029</v>
      </c>
      <c r="T175" s="25">
        <f t="shared" si="57"/>
        <v>2.5872689938398357</v>
      </c>
      <c r="U175" s="27">
        <f t="shared" si="58"/>
        <v>13.777372262773724</v>
      </c>
      <c r="V175" s="27">
        <f>IF(U175="","",U175*Справочник!$B$7/100)</f>
        <v>1.3777372262773724</v>
      </c>
      <c r="W175" s="25">
        <f>J175-Справочник!$B$4</f>
        <v>57</v>
      </c>
      <c r="X175" s="29">
        <f>IF(MIN(Комплектация!AA164:'Комплектация'!AB164)-Справочник!$B$4&lt;Справочник!$B$3,1,0)+IF(MIN(Комплектация!AK164:'Комплектация'!AL164)-Справочник!$B$4&lt;Справочник!$B$3,1,0)+IF(MIN(Комплектация!AU164:'Комплектация'!AV164)-Справочник!$B$4&lt;Справочник!$B$3,1,0)+IF(MIN(Комплектация!BE164:'Комплектация'!BF164)-Справочник!$B$4&lt;Справочник!$B$3,1,0)</f>
        <v>0</v>
      </c>
      <c r="Y175" s="34">
        <f>Справочник!$B$8</f>
        <v>4650000</v>
      </c>
      <c r="Z175" s="34">
        <f t="shared" si="59"/>
        <v>3141528.9689781023</v>
      </c>
    </row>
    <row r="176" spans="1:26" x14ac:dyDescent="0.25">
      <c r="A176" s="45">
        <f>Комплектация!A165</f>
        <v>77226983</v>
      </c>
      <c r="B176" s="46" t="str">
        <f>Комплектация!C165</f>
        <v>15-150-04П</v>
      </c>
      <c r="C176" s="46">
        <f>Комплектация!E165</f>
        <v>2012</v>
      </c>
      <c r="D176" s="46">
        <f t="shared" ref="D176:D181" si="60">MAX(0,YEAR($B$5)-C176)</f>
        <v>14</v>
      </c>
      <c r="E176" s="47">
        <f t="shared" ref="E176:E181" si="61">MIN(100,D176/$B$6*100)</f>
        <v>43.75</v>
      </c>
      <c r="F176" s="48" t="str">
        <f>TEXT(Комплектация!V165,"0")&amp;"/"&amp;TEXT(Комплектация!AF165,"0")&amp;"/"&amp;TEXT(Комплектация!AP165,"0")&amp;"/"&amp;TEXT(Комплектация!AZ165,"0")</f>
        <v>2013/2013/2012/1994</v>
      </c>
      <c r="G176" s="49">
        <f>AVERAGE(Комплектация!V165,Комплектация!AF165,Комплектация!AP165,Комплектация!AZ165)</f>
        <v>2008</v>
      </c>
      <c r="H176" s="49">
        <f t="shared" ref="H176:H181" si="62">MAX(0,YEAR($B$5)-G176)</f>
        <v>18</v>
      </c>
      <c r="I176" s="49">
        <f>AVERAGE(Комплектация!AA165:'Комплектация'!AB165,Комплектация!AK165:'Комплектация'!AL165,Комплектация!AU165:'Комплектация'!AV165,Комплектация!BE165:'Комплектация'!BF165)</f>
        <v>41.5</v>
      </c>
      <c r="J176" s="49">
        <f>MIN(Комплектация!AA165:'Комплектация'!AB165,Комплектация!AK165:'Комплектация'!AL165,Комплектация!AU165:'Комплектация'!AV165,Комплектация!BE165:'Комплектация'!BF165)</f>
        <v>35</v>
      </c>
      <c r="K176" s="47">
        <f t="shared" ref="K176:K181" si="63">MAX(0,MIN(100,($B$7-J176)/($B$7-$B$8)*100))</f>
        <v>65.217391304347828</v>
      </c>
      <c r="L176" s="47">
        <f t="shared" ref="L176:L181" si="64">MAX(0,MIN(100,H176/$B$9*100))</f>
        <v>60</v>
      </c>
      <c r="M176" s="47">
        <f t="shared" ref="M176:M181" si="65">MAX(K176,X176/4*100)*$B$10+L176*$B$11</f>
        <v>88</v>
      </c>
      <c r="N176" s="47">
        <f t="shared" ref="N176:N181" si="66">MIN(100,E176*$B$12+M176*$B$13+V176)</f>
        <v>74.935218978102199</v>
      </c>
      <c r="O176" s="47">
        <f t="shared" ref="O176:O181" si="67">100-N176</f>
        <v>25.064781021897801</v>
      </c>
      <c r="P176" s="50"/>
      <c r="Q176" s="51" t="str">
        <f t="shared" ref="Q176:Q181" si="68">IF(P176="","",P176*O176/100)</f>
        <v/>
      </c>
      <c r="R176" s="22" t="str">
        <f>IF(Комплектация!G165="",Комплектация!I165,IF(Комплектация!I165="",Комплектация!G165,IF(DATE(VALUE(RIGHT(Комплектация!G165,4)),VALUE(MID(Комплектация!G165,4,2)),VALUE(LEFT(Комплектация!G165,2)))&gt;=DATE(VALUE(RIGHT(Комплектация!I165,4)),VALUE(MID(Комплектация!I165,4,2)),VALUE(LEFT(Комплектация!I165,2))),Комплектация!G165,Комплектация!I165)))</f>
        <v>16.11.2023</v>
      </c>
      <c r="S176" s="22" t="str">
        <f>Комплектация!L165</f>
        <v>16.11.2026</v>
      </c>
      <c r="T176" s="24">
        <f t="shared" ref="T176:T181" si="69">IF(S176="","",MAX(0,(DATE(VALUE(RIGHT(S176,4)),VALUE(MID(S176,4,2)),VALUE(LEFT(S176,2)))-$B$5)/365.25))</f>
        <v>0.28199863107460643</v>
      </c>
      <c r="U176" s="26">
        <f t="shared" ref="U176:U181" si="70">IF(OR(R176="",S176=""),"",MAX(0,MIN(100,($B$5-DATE(VALUE(RIGHT(R176,4)),VALUE(MID(R176,4,2)),VALUE(LEFT(R176,2))))/(DATE(VALUE(RIGHT(S176,4)),VALUE(MID(S176,4,2)),VALUE(LEFT(S176,2)))-DATE(VALUE(RIGHT(R176,4)),VALUE(MID(R176,4,2)),VALUE(LEFT(R176,2))))*100)))</f>
        <v>90.602189781021906</v>
      </c>
      <c r="V176" s="26">
        <f>IF(U176="","",U176*Справочник!$B$7/100)</f>
        <v>9.060218978102192</v>
      </c>
      <c r="W176" s="24">
        <f>J176-Справочник!$B$4</f>
        <v>20</v>
      </c>
      <c r="X176" s="28">
        <f>IF(MIN(Комплектация!AA165:'Комплектация'!AB165)-Справочник!$B$4&lt;Справочник!$B$3,1,0)+IF(MIN(Комплектация!AK165:'Комплектация'!AL165)-Справочник!$B$4&lt;Справочник!$B$3,1,0)+IF(MIN(Комплектация!AU165:'Комплектация'!AV165)-Справочник!$B$4&lt;Справочник!$B$3,1,0)+IF(MIN(Комплектация!BE165:'Комплектация'!BF165)-Справочник!$B$4&lt;Справочник!$B$3,1,0)</f>
        <v>4</v>
      </c>
      <c r="Y176" s="33">
        <f>Справочник!$B$8</f>
        <v>4650000</v>
      </c>
      <c r="Z176" s="33">
        <f t="shared" ref="Z176:Z181" si="71">Y176*O176/100</f>
        <v>1165512.3175182478</v>
      </c>
    </row>
    <row r="177" spans="1:27" x14ac:dyDescent="0.25">
      <c r="A177" s="52">
        <f>Комплектация!A166</f>
        <v>77205870</v>
      </c>
      <c r="B177" s="53" t="str">
        <f>Комплектация!C166</f>
        <v>15-1755П</v>
      </c>
      <c r="C177" s="53">
        <f>Комплектация!E166</f>
        <v>2013</v>
      </c>
      <c r="D177" s="53">
        <f t="shared" si="60"/>
        <v>13</v>
      </c>
      <c r="E177" s="54">
        <f t="shared" si="61"/>
        <v>40.625</v>
      </c>
      <c r="F177" s="55" t="str">
        <f>TEXT(Комплектация!V166,"0")&amp;"/"&amp;TEXT(Комплектация!AF166,"0")&amp;"/"&amp;TEXT(Комплектация!AP166,"0")&amp;"/"&amp;TEXT(Комплектация!AZ166,"0")</f>
        <v>2013/2013/2013/2015</v>
      </c>
      <c r="G177" s="56">
        <f>AVERAGE(Комплектация!V166,Комплектация!AF166,Комплектация!AP166,Комплектация!AZ166)</f>
        <v>2013.5</v>
      </c>
      <c r="H177" s="56">
        <f t="shared" si="62"/>
        <v>12.5</v>
      </c>
      <c r="I177" s="56">
        <f>AVERAGE(Комплектация!AA166:'Комплектация'!AB166,Комплектация!AK166:'Комплектация'!AL166,Комплектация!AU166:'Комплектация'!AV166,Комплектация!BE166:'Комплектация'!BF166)</f>
        <v>64.375</v>
      </c>
      <c r="J177" s="56">
        <f>MIN(Комплектация!AA166:'Комплектация'!AB166,Комплектация!AK166:'Комплектация'!AL166,Комплектация!AU166:'Комплектация'!AV166,Комплектация!BE166:'Комплектация'!BF166)</f>
        <v>60</v>
      </c>
      <c r="K177" s="54">
        <f t="shared" si="63"/>
        <v>0</v>
      </c>
      <c r="L177" s="54">
        <f t="shared" si="64"/>
        <v>41.666666666666671</v>
      </c>
      <c r="M177" s="54">
        <f t="shared" si="65"/>
        <v>12.500000000000002</v>
      </c>
      <c r="N177" s="54">
        <f t="shared" si="66"/>
        <v>31.329623287671232</v>
      </c>
      <c r="O177" s="54">
        <f t="shared" si="67"/>
        <v>68.670376712328761</v>
      </c>
      <c r="P177" s="50"/>
      <c r="Q177" s="57" t="str">
        <f t="shared" si="68"/>
        <v/>
      </c>
      <c r="R177" s="23" t="str">
        <f>IF(Комплектация!G166="",Комплектация!I166,IF(Комплектация!I166="",Комплектация!G166,IF(DATE(VALUE(RIGHT(Комплектация!G166,4)),VALUE(MID(Комплектация!G166,4,2)),VALUE(LEFT(Комплектация!G166,2)))&gt;=DATE(VALUE(RIGHT(Комплектация!I166,4)),VALUE(MID(Комплектация!I166,4,2)),VALUE(LEFT(Комплектация!I166,2))),Комплектация!G166,Комплектация!I166)))</f>
        <v>22.08.2025</v>
      </c>
      <c r="S177" s="23" t="str">
        <f>Комплектация!L166</f>
        <v>22.08.2027</v>
      </c>
      <c r="T177" s="25">
        <f t="shared" si="69"/>
        <v>1.0458590006844628</v>
      </c>
      <c r="U177" s="27">
        <f t="shared" si="70"/>
        <v>47.671232876712324</v>
      </c>
      <c r="V177" s="27">
        <f>IF(U177="","",U177*Справочник!$B$7/100)</f>
        <v>4.7671232876712324</v>
      </c>
      <c r="W177" s="25">
        <f>J177-Справочник!$B$4</f>
        <v>45</v>
      </c>
      <c r="X177" s="29">
        <f>IF(MIN(Комплектация!AA166:'Комплектация'!AB166)-Справочник!$B$4&lt;Справочник!$B$3,1,0)+IF(MIN(Комплектация!AK166:'Комплектация'!AL166)-Справочник!$B$4&lt;Справочник!$B$3,1,0)+IF(MIN(Комплектация!AU166:'Комплектация'!AV166)-Справочник!$B$4&lt;Справочник!$B$3,1,0)+IF(MIN(Комплектация!BE166:'Комплектация'!BF166)-Справочник!$B$4&lt;Справочник!$B$3,1,0)</f>
        <v>0</v>
      </c>
      <c r="Y177" s="34">
        <f>Справочник!$B$8</f>
        <v>4650000</v>
      </c>
      <c r="Z177" s="34">
        <f t="shared" si="71"/>
        <v>3193172.5171232875</v>
      </c>
    </row>
    <row r="178" spans="1:27" x14ac:dyDescent="0.25">
      <c r="A178" s="45">
        <f>Комплектация!A167</f>
        <v>77222115</v>
      </c>
      <c r="B178" s="46" t="str">
        <f>Комплектация!C167</f>
        <v>15-150-04П</v>
      </c>
      <c r="C178" s="46">
        <f>Комплектация!E167</f>
        <v>2012</v>
      </c>
      <c r="D178" s="46">
        <f t="shared" si="60"/>
        <v>14</v>
      </c>
      <c r="E178" s="47">
        <f t="shared" si="61"/>
        <v>43.75</v>
      </c>
      <c r="F178" s="48" t="str">
        <f>TEXT(Комплектация!V167,"0")&amp;"/"&amp;TEXT(Комплектация!AF167,"0")&amp;"/"&amp;TEXT(Комплектация!AP167,"0")&amp;"/"&amp;TEXT(Комплектация!AZ167,"0")</f>
        <v>2012/2011/2012/2012</v>
      </c>
      <c r="G178" s="49">
        <f>AVERAGE(Комплектация!V167,Комплектация!AF167,Комплектация!AP167,Комплектация!AZ167)</f>
        <v>2011.75</v>
      </c>
      <c r="H178" s="49">
        <f t="shared" si="62"/>
        <v>14.25</v>
      </c>
      <c r="I178" s="49">
        <f>AVERAGE(Комплектация!AA167:'Комплектация'!AB167,Комплектация!AK167:'Комплектация'!AL167,Комплектация!AU167:'Комплектация'!AV167,Комплектация!BE167:'Комплектация'!BF167)</f>
        <v>62.875</v>
      </c>
      <c r="J178" s="49">
        <f>MIN(Комплектация!AA167:'Комплектация'!AB167,Комплектация!AK167:'Комплектация'!AL167,Комплектация!AU167:'Комплектация'!AV167,Комплектация!BE167:'Комплектация'!BF167)</f>
        <v>55</v>
      </c>
      <c r="K178" s="47">
        <f t="shared" si="63"/>
        <v>0</v>
      </c>
      <c r="L178" s="47">
        <f t="shared" si="64"/>
        <v>47.5</v>
      </c>
      <c r="M178" s="47">
        <f t="shared" si="65"/>
        <v>14.25</v>
      </c>
      <c r="N178" s="47">
        <f t="shared" si="66"/>
        <v>32.175182481751825</v>
      </c>
      <c r="O178" s="47">
        <f t="shared" si="67"/>
        <v>67.824817518248182</v>
      </c>
      <c r="P178" s="50"/>
      <c r="Q178" s="51" t="str">
        <f t="shared" si="68"/>
        <v/>
      </c>
      <c r="R178" s="22" t="str">
        <f>IF(Комплектация!G167="",Комплектация!I167,IF(Комплектация!I167="",Комплектация!G167,IF(DATE(VALUE(RIGHT(Комплектация!G167,4)),VALUE(MID(Комплектация!G167,4,2)),VALUE(LEFT(Комплектация!G167,2)))&gt;=DATE(VALUE(RIGHT(Комплектация!I167,4)),VALUE(MID(Комплектация!I167,4,2)),VALUE(LEFT(Комплектация!I167,2))),Комплектация!G167,Комплектация!I167)))</f>
        <v>22.08.2025</v>
      </c>
      <c r="S178" s="22" t="str">
        <f>Комплектация!L167</f>
        <v>22.08.2028</v>
      </c>
      <c r="T178" s="24">
        <f t="shared" si="69"/>
        <v>2.0479123887748116</v>
      </c>
      <c r="U178" s="26">
        <f t="shared" si="70"/>
        <v>31.751824817518248</v>
      </c>
      <c r="V178" s="26">
        <f>IF(U178="","",U178*Справочник!$B$7/100)</f>
        <v>3.1751824817518246</v>
      </c>
      <c r="W178" s="24">
        <f>J178-Справочник!$B$4</f>
        <v>40</v>
      </c>
      <c r="X178" s="28">
        <f>IF(MIN(Комплектация!AA167:'Комплектация'!AB167)-Справочник!$B$4&lt;Справочник!$B$3,1,0)+IF(MIN(Комплектация!AK167:'Комплектация'!AL167)-Справочник!$B$4&lt;Справочник!$B$3,1,0)+IF(MIN(Комплектация!AU167:'Комплектация'!AV167)-Справочник!$B$4&lt;Справочник!$B$3,1,0)+IF(MIN(Комплектация!BE167:'Комплектация'!BF167)-Справочник!$B$4&lt;Справочник!$B$3,1,0)</f>
        <v>0</v>
      </c>
      <c r="Y178" s="33">
        <f>Справочник!$B$8</f>
        <v>4650000</v>
      </c>
      <c r="Z178" s="33">
        <f t="shared" si="71"/>
        <v>3153854.0145985405</v>
      </c>
    </row>
    <row r="179" spans="1:27" x14ac:dyDescent="0.25">
      <c r="A179" s="52">
        <f>Комплектация!A168</f>
        <v>77223774</v>
      </c>
      <c r="B179" s="53" t="str">
        <f>Комплектация!C168</f>
        <v>15-5103-7П</v>
      </c>
      <c r="C179" s="53">
        <f>Комплектация!E168</f>
        <v>2011</v>
      </c>
      <c r="D179" s="53">
        <f t="shared" si="60"/>
        <v>15</v>
      </c>
      <c r="E179" s="54">
        <f t="shared" si="61"/>
        <v>46.875</v>
      </c>
      <c r="F179" s="55" t="str">
        <f>TEXT(Комплектация!V168,"0")&amp;"/"&amp;TEXT(Комплектация!AF168,"0")&amp;"/"&amp;TEXT(Комплектация!AP168,"0")&amp;"/"&amp;TEXT(Комплектация!AZ168,"0")</f>
        <v>2014/2014/2013/2014</v>
      </c>
      <c r="G179" s="56">
        <f>AVERAGE(Комплектация!V168,Комплектация!AF168,Комплектация!AP168,Комплектация!AZ168)</f>
        <v>2013.75</v>
      </c>
      <c r="H179" s="56">
        <f t="shared" si="62"/>
        <v>12.25</v>
      </c>
      <c r="I179" s="56">
        <f>AVERAGE(Комплектация!AA168:'Комплектация'!AB168,Комплектация!AK168:'Комплектация'!AL168,Комплектация!AU168:'Комплектация'!AV168,Комплектация!BE168:'Комплектация'!BF168)</f>
        <v>69.5</v>
      </c>
      <c r="J179" s="56">
        <f>MIN(Комплектация!AA168:'Комплектация'!AB168,Комплектация!AK168:'Комплектация'!AL168,Комплектация!AU168:'Комплектация'!AV168,Комплектация!BE168:'Комплектация'!BF168)</f>
        <v>68</v>
      </c>
      <c r="K179" s="54">
        <f t="shared" si="63"/>
        <v>0</v>
      </c>
      <c r="L179" s="54">
        <f t="shared" si="64"/>
        <v>40.833333333333336</v>
      </c>
      <c r="M179" s="54">
        <f t="shared" si="65"/>
        <v>12.25</v>
      </c>
      <c r="N179" s="54">
        <f t="shared" si="66"/>
        <v>33.659215328467155</v>
      </c>
      <c r="O179" s="54">
        <f t="shared" si="67"/>
        <v>66.340784671532845</v>
      </c>
      <c r="P179" s="50"/>
      <c r="Q179" s="57" t="str">
        <f t="shared" si="68"/>
        <v/>
      </c>
      <c r="R179" s="23" t="str">
        <f>IF(Комплектация!G168="",Комплектация!I168,IF(Комплектация!I168="",Комплектация!G168,IF(DATE(VALUE(RIGHT(Комплектация!G168,4)),VALUE(MID(Комплектация!G168,4,2)),VALUE(LEFT(Комплектация!G168,2)))&gt;=DATE(VALUE(RIGHT(Комплектация!I168,4)),VALUE(MID(Комплектация!I168,4,2)),VALUE(LEFT(Комплектация!I168,2))),Комплектация!G168,Комплектация!I168)))</f>
        <v>13.05.2025</v>
      </c>
      <c r="S179" s="23" t="str">
        <f>Комплектация!L168</f>
        <v>13.05.2028</v>
      </c>
      <c r="T179" s="25">
        <f t="shared" si="69"/>
        <v>1.7713894592744694</v>
      </c>
      <c r="U179" s="27">
        <f t="shared" si="70"/>
        <v>40.967153284671532</v>
      </c>
      <c r="V179" s="27">
        <f>IF(U179="","",U179*Справочник!$B$7/100)</f>
        <v>4.0967153284671527</v>
      </c>
      <c r="W179" s="25">
        <f>J179-Справочник!$B$4</f>
        <v>53</v>
      </c>
      <c r="X179" s="29">
        <f>IF(MIN(Комплектация!AA168:'Комплектация'!AB168)-Справочник!$B$4&lt;Справочник!$B$3,1,0)+IF(MIN(Комплектация!AK168:'Комплектация'!AL168)-Справочник!$B$4&lt;Справочник!$B$3,1,0)+IF(MIN(Комплектация!AU168:'Комплектация'!AV168)-Справочник!$B$4&lt;Справочник!$B$3,1,0)+IF(MIN(Комплектация!BE168:'Комплектация'!BF168)-Справочник!$B$4&lt;Справочник!$B$3,1,0)</f>
        <v>0</v>
      </c>
      <c r="Y179" s="34">
        <f>Справочник!$B$8</f>
        <v>4650000</v>
      </c>
      <c r="Z179" s="34">
        <f t="shared" si="71"/>
        <v>3084846.4872262771</v>
      </c>
    </row>
    <row r="180" spans="1:27" x14ac:dyDescent="0.25">
      <c r="A180" s="45">
        <f>Комплектация!A169</f>
        <v>77222206</v>
      </c>
      <c r="B180" s="46" t="str">
        <f>Комплектация!C169</f>
        <v>15-1755П</v>
      </c>
      <c r="C180" s="46">
        <f>Комплектация!E169</f>
        <v>2014</v>
      </c>
      <c r="D180" s="46">
        <f t="shared" si="60"/>
        <v>12</v>
      </c>
      <c r="E180" s="47">
        <f t="shared" si="61"/>
        <v>37.5</v>
      </c>
      <c r="F180" s="48" t="str">
        <f>TEXT(Комплектация!V169,"0")&amp;"/"&amp;TEXT(Комплектация!AF169,"0")&amp;"/"&amp;TEXT(Комплектация!AP169,"0")&amp;"/"&amp;TEXT(Комплектация!AZ169,"0")</f>
        <v>2009/2014/1981/1990</v>
      </c>
      <c r="G180" s="49">
        <f>AVERAGE(Комплектация!V169,Комплектация!AF169,Комплектация!AP169,Комплектация!AZ169)</f>
        <v>1998.5</v>
      </c>
      <c r="H180" s="49">
        <f t="shared" si="62"/>
        <v>27.5</v>
      </c>
      <c r="I180" s="49">
        <f>AVERAGE(Комплектация!AA169:'Комплектация'!AB169,Комплектация!AK169:'Комплектация'!AL169,Комплектация!AU169:'Комплектация'!AV169,Комплектация!BE169:'Комплектация'!BF169)</f>
        <v>67.75</v>
      </c>
      <c r="J180" s="49">
        <f>MIN(Комплектация!AA169:'Комплектация'!AB169,Комплектация!AK169:'Комплектация'!AL169,Комплектация!AU169:'Комплектация'!AV169,Комплектация!BE169:'Комплектация'!BF169)</f>
        <v>65</v>
      </c>
      <c r="K180" s="47">
        <f t="shared" si="63"/>
        <v>0</v>
      </c>
      <c r="L180" s="47">
        <f t="shared" si="64"/>
        <v>91.666666666666657</v>
      </c>
      <c r="M180" s="47">
        <f t="shared" si="65"/>
        <v>27.499999999999996</v>
      </c>
      <c r="N180" s="47">
        <f t="shared" si="66"/>
        <v>40.513698630136986</v>
      </c>
      <c r="O180" s="47">
        <f t="shared" si="67"/>
        <v>59.486301369863014</v>
      </c>
      <c r="P180" s="50"/>
      <c r="Q180" s="51" t="str">
        <f t="shared" si="68"/>
        <v/>
      </c>
      <c r="R180" s="22" t="str">
        <f>IF(Комплектация!G169="",Комплектация!I169,IF(Комплектация!I169="",Комплектация!G169,IF(DATE(VALUE(RIGHT(Комплектация!G169,4)),VALUE(MID(Комплектация!G169,4,2)),VALUE(LEFT(Комплектация!G169,2)))&gt;=DATE(VALUE(RIGHT(Комплектация!I169,4)),VALUE(MID(Комплектация!I169,4,2)),VALUE(LEFT(Комплектация!I169,2))),Комплектация!G169,Комплектация!I169)))</f>
        <v>28.12.2024</v>
      </c>
      <c r="S180" s="22" t="str">
        <f>Комплектация!L169</f>
        <v>28.12.2026</v>
      </c>
      <c r="T180" s="24">
        <f t="shared" si="69"/>
        <v>0.39698836413415467</v>
      </c>
      <c r="U180" s="26">
        <f t="shared" si="70"/>
        <v>80.136986301369859</v>
      </c>
      <c r="V180" s="26">
        <f>IF(U180="","",U180*Справочник!$B$7/100)</f>
        <v>8.0136986301369859</v>
      </c>
      <c r="W180" s="24">
        <f>J180-Справочник!$B$4</f>
        <v>50</v>
      </c>
      <c r="X180" s="28">
        <f>IF(MIN(Комплектация!AA169:'Комплектация'!AB169)-Справочник!$B$4&lt;Справочник!$B$3,1,0)+IF(MIN(Комплектация!AK169:'Комплектация'!AL169)-Справочник!$B$4&lt;Справочник!$B$3,1,0)+IF(MIN(Комплектация!AU169:'Комплектация'!AV169)-Справочник!$B$4&lt;Справочник!$B$3,1,0)+IF(MIN(Комплектация!BE169:'Комплектация'!BF169)-Справочник!$B$4&lt;Справочник!$B$3,1,0)</f>
        <v>0</v>
      </c>
      <c r="Y180" s="33">
        <f>Справочник!$B$8</f>
        <v>4650000</v>
      </c>
      <c r="Z180" s="33">
        <f t="shared" si="71"/>
        <v>2766113.0136986305</v>
      </c>
    </row>
    <row r="181" spans="1:27" x14ac:dyDescent="0.25">
      <c r="A181" s="58">
        <f>Комплектация!A170</f>
        <v>77205714</v>
      </c>
      <c r="B181" s="59" t="str">
        <f>Комплектация!C170</f>
        <v>15-1755П</v>
      </c>
      <c r="C181" s="59">
        <f>Комплектация!E170</f>
        <v>2013</v>
      </c>
      <c r="D181" s="59">
        <f t="shared" si="60"/>
        <v>13</v>
      </c>
      <c r="E181" s="60">
        <f t="shared" si="61"/>
        <v>40.625</v>
      </c>
      <c r="F181" s="61" t="str">
        <f>TEXT(Комплектация!V170,"0")&amp;"/"&amp;TEXT(Комплектация!AF170,"0")&amp;"/"&amp;TEXT(Комплектация!AP170,"0")&amp;"/"&amp;TEXT(Комплектация!AZ170,"0")</f>
        <v>2013/2013/2013/2013</v>
      </c>
      <c r="G181" s="62">
        <f>AVERAGE(Комплектация!V170,Комплектация!AF170,Комплектация!AP170,Комплектация!AZ170)</f>
        <v>2013</v>
      </c>
      <c r="H181" s="62">
        <f t="shared" si="62"/>
        <v>13</v>
      </c>
      <c r="I181" s="62">
        <f>AVERAGE(Комплектация!AA170:'Комплектация'!AB170,Комплектация!AK170:'Комплектация'!AL170,Комплектация!AU170:'Комплектация'!AV170,Комплектация!BE170:'Комплектация'!BF170)</f>
        <v>59</v>
      </c>
      <c r="J181" s="62">
        <f>MIN(Комплектация!AA170:'Комплектация'!AB170,Комплектация!AK170:'Комплектация'!AL170,Комплектация!AU170:'Комплектация'!AV170,Комплектация!BE170:'Комплектация'!BF170)</f>
        <v>58</v>
      </c>
      <c r="K181" s="60">
        <f t="shared" si="63"/>
        <v>0</v>
      </c>
      <c r="L181" s="60">
        <f t="shared" si="64"/>
        <v>43.333333333333336</v>
      </c>
      <c r="M181" s="60">
        <f t="shared" si="65"/>
        <v>13</v>
      </c>
      <c r="N181" s="60">
        <f t="shared" si="66"/>
        <v>30.716609589041095</v>
      </c>
      <c r="O181" s="60">
        <f t="shared" si="67"/>
        <v>69.283390410958901</v>
      </c>
      <c r="P181" s="63"/>
      <c r="Q181" s="64" t="str">
        <f t="shared" si="68"/>
        <v/>
      </c>
      <c r="R181" s="23" t="str">
        <f>IF(Комплектация!G170="",Комплектация!I170,IF(Комплектация!I170="",Комплектация!G170,IF(DATE(VALUE(RIGHT(Комплектация!G170,4)),VALUE(MID(Комплектация!G170,4,2)),VALUE(LEFT(Комплектация!G170,2)))&gt;=DATE(VALUE(RIGHT(Комплектация!I170,4)),VALUE(MID(Комплектация!I170,4,2)),VALUE(LEFT(Комплектация!I170,2))),Комплектация!G170,Комплектация!I170)))</f>
        <v>24.10.2025</v>
      </c>
      <c r="S181" s="23" t="str">
        <f>Комплектация!L170</f>
        <v>24.10.2027</v>
      </c>
      <c r="T181" s="25">
        <f t="shared" si="69"/>
        <v>1.2183436002737851</v>
      </c>
      <c r="U181" s="27">
        <f t="shared" si="70"/>
        <v>39.041095890410958</v>
      </c>
      <c r="V181" s="27">
        <f>IF(U181="","",U181*Справочник!$B$7/100)</f>
        <v>3.904109589041096</v>
      </c>
      <c r="W181" s="25">
        <f>J181-Справочник!$B$4</f>
        <v>43</v>
      </c>
      <c r="X181" s="29">
        <f>IF(MIN(Комплектация!AA170:'Комплектация'!AB170)-Справочник!$B$4&lt;Справочник!$B$3,1,0)+IF(MIN(Комплектация!AK170:'Комплектация'!AL170)-Справочник!$B$4&lt;Справочник!$B$3,1,0)+IF(MIN(Комплектация!AU170:'Комплектация'!AV170)-Справочник!$B$4&lt;Справочник!$B$3,1,0)+IF(MIN(Комплектация!BE170:'Комплектация'!BF170)-Справочник!$B$4&lt;Справочник!$B$3,1,0)</f>
        <v>0</v>
      </c>
      <c r="Y181" s="34">
        <f>Справочник!$B$8</f>
        <v>4650000</v>
      </c>
      <c r="Z181" s="34">
        <f t="shared" si="71"/>
        <v>3221677.6541095888</v>
      </c>
    </row>
    <row r="182" spans="1:27" x14ac:dyDescent="0.25">
      <c r="Y182" s="75">
        <f>SUM(Y16:Y181)</f>
        <v>771900000</v>
      </c>
      <c r="Z182" s="75">
        <f>SUM(Z16:Z181)</f>
        <v>538688084.78240848</v>
      </c>
      <c r="AA182" s="75"/>
    </row>
    <row r="183" spans="1:27" x14ac:dyDescent="0.25">
      <c r="AA183" s="76"/>
    </row>
  </sheetData>
  <autoFilter ref="A15:Z15" xr:uid="{00000000-0001-0000-0100-000000000000}"/>
  <mergeCells count="2">
    <mergeCell ref="A1:Q1"/>
    <mergeCell ref="A2:Q2"/>
  </mergeCells>
  <conditionalFormatting sqref="N16:N181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conditionalFormatting sqref="V16:V181">
    <cfRule type="colorScale" priority="6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X16:X181">
    <cfRule type="cellIs" dxfId="1" priority="5" operator="greaterThan">
      <formula>0</formula>
    </cfRule>
  </conditionalFormatting>
  <conditionalFormatting sqref="Z16:Z181">
    <cfRule type="colorScale" priority="7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lessThan" id="{00000000-000E-0000-0100-000002000000}">
            <xm:f>Справочник!$B$5</xm:f>
            <x14:dxf>
              <font>
                <b/>
                <color rgb="FF9C0006"/>
              </font>
              <fill>
                <patternFill>
                  <bgColor rgb="FFF4CCCC"/>
                </patternFill>
              </fill>
            </x14:dxf>
          </x14:cfRule>
          <x14:cfRule type="cellIs" priority="3" operator="greaterThanOrEqual" id="{00000000-000E-0000-0100-000003000000}">
            <xm:f>Справочник!$B$5</xm:f>
            <x14:dxf>
              <font>
                <color rgb="FF274E13"/>
              </font>
              <fill>
                <patternFill>
                  <bgColor rgb="FFD9EAD3"/>
                </patternFill>
              </fill>
            </x14:dxf>
          </x14:cfRule>
          <xm:sqref>J16:J181</xm:sqref>
        </x14:conditionalFormatting>
        <x14:conditionalFormatting xmlns:xm="http://schemas.microsoft.com/office/excel/2006/main">
          <x14:cfRule type="cellIs" priority="4" operator="lessThan" id="{00000000-000E-0000-0100-000004000000}">
            <xm:f>Справочник!$B$3</xm:f>
            <x14:dxf>
              <font>
                <b/>
                <color rgb="FF9C0006"/>
              </font>
              <fill>
                <patternFill>
                  <bgColor rgb="FFF4CCCC"/>
                </patternFill>
              </fill>
            </x14:dxf>
          </x14:cfRule>
          <xm:sqref>W16:W181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showGridLines="0" workbookViewId="0">
      <selection activeCell="B9" sqref="B9"/>
    </sheetView>
  </sheetViews>
  <sheetFormatPr defaultRowHeight="13.2" x14ac:dyDescent="0.25"/>
  <cols>
    <col min="1" max="1" width="34" customWidth="1"/>
    <col min="2" max="2" width="12" customWidth="1"/>
    <col min="3" max="3" width="10" customWidth="1"/>
    <col min="4" max="4" width="74" customWidth="1"/>
  </cols>
  <sheetData>
    <row r="1" spans="1:4" ht="25.95" customHeight="1" x14ac:dyDescent="0.3">
      <c r="A1" s="67" t="s">
        <v>611</v>
      </c>
      <c r="B1" s="68"/>
      <c r="C1" s="68"/>
      <c r="D1" s="69"/>
    </row>
    <row r="2" spans="1:4" x14ac:dyDescent="0.25">
      <c r="A2" s="9" t="s">
        <v>567</v>
      </c>
      <c r="B2" s="10" t="s">
        <v>568</v>
      </c>
      <c r="C2" s="10" t="s">
        <v>612</v>
      </c>
      <c r="D2" s="11" t="s">
        <v>613</v>
      </c>
    </row>
    <row r="3" spans="1:4" ht="34.049999999999997" customHeight="1" x14ac:dyDescent="0.25">
      <c r="A3" s="12" t="s">
        <v>614</v>
      </c>
      <c r="B3" s="13">
        <v>35</v>
      </c>
      <c r="C3" s="8" t="s">
        <v>615</v>
      </c>
      <c r="D3" s="14" t="s">
        <v>616</v>
      </c>
    </row>
    <row r="4" spans="1:4" ht="34.049999999999997" customHeight="1" x14ac:dyDescent="0.25">
      <c r="A4" s="12" t="s">
        <v>617</v>
      </c>
      <c r="B4" s="13">
        <v>15</v>
      </c>
      <c r="C4" s="8" t="s">
        <v>615</v>
      </c>
      <c r="D4" s="14" t="s">
        <v>618</v>
      </c>
    </row>
    <row r="5" spans="1:4" ht="34.049999999999997" customHeight="1" x14ac:dyDescent="0.25">
      <c r="A5" s="12" t="s">
        <v>619</v>
      </c>
      <c r="B5" s="15">
        <f>B3+B4</f>
        <v>50</v>
      </c>
      <c r="C5" s="8" t="s">
        <v>615</v>
      </c>
      <c r="D5" s="14" t="s">
        <v>620</v>
      </c>
    </row>
    <row r="6" spans="1:4" ht="34.049999999999997" customHeight="1" x14ac:dyDescent="0.25">
      <c r="A6" s="12" t="s">
        <v>621</v>
      </c>
      <c r="B6" s="13">
        <v>27</v>
      </c>
      <c r="C6" s="8" t="s">
        <v>615</v>
      </c>
      <c r="D6" s="14" t="s">
        <v>622</v>
      </c>
    </row>
    <row r="7" spans="1:4" ht="34.049999999999997" customHeight="1" x14ac:dyDescent="0.25">
      <c r="A7" s="16" t="s">
        <v>623</v>
      </c>
      <c r="B7" s="17">
        <v>10</v>
      </c>
      <c r="C7" s="18" t="s">
        <v>624</v>
      </c>
      <c r="D7" s="19" t="s">
        <v>625</v>
      </c>
    </row>
    <row r="8" spans="1:4" ht="34.049999999999997" customHeight="1" x14ac:dyDescent="0.25">
      <c r="A8" s="30" t="s">
        <v>626</v>
      </c>
      <c r="B8" s="31">
        <v>4650000</v>
      </c>
      <c r="C8" s="8" t="s">
        <v>627</v>
      </c>
      <c r="D8" s="8" t="s">
        <v>628</v>
      </c>
    </row>
    <row r="10" spans="1:4" x14ac:dyDescent="0.25">
      <c r="A10" s="70" t="s">
        <v>629</v>
      </c>
      <c r="B10" s="70"/>
      <c r="C10" s="70"/>
      <c r="D10" s="70"/>
    </row>
    <row r="11" spans="1:4" x14ac:dyDescent="0.25">
      <c r="A11" s="35" t="s">
        <v>630</v>
      </c>
      <c r="B11" s="36" t="s">
        <v>568</v>
      </c>
    </row>
    <row r="12" spans="1:4" x14ac:dyDescent="0.25">
      <c r="A12" s="37" t="s">
        <v>631</v>
      </c>
      <c r="B12" s="38">
        <f>COUNT(Амортизация!Z16:Z181)</f>
        <v>166</v>
      </c>
    </row>
    <row r="13" spans="1:4" x14ac:dyDescent="0.25">
      <c r="A13" s="37" t="s">
        <v>632</v>
      </c>
      <c r="B13" s="39">
        <f>AVERAGE(Амортизация!Z16:Z181)</f>
        <v>3245108.9444723404</v>
      </c>
    </row>
    <row r="14" spans="1:4" x14ac:dyDescent="0.25">
      <c r="A14" s="37" t="s">
        <v>633</v>
      </c>
      <c r="B14" s="39">
        <f>MIN(Амортизация!Z16:Z181)</f>
        <v>1165512.3175182478</v>
      </c>
    </row>
    <row r="15" spans="1:4" x14ac:dyDescent="0.25">
      <c r="A15" s="40" t="s">
        <v>634</v>
      </c>
      <c r="B15" s="41">
        <f>MAX(Амортизация!Z16:Z181)</f>
        <v>3976600.8036935707</v>
      </c>
    </row>
  </sheetData>
  <mergeCells count="2">
    <mergeCell ref="A1:D1"/>
    <mergeCell ref="A10:D10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70"/>
  <sheetViews>
    <sheetView workbookViewId="0">
      <selection sqref="A1:A3"/>
    </sheetView>
  </sheetViews>
  <sheetFormatPr defaultRowHeight="13.2" x14ac:dyDescent="0.25"/>
  <cols>
    <col min="1" max="1" width="15" customWidth="1"/>
    <col min="2" max="2" width="14.5546875" customWidth="1"/>
    <col min="3" max="3" width="15.109375" customWidth="1"/>
    <col min="4" max="4" width="15" customWidth="1"/>
    <col min="5" max="5" width="11.109375" customWidth="1"/>
    <col min="6" max="6" width="13" customWidth="1"/>
    <col min="7" max="8" width="20" customWidth="1"/>
    <col min="9" max="9" width="13.33203125" customWidth="1"/>
    <col min="10" max="10" width="20" customWidth="1"/>
    <col min="11" max="11" width="14.44140625" customWidth="1"/>
    <col min="12" max="12" width="15.88671875" customWidth="1"/>
    <col min="13" max="14" width="20" customWidth="1"/>
    <col min="15" max="15" width="10.6640625" customWidth="1"/>
    <col min="16" max="16" width="12.33203125" customWidth="1"/>
    <col min="17" max="17" width="11.5546875" customWidth="1"/>
    <col min="18" max="18" width="20" customWidth="1"/>
    <col min="19" max="19" width="3" customWidth="1"/>
    <col min="20" max="23" width="9.109375"/>
    <col min="24" max="24" width="15" customWidth="1"/>
    <col min="25" max="28" width="9.109375"/>
    <col min="29" max="29" width="3" customWidth="1"/>
    <col min="30" max="33" width="9.109375"/>
    <col min="34" max="34" width="15" customWidth="1"/>
    <col min="35" max="38" width="9.109375"/>
    <col min="39" max="39" width="3" customWidth="1"/>
    <col min="40" max="43" width="9.109375"/>
    <col min="44" max="44" width="15" customWidth="1"/>
    <col min="45" max="48" width="9.109375"/>
    <col min="49" max="49" width="3" customWidth="1"/>
    <col min="50" max="53" width="9.109375"/>
    <col min="54" max="54" width="15" customWidth="1"/>
    <col min="55" max="58" width="9.109375"/>
    <col min="59" max="59" width="3" customWidth="1"/>
    <col min="60" max="63" width="9.109375"/>
    <col min="64" max="64" width="15" customWidth="1"/>
    <col min="65" max="65" width="3" customWidth="1"/>
    <col min="66" max="69" width="9.109375"/>
    <col min="70" max="70" width="15" customWidth="1"/>
    <col min="71" max="71" width="3" customWidth="1"/>
    <col min="72" max="75" width="9.109375"/>
    <col min="76" max="76" width="15" customWidth="1"/>
    <col min="77" max="77" width="3" customWidth="1"/>
    <col min="78" max="81" width="9.109375"/>
    <col min="82" max="82" width="15" customWidth="1"/>
    <col min="83" max="83" width="3" customWidth="1"/>
    <col min="84" max="87" width="9.109375"/>
    <col min="88" max="88" width="15" customWidth="1"/>
    <col min="89" max="89" width="3" customWidth="1"/>
    <col min="90" max="93" width="9.109375"/>
    <col min="94" max="94" width="15" customWidth="1"/>
  </cols>
  <sheetData>
    <row r="1" spans="1:94" ht="10.199999999999999" customHeight="1" x14ac:dyDescent="0.25">
      <c r="A1" s="73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8</v>
      </c>
      <c r="J1" s="73" t="s">
        <v>9</v>
      </c>
      <c r="K1" s="73" t="s">
        <v>10</v>
      </c>
      <c r="L1" s="73" t="s">
        <v>11</v>
      </c>
      <c r="M1" s="73" t="s">
        <v>12</v>
      </c>
      <c r="N1" s="73" t="s">
        <v>13</v>
      </c>
      <c r="O1" s="73" t="s">
        <v>14</v>
      </c>
      <c r="P1" s="73" t="s">
        <v>15</v>
      </c>
      <c r="Q1" s="73" t="s">
        <v>16</v>
      </c>
      <c r="R1" s="73" t="s">
        <v>17</v>
      </c>
      <c r="S1" s="71"/>
      <c r="T1" s="73" t="s">
        <v>18</v>
      </c>
      <c r="U1" s="74"/>
      <c r="V1" s="74"/>
      <c r="W1" s="74"/>
      <c r="X1" s="74"/>
      <c r="Y1" s="74"/>
      <c r="Z1" s="74"/>
      <c r="AA1" s="74"/>
      <c r="AB1" s="74"/>
      <c r="AC1" s="71"/>
      <c r="AD1" s="73" t="s">
        <v>19</v>
      </c>
      <c r="AE1" s="74"/>
      <c r="AF1" s="74"/>
      <c r="AG1" s="74"/>
      <c r="AH1" s="74"/>
      <c r="AI1" s="74"/>
      <c r="AJ1" s="74"/>
      <c r="AK1" s="74"/>
      <c r="AL1" s="74"/>
      <c r="AM1" s="71"/>
      <c r="AN1" s="73" t="s">
        <v>20</v>
      </c>
      <c r="AO1" s="74"/>
      <c r="AP1" s="74"/>
      <c r="AQ1" s="74"/>
      <c r="AR1" s="74"/>
      <c r="AS1" s="74"/>
      <c r="AT1" s="74"/>
      <c r="AU1" s="74"/>
      <c r="AV1" s="74"/>
      <c r="AW1" s="71"/>
      <c r="AX1" s="73" t="s">
        <v>21</v>
      </c>
      <c r="AY1" s="74"/>
      <c r="AZ1" s="74"/>
      <c r="BA1" s="74"/>
      <c r="BB1" s="74"/>
      <c r="BC1" s="74"/>
      <c r="BD1" s="74"/>
      <c r="BE1" s="74"/>
      <c r="BF1" s="74"/>
      <c r="BG1" s="71"/>
      <c r="BH1" s="73" t="s">
        <v>22</v>
      </c>
      <c r="BI1" s="74"/>
      <c r="BJ1" s="74"/>
      <c r="BK1" s="74"/>
      <c r="BL1" s="74"/>
      <c r="BM1" s="71"/>
      <c r="BN1" s="73" t="s">
        <v>23</v>
      </c>
      <c r="BO1" s="74"/>
      <c r="BP1" s="74"/>
      <c r="BQ1" s="74"/>
      <c r="BR1" s="74"/>
      <c r="BS1" s="71"/>
      <c r="BT1" s="73" t="s">
        <v>24</v>
      </c>
      <c r="BU1" s="74"/>
      <c r="BV1" s="74"/>
      <c r="BW1" s="74"/>
      <c r="BX1" s="74"/>
      <c r="BY1" s="71"/>
      <c r="BZ1" s="73" t="s">
        <v>25</v>
      </c>
      <c r="CA1" s="74"/>
      <c r="CB1" s="74"/>
      <c r="CC1" s="74"/>
      <c r="CD1" s="74"/>
      <c r="CE1" s="71"/>
      <c r="CF1" s="73" t="s">
        <v>26</v>
      </c>
      <c r="CG1" s="74"/>
      <c r="CH1" s="74"/>
      <c r="CI1" s="74"/>
      <c r="CJ1" s="74"/>
      <c r="CK1" s="71"/>
      <c r="CL1" s="73" t="s">
        <v>27</v>
      </c>
      <c r="CM1" s="74"/>
      <c r="CN1" s="74"/>
      <c r="CO1" s="74"/>
      <c r="CP1" s="74"/>
    </row>
    <row r="2" spans="1:9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2"/>
      <c r="T2" s="73" t="s">
        <v>28</v>
      </c>
      <c r="U2" s="73" t="s">
        <v>29</v>
      </c>
      <c r="V2" s="73" t="s">
        <v>30</v>
      </c>
      <c r="W2" s="73" t="s">
        <v>31</v>
      </c>
      <c r="X2" s="73" t="s">
        <v>32</v>
      </c>
      <c r="Y2" s="73" t="s">
        <v>33</v>
      </c>
      <c r="Z2" s="74"/>
      <c r="AA2" s="73" t="s">
        <v>34</v>
      </c>
      <c r="AB2" s="74"/>
      <c r="AC2" s="72"/>
      <c r="AD2" s="73" t="s">
        <v>28</v>
      </c>
      <c r="AE2" s="73" t="s">
        <v>29</v>
      </c>
      <c r="AF2" s="73" t="s">
        <v>30</v>
      </c>
      <c r="AG2" s="73" t="s">
        <v>31</v>
      </c>
      <c r="AH2" s="73" t="s">
        <v>32</v>
      </c>
      <c r="AI2" s="73" t="s">
        <v>33</v>
      </c>
      <c r="AJ2" s="74"/>
      <c r="AK2" s="73" t="s">
        <v>34</v>
      </c>
      <c r="AL2" s="74"/>
      <c r="AM2" s="72"/>
      <c r="AN2" s="73" t="s">
        <v>28</v>
      </c>
      <c r="AO2" s="73" t="s">
        <v>29</v>
      </c>
      <c r="AP2" s="73" t="s">
        <v>30</v>
      </c>
      <c r="AQ2" s="73" t="s">
        <v>31</v>
      </c>
      <c r="AR2" s="73" t="s">
        <v>32</v>
      </c>
      <c r="AS2" s="73" t="s">
        <v>33</v>
      </c>
      <c r="AT2" s="74"/>
      <c r="AU2" s="73" t="s">
        <v>34</v>
      </c>
      <c r="AV2" s="74"/>
      <c r="AW2" s="72"/>
      <c r="AX2" s="73" t="s">
        <v>28</v>
      </c>
      <c r="AY2" s="73" t="s">
        <v>29</v>
      </c>
      <c r="AZ2" s="73" t="s">
        <v>30</v>
      </c>
      <c r="BA2" s="73" t="s">
        <v>31</v>
      </c>
      <c r="BB2" s="73" t="s">
        <v>32</v>
      </c>
      <c r="BC2" s="73" t="s">
        <v>33</v>
      </c>
      <c r="BD2" s="74"/>
      <c r="BE2" s="73" t="s">
        <v>34</v>
      </c>
      <c r="BF2" s="74"/>
      <c r="BG2" s="72"/>
      <c r="BH2" s="73" t="s">
        <v>28</v>
      </c>
      <c r="BI2" s="73" t="s">
        <v>29</v>
      </c>
      <c r="BJ2" s="73" t="s">
        <v>30</v>
      </c>
      <c r="BK2" s="73" t="s">
        <v>31</v>
      </c>
      <c r="BL2" s="73" t="s">
        <v>32</v>
      </c>
      <c r="BM2" s="72"/>
      <c r="BN2" s="73" t="s">
        <v>28</v>
      </c>
      <c r="BO2" s="73" t="s">
        <v>29</v>
      </c>
      <c r="BP2" s="73" t="s">
        <v>30</v>
      </c>
      <c r="BQ2" s="73" t="s">
        <v>31</v>
      </c>
      <c r="BR2" s="73" t="s">
        <v>32</v>
      </c>
      <c r="BS2" s="72"/>
      <c r="BT2" s="73" t="s">
        <v>28</v>
      </c>
      <c r="BU2" s="73" t="s">
        <v>29</v>
      </c>
      <c r="BV2" s="73" t="s">
        <v>30</v>
      </c>
      <c r="BW2" s="73" t="s">
        <v>31</v>
      </c>
      <c r="BX2" s="73" t="s">
        <v>32</v>
      </c>
      <c r="BY2" s="72"/>
      <c r="BZ2" s="73" t="s">
        <v>28</v>
      </c>
      <c r="CA2" s="73" t="s">
        <v>29</v>
      </c>
      <c r="CB2" s="73" t="s">
        <v>30</v>
      </c>
      <c r="CC2" s="73" t="s">
        <v>31</v>
      </c>
      <c r="CD2" s="73" t="s">
        <v>32</v>
      </c>
      <c r="CE2" s="72"/>
      <c r="CF2" s="73" t="s">
        <v>28</v>
      </c>
      <c r="CG2" s="73" t="s">
        <v>29</v>
      </c>
      <c r="CH2" s="73" t="s">
        <v>30</v>
      </c>
      <c r="CI2" s="73" t="s">
        <v>31</v>
      </c>
      <c r="CJ2" s="73" t="s">
        <v>32</v>
      </c>
      <c r="CK2" s="72"/>
      <c r="CL2" s="73" t="s">
        <v>28</v>
      </c>
      <c r="CM2" s="73" t="s">
        <v>29</v>
      </c>
      <c r="CN2" s="73" t="s">
        <v>30</v>
      </c>
      <c r="CO2" s="73" t="s">
        <v>31</v>
      </c>
      <c r="CP2" s="73" t="s">
        <v>32</v>
      </c>
    </row>
    <row r="3" spans="1:94" x14ac:dyDescent="0.25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2"/>
      <c r="T3" s="74"/>
      <c r="U3" s="74"/>
      <c r="V3" s="74"/>
      <c r="W3" s="74"/>
      <c r="X3" s="74"/>
      <c r="Y3" s="1" t="s">
        <v>35</v>
      </c>
      <c r="Z3" s="1" t="s">
        <v>36</v>
      </c>
      <c r="AA3" s="1" t="s">
        <v>35</v>
      </c>
      <c r="AB3" s="1" t="s">
        <v>36</v>
      </c>
      <c r="AC3" s="72"/>
      <c r="AD3" s="74"/>
      <c r="AE3" s="74"/>
      <c r="AF3" s="74"/>
      <c r="AG3" s="74"/>
      <c r="AH3" s="74"/>
      <c r="AI3" s="1" t="s">
        <v>35</v>
      </c>
      <c r="AJ3" s="1" t="s">
        <v>36</v>
      </c>
      <c r="AK3" s="1" t="s">
        <v>35</v>
      </c>
      <c r="AL3" s="1" t="s">
        <v>36</v>
      </c>
      <c r="AM3" s="72"/>
      <c r="AN3" s="74"/>
      <c r="AO3" s="74"/>
      <c r="AP3" s="74"/>
      <c r="AQ3" s="74"/>
      <c r="AR3" s="74"/>
      <c r="AS3" s="1" t="s">
        <v>35</v>
      </c>
      <c r="AT3" s="1" t="s">
        <v>36</v>
      </c>
      <c r="AU3" s="1" t="s">
        <v>35</v>
      </c>
      <c r="AV3" s="1" t="s">
        <v>36</v>
      </c>
      <c r="AW3" s="72"/>
      <c r="AX3" s="74"/>
      <c r="AY3" s="74"/>
      <c r="AZ3" s="74"/>
      <c r="BA3" s="74"/>
      <c r="BB3" s="74"/>
      <c r="BC3" s="1" t="s">
        <v>35</v>
      </c>
      <c r="BD3" s="1" t="s">
        <v>36</v>
      </c>
      <c r="BE3" s="1" t="s">
        <v>35</v>
      </c>
      <c r="BF3" s="1" t="s">
        <v>36</v>
      </c>
      <c r="BG3" s="72"/>
      <c r="BH3" s="74"/>
      <c r="BI3" s="74"/>
      <c r="BJ3" s="74"/>
      <c r="BK3" s="74"/>
      <c r="BL3" s="74"/>
      <c r="BM3" s="72"/>
      <c r="BN3" s="74"/>
      <c r="BO3" s="74"/>
      <c r="BP3" s="74"/>
      <c r="BQ3" s="74"/>
      <c r="BR3" s="74"/>
      <c r="BS3" s="72"/>
      <c r="BT3" s="74"/>
      <c r="BU3" s="74"/>
      <c r="BV3" s="74"/>
      <c r="BW3" s="74"/>
      <c r="BX3" s="74"/>
      <c r="BY3" s="72"/>
      <c r="BZ3" s="74"/>
      <c r="CA3" s="74"/>
      <c r="CB3" s="74"/>
      <c r="CC3" s="74"/>
      <c r="CD3" s="74"/>
      <c r="CE3" s="72"/>
      <c r="CF3" s="74"/>
      <c r="CG3" s="74"/>
      <c r="CH3" s="74"/>
      <c r="CI3" s="74"/>
      <c r="CJ3" s="74"/>
      <c r="CK3" s="72"/>
      <c r="CL3" s="74"/>
      <c r="CM3" s="74"/>
      <c r="CN3" s="74"/>
      <c r="CO3" s="74"/>
      <c r="CP3" s="74"/>
    </row>
    <row r="4" spans="1:94" x14ac:dyDescent="0.25">
      <c r="S4" s="2"/>
      <c r="AC4" s="2"/>
      <c r="AM4" s="2"/>
      <c r="AW4" s="2"/>
      <c r="BG4" s="2"/>
      <c r="BM4" s="2"/>
      <c r="BS4" s="2"/>
      <c r="BY4" s="2"/>
      <c r="CE4" s="2"/>
      <c r="CK4" s="2"/>
    </row>
    <row r="5" spans="1:94" x14ac:dyDescent="0.25">
      <c r="A5">
        <v>77223766</v>
      </c>
      <c r="B5" s="3" t="s">
        <v>37</v>
      </c>
      <c r="C5" t="s">
        <v>38</v>
      </c>
      <c r="D5" t="s">
        <v>39</v>
      </c>
      <c r="E5">
        <v>2011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>
        <v>160000</v>
      </c>
      <c r="O5">
        <v>7663</v>
      </c>
      <c r="P5">
        <v>152337</v>
      </c>
      <c r="Q5" t="s">
        <v>48</v>
      </c>
      <c r="R5" t="s">
        <v>43</v>
      </c>
      <c r="S5" s="2" t="s">
        <v>49</v>
      </c>
      <c r="T5">
        <v>107741</v>
      </c>
      <c r="U5" t="s">
        <v>50</v>
      </c>
      <c r="V5">
        <v>2005</v>
      </c>
      <c r="W5">
        <v>745</v>
      </c>
      <c r="X5" t="s">
        <v>51</v>
      </c>
      <c r="Y5">
        <v>0</v>
      </c>
      <c r="Z5">
        <v>0</v>
      </c>
      <c r="AA5">
        <v>73</v>
      </c>
      <c r="AB5">
        <v>73</v>
      </c>
      <c r="AC5" s="2" t="s">
        <v>49</v>
      </c>
      <c r="AD5">
        <v>52282</v>
      </c>
      <c r="AE5">
        <v>1175</v>
      </c>
      <c r="AF5">
        <v>2012</v>
      </c>
      <c r="AG5">
        <v>745</v>
      </c>
      <c r="AH5" t="s">
        <v>51</v>
      </c>
      <c r="AI5">
        <v>0</v>
      </c>
      <c r="AJ5">
        <v>0</v>
      </c>
      <c r="AK5">
        <v>71</v>
      </c>
      <c r="AL5">
        <v>71</v>
      </c>
      <c r="AM5" s="2" t="s">
        <v>49</v>
      </c>
      <c r="AN5">
        <v>750688</v>
      </c>
      <c r="AO5" t="s">
        <v>50</v>
      </c>
      <c r="AP5">
        <v>2017</v>
      </c>
      <c r="AQ5">
        <v>745</v>
      </c>
      <c r="AR5" t="s">
        <v>51</v>
      </c>
      <c r="AS5">
        <v>0</v>
      </c>
      <c r="AT5">
        <v>0</v>
      </c>
      <c r="AU5">
        <v>73</v>
      </c>
      <c r="AV5">
        <v>73</v>
      </c>
      <c r="AW5" s="2" t="s">
        <v>49</v>
      </c>
      <c r="AX5">
        <v>812280</v>
      </c>
      <c r="AY5" t="s">
        <v>50</v>
      </c>
      <c r="AZ5">
        <v>2018</v>
      </c>
      <c r="BA5">
        <v>745</v>
      </c>
      <c r="BB5" t="s">
        <v>51</v>
      </c>
      <c r="BC5">
        <v>0</v>
      </c>
      <c r="BD5">
        <v>0</v>
      </c>
      <c r="BE5">
        <v>74</v>
      </c>
      <c r="BF5">
        <v>74</v>
      </c>
      <c r="BG5" s="2" t="s">
        <v>49</v>
      </c>
      <c r="BH5">
        <v>69894</v>
      </c>
      <c r="BI5" t="s">
        <v>52</v>
      </c>
      <c r="BJ5">
        <v>2011</v>
      </c>
      <c r="BM5" s="2" t="s">
        <v>49</v>
      </c>
      <c r="BN5">
        <v>66505</v>
      </c>
      <c r="BO5" t="s">
        <v>52</v>
      </c>
      <c r="BP5">
        <v>2011</v>
      </c>
      <c r="BS5" s="2" t="s">
        <v>49</v>
      </c>
      <c r="BT5">
        <v>117185</v>
      </c>
      <c r="BU5" t="s">
        <v>52</v>
      </c>
      <c r="BV5">
        <v>2011</v>
      </c>
      <c r="BY5" s="2" t="s">
        <v>49</v>
      </c>
      <c r="BZ5">
        <v>117258</v>
      </c>
      <c r="CA5" t="s">
        <v>52</v>
      </c>
      <c r="CB5">
        <v>2011</v>
      </c>
      <c r="CE5" s="2" t="s">
        <v>49</v>
      </c>
      <c r="CF5">
        <v>116917</v>
      </c>
      <c r="CG5" t="s">
        <v>52</v>
      </c>
      <c r="CH5">
        <v>2011</v>
      </c>
      <c r="CK5" s="2" t="s">
        <v>49</v>
      </c>
      <c r="CL5">
        <v>117136</v>
      </c>
      <c r="CM5" t="s">
        <v>52</v>
      </c>
      <c r="CN5">
        <v>2011</v>
      </c>
    </row>
    <row r="6" spans="1:94" x14ac:dyDescent="0.25">
      <c r="A6">
        <v>77206126</v>
      </c>
      <c r="B6" s="3" t="s">
        <v>37</v>
      </c>
      <c r="C6" t="s">
        <v>53</v>
      </c>
      <c r="D6" t="s">
        <v>54</v>
      </c>
      <c r="E6">
        <v>2013</v>
      </c>
      <c r="F6" t="s">
        <v>55</v>
      </c>
      <c r="G6" t="s">
        <v>56</v>
      </c>
      <c r="H6" t="s">
        <v>44</v>
      </c>
      <c r="I6" t="s">
        <v>57</v>
      </c>
      <c r="J6" t="s">
        <v>58</v>
      </c>
      <c r="K6" t="s">
        <v>45</v>
      </c>
      <c r="L6" t="s">
        <v>59</v>
      </c>
      <c r="M6" t="s">
        <v>47</v>
      </c>
      <c r="N6">
        <v>160000</v>
      </c>
      <c r="O6">
        <v>20933</v>
      </c>
      <c r="P6">
        <v>139067</v>
      </c>
      <c r="Q6" t="s">
        <v>60</v>
      </c>
      <c r="R6" t="s">
        <v>56</v>
      </c>
      <c r="S6" s="2" t="s">
        <v>49</v>
      </c>
      <c r="T6">
        <v>107656</v>
      </c>
      <c r="U6" t="s">
        <v>50</v>
      </c>
      <c r="V6">
        <v>2014</v>
      </c>
      <c r="W6">
        <v>745</v>
      </c>
      <c r="X6" t="s">
        <v>61</v>
      </c>
      <c r="Y6">
        <v>0</v>
      </c>
      <c r="Z6">
        <v>0</v>
      </c>
      <c r="AA6">
        <v>72</v>
      </c>
      <c r="AB6">
        <v>72</v>
      </c>
      <c r="AC6" s="2" t="s">
        <v>49</v>
      </c>
      <c r="AD6">
        <v>227365</v>
      </c>
      <c r="AE6" t="s">
        <v>50</v>
      </c>
      <c r="AF6">
        <v>2019</v>
      </c>
      <c r="AG6">
        <v>745</v>
      </c>
      <c r="AH6" t="s">
        <v>61</v>
      </c>
      <c r="AI6">
        <v>0</v>
      </c>
      <c r="AJ6">
        <v>0</v>
      </c>
      <c r="AK6">
        <v>72</v>
      </c>
      <c r="AL6">
        <v>72</v>
      </c>
      <c r="AM6" s="2" t="s">
        <v>49</v>
      </c>
      <c r="AN6">
        <v>16504</v>
      </c>
      <c r="AO6">
        <v>1175</v>
      </c>
      <c r="AP6">
        <v>2008</v>
      </c>
      <c r="AQ6">
        <v>745</v>
      </c>
      <c r="AR6" t="s">
        <v>61</v>
      </c>
      <c r="AS6">
        <v>0</v>
      </c>
      <c r="AT6">
        <v>0</v>
      </c>
      <c r="AU6">
        <v>74</v>
      </c>
      <c r="AV6">
        <v>74</v>
      </c>
      <c r="AW6" s="2" t="s">
        <v>49</v>
      </c>
      <c r="AX6">
        <v>844904</v>
      </c>
      <c r="AY6" t="s">
        <v>62</v>
      </c>
      <c r="AZ6">
        <v>1990</v>
      </c>
      <c r="BA6">
        <v>745</v>
      </c>
      <c r="BB6" t="s">
        <v>61</v>
      </c>
      <c r="BC6">
        <v>0</v>
      </c>
      <c r="BD6">
        <v>0</v>
      </c>
      <c r="BE6">
        <v>72</v>
      </c>
      <c r="BF6">
        <v>72</v>
      </c>
      <c r="BG6" s="2" t="s">
        <v>49</v>
      </c>
      <c r="BH6">
        <v>15188</v>
      </c>
      <c r="BI6">
        <v>1291</v>
      </c>
      <c r="BJ6">
        <v>2013</v>
      </c>
      <c r="BM6" s="2" t="s">
        <v>49</v>
      </c>
      <c r="BN6">
        <v>15246</v>
      </c>
      <c r="BO6">
        <v>1291</v>
      </c>
      <c r="BP6">
        <v>2013</v>
      </c>
      <c r="BS6" s="2" t="s">
        <v>49</v>
      </c>
      <c r="BT6">
        <v>42930</v>
      </c>
      <c r="BU6">
        <v>1291</v>
      </c>
      <c r="BV6">
        <v>2013</v>
      </c>
      <c r="BY6" s="2" t="s">
        <v>49</v>
      </c>
      <c r="BZ6">
        <v>42424</v>
      </c>
      <c r="CA6">
        <v>1291</v>
      </c>
      <c r="CB6">
        <v>2013</v>
      </c>
      <c r="CE6" s="2" t="s">
        <v>49</v>
      </c>
      <c r="CF6">
        <v>38356</v>
      </c>
      <c r="CG6">
        <v>1291</v>
      </c>
      <c r="CH6">
        <v>2013</v>
      </c>
      <c r="CK6" s="2" t="s">
        <v>49</v>
      </c>
      <c r="CL6">
        <v>43316</v>
      </c>
      <c r="CM6">
        <v>1291</v>
      </c>
      <c r="CN6">
        <v>2013</v>
      </c>
    </row>
    <row r="7" spans="1:94" x14ac:dyDescent="0.25">
      <c r="A7">
        <v>77205912</v>
      </c>
      <c r="B7" s="3" t="s">
        <v>37</v>
      </c>
      <c r="C7" t="s">
        <v>53</v>
      </c>
      <c r="D7" t="s">
        <v>54</v>
      </c>
      <c r="E7">
        <v>2013</v>
      </c>
      <c r="F7" t="s">
        <v>55</v>
      </c>
      <c r="G7" t="s">
        <v>56</v>
      </c>
      <c r="H7" t="s">
        <v>44</v>
      </c>
      <c r="I7" t="s">
        <v>63</v>
      </c>
      <c r="J7" t="s">
        <v>42</v>
      </c>
      <c r="K7" t="s">
        <v>45</v>
      </c>
      <c r="L7" t="s">
        <v>59</v>
      </c>
      <c r="M7" t="s">
        <v>47</v>
      </c>
      <c r="N7">
        <v>160000</v>
      </c>
      <c r="O7">
        <v>15958</v>
      </c>
      <c r="P7">
        <v>144042</v>
      </c>
      <c r="Q7" t="s">
        <v>64</v>
      </c>
      <c r="R7" t="s">
        <v>65</v>
      </c>
      <c r="S7" s="2" t="s">
        <v>49</v>
      </c>
      <c r="T7">
        <v>392521</v>
      </c>
      <c r="U7" t="s">
        <v>62</v>
      </c>
      <c r="V7">
        <v>2013</v>
      </c>
      <c r="W7">
        <v>4036</v>
      </c>
      <c r="X7" t="s">
        <v>66</v>
      </c>
      <c r="Y7">
        <v>0</v>
      </c>
      <c r="Z7">
        <v>0</v>
      </c>
      <c r="AA7">
        <v>38</v>
      </c>
      <c r="AB7">
        <v>38</v>
      </c>
      <c r="AC7" s="2" t="s">
        <v>49</v>
      </c>
      <c r="AD7">
        <v>370222</v>
      </c>
      <c r="AE7" t="s">
        <v>62</v>
      </c>
      <c r="AF7">
        <v>2012</v>
      </c>
      <c r="AG7">
        <v>4036</v>
      </c>
      <c r="AH7" t="s">
        <v>66</v>
      </c>
      <c r="AI7">
        <v>0</v>
      </c>
      <c r="AJ7">
        <v>0</v>
      </c>
      <c r="AK7">
        <v>38</v>
      </c>
      <c r="AL7">
        <v>38</v>
      </c>
      <c r="AM7" s="2" t="s">
        <v>49</v>
      </c>
      <c r="AN7">
        <v>459384</v>
      </c>
      <c r="AO7" t="s">
        <v>62</v>
      </c>
      <c r="AP7">
        <v>2013</v>
      </c>
      <c r="AQ7">
        <v>4036</v>
      </c>
      <c r="AR7" t="s">
        <v>66</v>
      </c>
      <c r="AS7">
        <v>0</v>
      </c>
      <c r="AT7">
        <v>0</v>
      </c>
      <c r="AU7">
        <v>32</v>
      </c>
      <c r="AV7">
        <v>32</v>
      </c>
      <c r="AW7" s="2" t="s">
        <v>49</v>
      </c>
      <c r="AX7">
        <v>460013</v>
      </c>
      <c r="AY7" t="s">
        <v>62</v>
      </c>
      <c r="AZ7">
        <v>2013</v>
      </c>
      <c r="BA7">
        <v>4036</v>
      </c>
      <c r="BB7" t="s">
        <v>66</v>
      </c>
      <c r="BC7">
        <v>0</v>
      </c>
      <c r="BD7">
        <v>0</v>
      </c>
      <c r="BE7">
        <v>37</v>
      </c>
      <c r="BF7">
        <v>37</v>
      </c>
      <c r="BG7" s="2" t="s">
        <v>49</v>
      </c>
      <c r="BH7">
        <v>15648</v>
      </c>
      <c r="BI7">
        <v>1291</v>
      </c>
      <c r="BJ7">
        <v>2013</v>
      </c>
      <c r="BM7" s="2" t="s">
        <v>49</v>
      </c>
      <c r="BN7">
        <v>15896</v>
      </c>
      <c r="BO7">
        <v>1291</v>
      </c>
      <c r="BP7">
        <v>2013</v>
      </c>
      <c r="BS7" s="2" t="s">
        <v>49</v>
      </c>
      <c r="BT7">
        <v>46279</v>
      </c>
      <c r="BU7">
        <v>1291</v>
      </c>
      <c r="BV7">
        <v>2013</v>
      </c>
      <c r="BY7" s="2" t="s">
        <v>49</v>
      </c>
      <c r="BZ7">
        <v>45962</v>
      </c>
      <c r="CA7">
        <v>1291</v>
      </c>
      <c r="CB7">
        <v>2013</v>
      </c>
      <c r="CE7" s="2" t="s">
        <v>49</v>
      </c>
      <c r="CF7">
        <v>37854</v>
      </c>
      <c r="CG7">
        <v>1291</v>
      </c>
      <c r="CH7">
        <v>2013</v>
      </c>
      <c r="CK7" s="2" t="s">
        <v>49</v>
      </c>
      <c r="CL7">
        <v>45456</v>
      </c>
      <c r="CM7">
        <v>1291</v>
      </c>
      <c r="CN7">
        <v>2013</v>
      </c>
    </row>
    <row r="8" spans="1:94" x14ac:dyDescent="0.25">
      <c r="A8">
        <v>77206159</v>
      </c>
      <c r="B8" s="3" t="s">
        <v>37</v>
      </c>
      <c r="C8" t="s">
        <v>53</v>
      </c>
      <c r="D8" t="s">
        <v>54</v>
      </c>
      <c r="E8">
        <v>2013</v>
      </c>
      <c r="F8" t="s">
        <v>55</v>
      </c>
      <c r="G8" t="s">
        <v>56</v>
      </c>
      <c r="H8" t="s">
        <v>44</v>
      </c>
      <c r="I8" t="s">
        <v>67</v>
      </c>
      <c r="J8" t="s">
        <v>68</v>
      </c>
      <c r="K8" t="s">
        <v>45</v>
      </c>
      <c r="L8" t="s">
        <v>59</v>
      </c>
      <c r="M8" t="s">
        <v>47</v>
      </c>
      <c r="N8">
        <v>160000</v>
      </c>
      <c r="O8">
        <v>15958</v>
      </c>
      <c r="P8">
        <v>144042</v>
      </c>
      <c r="Q8" t="s">
        <v>64</v>
      </c>
      <c r="R8" t="s">
        <v>65</v>
      </c>
      <c r="S8" s="2" t="s">
        <v>49</v>
      </c>
      <c r="T8">
        <v>3029</v>
      </c>
      <c r="U8">
        <v>1175</v>
      </c>
      <c r="V8">
        <v>2011</v>
      </c>
      <c r="W8">
        <v>4036</v>
      </c>
      <c r="X8" t="s">
        <v>66</v>
      </c>
      <c r="Y8">
        <v>0</v>
      </c>
      <c r="Z8">
        <v>0</v>
      </c>
      <c r="AA8">
        <v>75</v>
      </c>
      <c r="AB8">
        <v>75</v>
      </c>
      <c r="AC8" s="2" t="s">
        <v>49</v>
      </c>
      <c r="AD8">
        <v>884003</v>
      </c>
      <c r="AE8" t="s">
        <v>62</v>
      </c>
      <c r="AF8">
        <v>2010</v>
      </c>
      <c r="AG8">
        <v>4036</v>
      </c>
      <c r="AH8" t="s">
        <v>66</v>
      </c>
      <c r="AI8">
        <v>0</v>
      </c>
      <c r="AJ8">
        <v>0</v>
      </c>
      <c r="AK8">
        <v>75</v>
      </c>
      <c r="AL8">
        <v>75</v>
      </c>
      <c r="AM8" s="2" t="s">
        <v>49</v>
      </c>
      <c r="AN8">
        <v>134498</v>
      </c>
      <c r="AO8" t="s">
        <v>50</v>
      </c>
      <c r="AP8">
        <v>2010</v>
      </c>
      <c r="AQ8">
        <v>4036</v>
      </c>
      <c r="AR8" t="s">
        <v>66</v>
      </c>
      <c r="AS8">
        <v>0</v>
      </c>
      <c r="AT8">
        <v>0</v>
      </c>
      <c r="AU8">
        <v>66</v>
      </c>
      <c r="AV8">
        <v>66</v>
      </c>
      <c r="AW8" s="2" t="s">
        <v>49</v>
      </c>
      <c r="AX8">
        <v>696276</v>
      </c>
      <c r="AY8" t="s">
        <v>62</v>
      </c>
      <c r="AZ8">
        <v>2008</v>
      </c>
      <c r="BA8">
        <v>4036</v>
      </c>
      <c r="BB8" t="s">
        <v>66</v>
      </c>
      <c r="BC8">
        <v>0</v>
      </c>
      <c r="BD8">
        <v>0</v>
      </c>
      <c r="BE8">
        <v>75</v>
      </c>
      <c r="BF8">
        <v>75</v>
      </c>
      <c r="BG8" s="2" t="s">
        <v>49</v>
      </c>
      <c r="BH8">
        <v>15682</v>
      </c>
      <c r="BI8">
        <v>1291</v>
      </c>
      <c r="BJ8">
        <v>2013</v>
      </c>
      <c r="BM8" s="2" t="s">
        <v>49</v>
      </c>
      <c r="BN8">
        <v>52443</v>
      </c>
      <c r="BO8">
        <v>1291</v>
      </c>
      <c r="BP8">
        <v>2013</v>
      </c>
      <c r="BS8" s="2" t="s">
        <v>49</v>
      </c>
      <c r="BT8">
        <v>42733</v>
      </c>
      <c r="BU8">
        <v>1291</v>
      </c>
      <c r="BV8">
        <v>2013</v>
      </c>
      <c r="BY8" s="2" t="s">
        <v>49</v>
      </c>
      <c r="BZ8">
        <v>45183</v>
      </c>
      <c r="CA8">
        <v>1291</v>
      </c>
      <c r="CB8">
        <v>2013</v>
      </c>
      <c r="CE8" s="2" t="s">
        <v>49</v>
      </c>
      <c r="CF8">
        <v>42604</v>
      </c>
      <c r="CG8">
        <v>1291</v>
      </c>
      <c r="CH8">
        <v>2013</v>
      </c>
      <c r="CK8" s="2" t="s">
        <v>49</v>
      </c>
      <c r="CL8">
        <v>46047</v>
      </c>
      <c r="CM8">
        <v>1291</v>
      </c>
      <c r="CN8">
        <v>2013</v>
      </c>
    </row>
    <row r="9" spans="1:94" x14ac:dyDescent="0.25">
      <c r="A9">
        <v>77222149</v>
      </c>
      <c r="B9" s="3" t="s">
        <v>37</v>
      </c>
      <c r="C9" t="s">
        <v>53</v>
      </c>
      <c r="D9" t="s">
        <v>69</v>
      </c>
      <c r="E9">
        <v>2014</v>
      </c>
      <c r="F9" t="s">
        <v>70</v>
      </c>
      <c r="G9" t="s">
        <v>71</v>
      </c>
      <c r="H9" t="s">
        <v>68</v>
      </c>
      <c r="I9" t="s">
        <v>72</v>
      </c>
      <c r="J9" t="s">
        <v>42</v>
      </c>
      <c r="K9" t="s">
        <v>45</v>
      </c>
      <c r="L9" t="s">
        <v>73</v>
      </c>
      <c r="M9" t="s">
        <v>47</v>
      </c>
      <c r="N9">
        <v>160000</v>
      </c>
      <c r="O9">
        <v>45837</v>
      </c>
      <c r="P9">
        <v>114163</v>
      </c>
      <c r="Q9" t="s">
        <v>74</v>
      </c>
      <c r="R9" t="s">
        <v>72</v>
      </c>
      <c r="S9" s="2" t="s">
        <v>49</v>
      </c>
      <c r="T9">
        <v>444025</v>
      </c>
      <c r="U9" t="s">
        <v>62</v>
      </c>
      <c r="V9">
        <v>2013</v>
      </c>
      <c r="W9">
        <v>301</v>
      </c>
      <c r="X9" t="s">
        <v>75</v>
      </c>
      <c r="Y9">
        <v>33</v>
      </c>
      <c r="Z9">
        <v>33</v>
      </c>
      <c r="AA9">
        <v>75</v>
      </c>
      <c r="AB9">
        <v>75</v>
      </c>
      <c r="AC9" s="2" t="s">
        <v>49</v>
      </c>
      <c r="AD9">
        <v>458607</v>
      </c>
      <c r="AE9" t="s">
        <v>62</v>
      </c>
      <c r="AF9">
        <v>2013</v>
      </c>
      <c r="AG9">
        <v>301</v>
      </c>
      <c r="AH9" t="s">
        <v>75</v>
      </c>
      <c r="AI9">
        <v>33</v>
      </c>
      <c r="AJ9">
        <v>33</v>
      </c>
      <c r="AK9">
        <v>75</v>
      </c>
      <c r="AL9">
        <v>75</v>
      </c>
      <c r="AM9" s="2" t="s">
        <v>49</v>
      </c>
      <c r="AN9">
        <v>523344</v>
      </c>
      <c r="AO9" t="s">
        <v>62</v>
      </c>
      <c r="AP9">
        <v>2014</v>
      </c>
      <c r="AQ9">
        <v>301</v>
      </c>
      <c r="AR9" t="s">
        <v>75</v>
      </c>
      <c r="AS9">
        <v>33</v>
      </c>
      <c r="AT9">
        <v>33</v>
      </c>
      <c r="AU9">
        <v>75</v>
      </c>
      <c r="AV9">
        <v>75</v>
      </c>
      <c r="AW9" s="2" t="s">
        <v>49</v>
      </c>
      <c r="AX9">
        <v>523382</v>
      </c>
      <c r="AY9" t="s">
        <v>62</v>
      </c>
      <c r="AZ9">
        <v>2014</v>
      </c>
      <c r="BA9">
        <v>301</v>
      </c>
      <c r="BB9" t="s">
        <v>75</v>
      </c>
      <c r="BC9">
        <v>33</v>
      </c>
      <c r="BD9">
        <v>33</v>
      </c>
      <c r="BE9">
        <v>75</v>
      </c>
      <c r="BF9">
        <v>75</v>
      </c>
      <c r="BG9" s="2" t="s">
        <v>49</v>
      </c>
      <c r="BH9">
        <v>50753</v>
      </c>
      <c r="BI9">
        <v>1291</v>
      </c>
      <c r="BJ9">
        <v>2014</v>
      </c>
      <c r="BM9" s="2" t="s">
        <v>49</v>
      </c>
      <c r="BN9">
        <v>50876</v>
      </c>
      <c r="BO9">
        <v>1291</v>
      </c>
      <c r="BP9">
        <v>2014</v>
      </c>
      <c r="BS9" s="2" t="s">
        <v>49</v>
      </c>
      <c r="BT9">
        <v>3954</v>
      </c>
      <c r="BU9">
        <v>1291</v>
      </c>
      <c r="BV9">
        <v>2014</v>
      </c>
      <c r="BY9" s="2" t="s">
        <v>49</v>
      </c>
      <c r="BZ9">
        <v>3946</v>
      </c>
      <c r="CA9">
        <v>1291</v>
      </c>
      <c r="CB9">
        <v>2014</v>
      </c>
      <c r="CE9" s="2" t="s">
        <v>49</v>
      </c>
      <c r="CF9">
        <v>4551</v>
      </c>
      <c r="CG9">
        <v>1291</v>
      </c>
      <c r="CH9">
        <v>2014</v>
      </c>
      <c r="CK9" s="2" t="s">
        <v>49</v>
      </c>
      <c r="CL9">
        <v>3969</v>
      </c>
      <c r="CM9">
        <v>1291</v>
      </c>
      <c r="CN9">
        <v>2014</v>
      </c>
    </row>
    <row r="10" spans="1:94" x14ac:dyDescent="0.25">
      <c r="A10">
        <v>77222214</v>
      </c>
      <c r="B10" s="3" t="s">
        <v>37</v>
      </c>
      <c r="C10" t="s">
        <v>53</v>
      </c>
      <c r="D10" t="s">
        <v>69</v>
      </c>
      <c r="E10">
        <v>2014</v>
      </c>
      <c r="F10" t="s">
        <v>70</v>
      </c>
      <c r="G10" t="s">
        <v>76</v>
      </c>
      <c r="H10" t="s">
        <v>42</v>
      </c>
      <c r="I10" t="s">
        <v>77</v>
      </c>
      <c r="J10" t="s">
        <v>42</v>
      </c>
      <c r="K10" t="s">
        <v>45</v>
      </c>
      <c r="L10" t="s">
        <v>78</v>
      </c>
      <c r="M10" t="s">
        <v>47</v>
      </c>
      <c r="N10">
        <v>160000</v>
      </c>
      <c r="O10">
        <v>48240</v>
      </c>
      <c r="P10">
        <v>111760</v>
      </c>
      <c r="Q10" t="s">
        <v>79</v>
      </c>
      <c r="R10" t="s">
        <v>80</v>
      </c>
      <c r="S10" s="2" t="s">
        <v>49</v>
      </c>
      <c r="T10">
        <v>516474</v>
      </c>
      <c r="U10" t="s">
        <v>62</v>
      </c>
      <c r="V10">
        <v>2013</v>
      </c>
      <c r="W10">
        <v>4046</v>
      </c>
      <c r="X10" t="s">
        <v>51</v>
      </c>
      <c r="Y10">
        <v>0</v>
      </c>
      <c r="Z10">
        <v>0</v>
      </c>
      <c r="AA10">
        <v>75</v>
      </c>
      <c r="AB10">
        <v>75</v>
      </c>
      <c r="AC10" s="2" t="s">
        <v>49</v>
      </c>
      <c r="AD10">
        <v>516476</v>
      </c>
      <c r="AE10" t="s">
        <v>62</v>
      </c>
      <c r="AF10">
        <v>2013</v>
      </c>
      <c r="AG10">
        <v>4046</v>
      </c>
      <c r="AH10" t="s">
        <v>51</v>
      </c>
      <c r="AI10">
        <v>0</v>
      </c>
      <c r="AJ10">
        <v>0</v>
      </c>
      <c r="AK10">
        <v>75</v>
      </c>
      <c r="AL10">
        <v>75</v>
      </c>
      <c r="AM10" s="2" t="s">
        <v>49</v>
      </c>
      <c r="AN10">
        <v>523018</v>
      </c>
      <c r="AO10" t="s">
        <v>62</v>
      </c>
      <c r="AP10">
        <v>2014</v>
      </c>
      <c r="AQ10">
        <v>4046</v>
      </c>
      <c r="AR10" t="s">
        <v>51</v>
      </c>
      <c r="AS10">
        <v>0</v>
      </c>
      <c r="AT10">
        <v>0</v>
      </c>
      <c r="AU10">
        <v>75</v>
      </c>
      <c r="AV10">
        <v>75</v>
      </c>
      <c r="AW10" s="2" t="s">
        <v>49</v>
      </c>
      <c r="AX10">
        <v>522934</v>
      </c>
      <c r="AY10" t="s">
        <v>62</v>
      </c>
      <c r="AZ10">
        <v>2014</v>
      </c>
      <c r="BA10">
        <v>4046</v>
      </c>
      <c r="BB10" t="s">
        <v>51</v>
      </c>
      <c r="BC10">
        <v>0</v>
      </c>
      <c r="BD10">
        <v>0</v>
      </c>
      <c r="BE10">
        <v>75</v>
      </c>
      <c r="BF10">
        <v>75</v>
      </c>
      <c r="BG10" s="2" t="s">
        <v>49</v>
      </c>
      <c r="BH10">
        <v>51520</v>
      </c>
      <c r="BI10">
        <v>1291</v>
      </c>
      <c r="BJ10">
        <v>2014</v>
      </c>
      <c r="BM10" s="2" t="s">
        <v>49</v>
      </c>
      <c r="BN10">
        <v>51484</v>
      </c>
      <c r="BO10">
        <v>1291</v>
      </c>
      <c r="BP10">
        <v>2014</v>
      </c>
      <c r="BS10" s="2" t="s">
        <v>49</v>
      </c>
      <c r="BT10">
        <v>3898</v>
      </c>
      <c r="BU10">
        <v>1291</v>
      </c>
      <c r="BV10">
        <v>2014</v>
      </c>
      <c r="BY10" s="2" t="s">
        <v>49</v>
      </c>
      <c r="BZ10">
        <v>3949</v>
      </c>
      <c r="CA10">
        <v>1291</v>
      </c>
      <c r="CB10">
        <v>2014</v>
      </c>
      <c r="CE10" s="2" t="s">
        <v>49</v>
      </c>
      <c r="CF10">
        <v>403</v>
      </c>
      <c r="CG10">
        <v>1291</v>
      </c>
      <c r="CH10">
        <v>2014</v>
      </c>
      <c r="CK10" s="2" t="s">
        <v>49</v>
      </c>
      <c r="CL10">
        <v>2470</v>
      </c>
      <c r="CM10">
        <v>1291</v>
      </c>
      <c r="CN10">
        <v>2014</v>
      </c>
    </row>
    <row r="11" spans="1:94" x14ac:dyDescent="0.25">
      <c r="A11">
        <v>77206076</v>
      </c>
      <c r="B11" s="3" t="s">
        <v>37</v>
      </c>
      <c r="C11" t="s">
        <v>53</v>
      </c>
      <c r="D11" t="s">
        <v>54</v>
      </c>
      <c r="E11">
        <v>2013</v>
      </c>
      <c r="F11" t="s">
        <v>55</v>
      </c>
      <c r="G11" t="s">
        <v>81</v>
      </c>
      <c r="H11" t="s">
        <v>44</v>
      </c>
      <c r="I11" t="s">
        <v>82</v>
      </c>
      <c r="J11" t="s">
        <v>68</v>
      </c>
      <c r="K11" t="s">
        <v>45</v>
      </c>
      <c r="L11" t="s">
        <v>83</v>
      </c>
      <c r="M11" t="s">
        <v>47</v>
      </c>
      <c r="N11">
        <v>160000</v>
      </c>
      <c r="O11">
        <v>15959</v>
      </c>
      <c r="P11">
        <v>144041</v>
      </c>
      <c r="Q11" t="s">
        <v>84</v>
      </c>
      <c r="R11" t="s">
        <v>81</v>
      </c>
      <c r="S11" s="2" t="s">
        <v>49</v>
      </c>
      <c r="T11">
        <v>17411</v>
      </c>
      <c r="U11" t="s">
        <v>85</v>
      </c>
      <c r="V11">
        <v>2005</v>
      </c>
      <c r="W11">
        <v>745</v>
      </c>
      <c r="X11" t="s">
        <v>61</v>
      </c>
      <c r="Y11">
        <v>0</v>
      </c>
      <c r="Z11">
        <v>0</v>
      </c>
      <c r="AA11">
        <v>75</v>
      </c>
      <c r="AB11">
        <v>75</v>
      </c>
      <c r="AC11" s="2" t="s">
        <v>49</v>
      </c>
      <c r="AD11">
        <v>61059</v>
      </c>
      <c r="AE11">
        <v>1175</v>
      </c>
      <c r="AF11">
        <v>2013</v>
      </c>
      <c r="AG11">
        <v>745</v>
      </c>
      <c r="AH11" t="s">
        <v>61</v>
      </c>
      <c r="AI11">
        <v>0</v>
      </c>
      <c r="AJ11">
        <v>0</v>
      </c>
      <c r="AK11">
        <v>72</v>
      </c>
      <c r="AL11">
        <v>72</v>
      </c>
      <c r="AM11" s="2" t="s">
        <v>49</v>
      </c>
      <c r="AN11">
        <v>27784</v>
      </c>
      <c r="AO11">
        <v>1175</v>
      </c>
      <c r="AP11">
        <v>2007</v>
      </c>
      <c r="AQ11">
        <v>745</v>
      </c>
      <c r="AR11" t="s">
        <v>61</v>
      </c>
      <c r="AS11">
        <v>0</v>
      </c>
      <c r="AT11">
        <v>0</v>
      </c>
      <c r="AU11">
        <v>71</v>
      </c>
      <c r="AV11">
        <v>71</v>
      </c>
      <c r="AW11" s="2" t="s">
        <v>49</v>
      </c>
      <c r="AX11">
        <v>61686</v>
      </c>
      <c r="AY11" t="s">
        <v>85</v>
      </c>
      <c r="AZ11">
        <v>2010</v>
      </c>
      <c r="BA11">
        <v>745</v>
      </c>
      <c r="BB11" t="s">
        <v>61</v>
      </c>
      <c r="BC11">
        <v>0</v>
      </c>
      <c r="BD11">
        <v>0</v>
      </c>
      <c r="BE11">
        <v>70</v>
      </c>
      <c r="BF11">
        <v>70</v>
      </c>
      <c r="BG11" s="2" t="s">
        <v>49</v>
      </c>
      <c r="BH11">
        <v>14096</v>
      </c>
      <c r="BI11">
        <v>1291</v>
      </c>
      <c r="BJ11">
        <v>2013</v>
      </c>
      <c r="BM11" s="2" t="s">
        <v>49</v>
      </c>
      <c r="BN11">
        <v>13922</v>
      </c>
      <c r="BO11">
        <v>1291</v>
      </c>
      <c r="BP11">
        <v>2013</v>
      </c>
      <c r="BS11" s="2" t="s">
        <v>49</v>
      </c>
      <c r="BT11">
        <v>41746</v>
      </c>
      <c r="BU11">
        <v>1291</v>
      </c>
      <c r="BV11">
        <v>2013</v>
      </c>
      <c r="BY11" s="2" t="s">
        <v>49</v>
      </c>
      <c r="BZ11">
        <v>41214</v>
      </c>
      <c r="CA11">
        <v>1291</v>
      </c>
      <c r="CB11">
        <v>2013</v>
      </c>
      <c r="CE11" s="2" t="s">
        <v>49</v>
      </c>
      <c r="CF11">
        <v>42087</v>
      </c>
      <c r="CG11">
        <v>1291</v>
      </c>
      <c r="CH11">
        <v>2013</v>
      </c>
      <c r="CK11" s="2" t="s">
        <v>49</v>
      </c>
      <c r="CL11">
        <v>41710</v>
      </c>
      <c r="CM11">
        <v>1291</v>
      </c>
      <c r="CN11">
        <v>2013</v>
      </c>
    </row>
    <row r="12" spans="1:94" x14ac:dyDescent="0.25">
      <c r="A12">
        <v>77228781</v>
      </c>
      <c r="B12" s="3" t="s">
        <v>37</v>
      </c>
      <c r="C12" t="s">
        <v>38</v>
      </c>
      <c r="D12" t="s">
        <v>86</v>
      </c>
      <c r="E12">
        <v>2015</v>
      </c>
      <c r="F12" t="s">
        <v>87</v>
      </c>
      <c r="G12" t="s">
        <v>88</v>
      </c>
      <c r="H12" t="s">
        <v>89</v>
      </c>
      <c r="K12" t="s">
        <v>90</v>
      </c>
      <c r="L12" t="s">
        <v>91</v>
      </c>
      <c r="M12" t="s">
        <v>47</v>
      </c>
      <c r="N12">
        <v>160000</v>
      </c>
      <c r="O12">
        <v>45251</v>
      </c>
      <c r="P12">
        <v>114749</v>
      </c>
      <c r="Q12" t="s">
        <v>92</v>
      </c>
      <c r="R12" t="s">
        <v>88</v>
      </c>
      <c r="S12" s="2" t="s">
        <v>49</v>
      </c>
      <c r="T12">
        <v>881967</v>
      </c>
      <c r="U12" t="s">
        <v>62</v>
      </c>
      <c r="V12">
        <v>2010</v>
      </c>
      <c r="W12">
        <v>2348</v>
      </c>
      <c r="X12" t="s">
        <v>93</v>
      </c>
      <c r="Y12">
        <v>30</v>
      </c>
      <c r="Z12">
        <v>30</v>
      </c>
      <c r="AA12">
        <v>60</v>
      </c>
      <c r="AB12">
        <v>60</v>
      </c>
      <c r="AC12" s="2" t="s">
        <v>49</v>
      </c>
      <c r="AD12">
        <v>133082</v>
      </c>
      <c r="AE12" t="s">
        <v>50</v>
      </c>
      <c r="AF12">
        <v>2014</v>
      </c>
      <c r="AG12">
        <v>2348</v>
      </c>
      <c r="AH12" t="s">
        <v>93</v>
      </c>
      <c r="AI12">
        <v>30</v>
      </c>
      <c r="AJ12">
        <v>30</v>
      </c>
      <c r="AK12">
        <v>60</v>
      </c>
      <c r="AL12">
        <v>60</v>
      </c>
      <c r="AM12" s="2" t="s">
        <v>49</v>
      </c>
      <c r="AN12">
        <v>132197</v>
      </c>
      <c r="AO12" t="s">
        <v>50</v>
      </c>
      <c r="AP12">
        <v>2014</v>
      </c>
      <c r="AQ12">
        <v>2348</v>
      </c>
      <c r="AR12" t="s">
        <v>93</v>
      </c>
      <c r="AS12">
        <v>30</v>
      </c>
      <c r="AT12">
        <v>30</v>
      </c>
      <c r="AU12">
        <v>58</v>
      </c>
      <c r="AV12">
        <v>58</v>
      </c>
      <c r="AW12" s="2" t="s">
        <v>49</v>
      </c>
      <c r="AX12">
        <v>389220</v>
      </c>
      <c r="AY12" t="s">
        <v>50</v>
      </c>
      <c r="AZ12">
        <v>2013</v>
      </c>
      <c r="BA12">
        <v>2348</v>
      </c>
      <c r="BB12" t="s">
        <v>93</v>
      </c>
      <c r="BC12">
        <v>30</v>
      </c>
      <c r="BD12">
        <v>30</v>
      </c>
      <c r="BE12">
        <v>59</v>
      </c>
      <c r="BF12">
        <v>58</v>
      </c>
      <c r="BG12" s="2" t="s">
        <v>49</v>
      </c>
      <c r="BH12">
        <v>34861</v>
      </c>
      <c r="BI12" t="s">
        <v>50</v>
      </c>
      <c r="BJ12">
        <v>2014</v>
      </c>
      <c r="BM12" s="2" t="s">
        <v>49</v>
      </c>
      <c r="BN12">
        <v>35626</v>
      </c>
      <c r="BO12" t="s">
        <v>50</v>
      </c>
      <c r="BP12">
        <v>2014</v>
      </c>
      <c r="BS12" s="2" t="s">
        <v>49</v>
      </c>
      <c r="BT12">
        <v>920</v>
      </c>
      <c r="BU12" t="s">
        <v>50</v>
      </c>
      <c r="BV12">
        <v>2015</v>
      </c>
      <c r="BY12" s="2" t="s">
        <v>49</v>
      </c>
      <c r="BZ12">
        <v>1398</v>
      </c>
      <c r="CA12" t="s">
        <v>50</v>
      </c>
      <c r="CB12">
        <v>2015</v>
      </c>
      <c r="CE12" s="2" t="s">
        <v>49</v>
      </c>
      <c r="CF12">
        <v>1466</v>
      </c>
      <c r="CG12" t="s">
        <v>50</v>
      </c>
      <c r="CH12">
        <v>2015</v>
      </c>
      <c r="CK12" s="2" t="s">
        <v>49</v>
      </c>
      <c r="CL12">
        <v>1898</v>
      </c>
      <c r="CM12" t="s">
        <v>50</v>
      </c>
      <c r="CN12">
        <v>2015</v>
      </c>
    </row>
    <row r="13" spans="1:94" x14ac:dyDescent="0.25">
      <c r="A13">
        <v>77221810</v>
      </c>
      <c r="B13" s="3" t="s">
        <v>37</v>
      </c>
      <c r="C13" t="s">
        <v>38</v>
      </c>
      <c r="D13" t="s">
        <v>94</v>
      </c>
      <c r="E13">
        <v>2011</v>
      </c>
      <c r="F13" t="s">
        <v>95</v>
      </c>
      <c r="G13" t="s">
        <v>96</v>
      </c>
      <c r="H13" t="s">
        <v>97</v>
      </c>
      <c r="I13" t="s">
        <v>98</v>
      </c>
      <c r="J13" t="s">
        <v>99</v>
      </c>
      <c r="K13" t="s">
        <v>45</v>
      </c>
      <c r="L13" t="s">
        <v>100</v>
      </c>
      <c r="M13" t="s">
        <v>47</v>
      </c>
      <c r="N13">
        <v>160000</v>
      </c>
      <c r="O13">
        <v>36954</v>
      </c>
      <c r="P13">
        <v>123046</v>
      </c>
      <c r="Q13" t="s">
        <v>101</v>
      </c>
      <c r="R13" t="s">
        <v>98</v>
      </c>
      <c r="S13" s="2" t="s">
        <v>49</v>
      </c>
      <c r="T13">
        <v>387818</v>
      </c>
      <c r="U13" t="s">
        <v>50</v>
      </c>
      <c r="V13">
        <v>2013</v>
      </c>
      <c r="W13">
        <v>600</v>
      </c>
      <c r="X13" t="s">
        <v>93</v>
      </c>
      <c r="Y13">
        <v>33</v>
      </c>
      <c r="Z13">
        <v>33</v>
      </c>
      <c r="AA13">
        <v>71</v>
      </c>
      <c r="AB13">
        <v>70</v>
      </c>
      <c r="AC13" s="2" t="s">
        <v>49</v>
      </c>
      <c r="AD13">
        <v>285936</v>
      </c>
      <c r="AE13" t="s">
        <v>50</v>
      </c>
      <c r="AF13">
        <v>2011</v>
      </c>
      <c r="AG13">
        <v>600</v>
      </c>
      <c r="AH13" t="s">
        <v>93</v>
      </c>
      <c r="AI13">
        <v>33</v>
      </c>
      <c r="AJ13">
        <v>33</v>
      </c>
      <c r="AK13">
        <v>74</v>
      </c>
      <c r="AL13">
        <v>74</v>
      </c>
      <c r="AM13" s="2" t="s">
        <v>49</v>
      </c>
      <c r="AN13">
        <v>144857</v>
      </c>
      <c r="AO13" t="s">
        <v>50</v>
      </c>
      <c r="AP13">
        <v>2014</v>
      </c>
      <c r="AQ13">
        <v>600</v>
      </c>
      <c r="AR13" t="s">
        <v>93</v>
      </c>
      <c r="AS13">
        <v>33</v>
      </c>
      <c r="AT13">
        <v>33</v>
      </c>
      <c r="AU13">
        <v>71</v>
      </c>
      <c r="AV13">
        <v>71</v>
      </c>
      <c r="AW13" s="2" t="s">
        <v>49</v>
      </c>
      <c r="AX13">
        <v>285133</v>
      </c>
      <c r="AY13" t="s">
        <v>50</v>
      </c>
      <c r="AZ13">
        <v>2011</v>
      </c>
      <c r="BA13">
        <v>600</v>
      </c>
      <c r="BB13" t="s">
        <v>93</v>
      </c>
      <c r="BC13">
        <v>33</v>
      </c>
      <c r="BD13">
        <v>33</v>
      </c>
      <c r="BE13">
        <v>73</v>
      </c>
      <c r="BF13">
        <v>73</v>
      </c>
      <c r="BG13" s="2" t="s">
        <v>49</v>
      </c>
      <c r="BH13">
        <v>38533</v>
      </c>
      <c r="BI13" t="s">
        <v>50</v>
      </c>
      <c r="BJ13">
        <v>2011</v>
      </c>
      <c r="BM13" s="2" t="s">
        <v>49</v>
      </c>
      <c r="BN13">
        <v>38400</v>
      </c>
      <c r="BO13" t="s">
        <v>50</v>
      </c>
      <c r="BP13">
        <v>2011</v>
      </c>
      <c r="BS13" s="2" t="s">
        <v>49</v>
      </c>
      <c r="BT13">
        <v>64559</v>
      </c>
      <c r="BU13" t="s">
        <v>50</v>
      </c>
      <c r="BV13">
        <v>2011</v>
      </c>
      <c r="BY13" s="2" t="s">
        <v>49</v>
      </c>
      <c r="BZ13">
        <v>67459</v>
      </c>
      <c r="CA13" t="s">
        <v>50</v>
      </c>
      <c r="CB13">
        <v>2011</v>
      </c>
      <c r="CE13" s="2" t="s">
        <v>49</v>
      </c>
      <c r="CF13">
        <v>67635</v>
      </c>
      <c r="CG13" t="s">
        <v>50</v>
      </c>
      <c r="CH13">
        <v>2011</v>
      </c>
      <c r="CK13" s="2" t="s">
        <v>49</v>
      </c>
      <c r="CL13">
        <v>66238</v>
      </c>
      <c r="CM13" t="s">
        <v>50</v>
      </c>
      <c r="CN13">
        <v>2011</v>
      </c>
    </row>
    <row r="14" spans="1:94" x14ac:dyDescent="0.25">
      <c r="A14">
        <v>77228724</v>
      </c>
      <c r="B14" s="3" t="s">
        <v>37</v>
      </c>
      <c r="C14" t="s">
        <v>38</v>
      </c>
      <c r="D14" t="s">
        <v>86</v>
      </c>
      <c r="E14">
        <v>2015</v>
      </c>
      <c r="F14" t="s">
        <v>87</v>
      </c>
      <c r="G14" t="s">
        <v>88</v>
      </c>
      <c r="H14" t="s">
        <v>89</v>
      </c>
      <c r="K14" t="s">
        <v>90</v>
      </c>
      <c r="L14" t="s">
        <v>91</v>
      </c>
      <c r="M14" t="s">
        <v>47</v>
      </c>
      <c r="N14">
        <v>160000</v>
      </c>
      <c r="O14">
        <v>36244</v>
      </c>
      <c r="P14">
        <v>123756</v>
      </c>
      <c r="Q14" t="s">
        <v>102</v>
      </c>
      <c r="R14" t="s">
        <v>88</v>
      </c>
      <c r="S14" s="2" t="s">
        <v>49</v>
      </c>
      <c r="T14">
        <v>300837</v>
      </c>
      <c r="U14" t="s">
        <v>50</v>
      </c>
      <c r="V14">
        <v>2015</v>
      </c>
      <c r="W14">
        <v>2348</v>
      </c>
      <c r="X14" t="s">
        <v>93</v>
      </c>
      <c r="Y14">
        <v>30</v>
      </c>
      <c r="Z14">
        <v>30</v>
      </c>
      <c r="AA14">
        <v>47</v>
      </c>
      <c r="AB14">
        <v>47</v>
      </c>
      <c r="AC14" s="2" t="s">
        <v>49</v>
      </c>
      <c r="AD14">
        <v>303165</v>
      </c>
      <c r="AE14" t="s">
        <v>50</v>
      </c>
      <c r="AF14">
        <v>2015</v>
      </c>
      <c r="AG14">
        <v>2348</v>
      </c>
      <c r="AH14" t="s">
        <v>93</v>
      </c>
      <c r="AI14">
        <v>30</v>
      </c>
      <c r="AJ14">
        <v>30</v>
      </c>
      <c r="AK14">
        <v>43</v>
      </c>
      <c r="AL14">
        <v>43</v>
      </c>
      <c r="AM14" s="2" t="s">
        <v>49</v>
      </c>
      <c r="AN14">
        <v>301420</v>
      </c>
      <c r="AO14" t="s">
        <v>50</v>
      </c>
      <c r="AP14">
        <v>2015</v>
      </c>
      <c r="AQ14">
        <v>2348</v>
      </c>
      <c r="AR14" t="s">
        <v>93</v>
      </c>
      <c r="AS14">
        <v>30</v>
      </c>
      <c r="AT14">
        <v>30</v>
      </c>
      <c r="AU14">
        <v>41</v>
      </c>
      <c r="AV14">
        <v>41</v>
      </c>
      <c r="AW14" s="2" t="s">
        <v>49</v>
      </c>
      <c r="AX14">
        <v>207759</v>
      </c>
      <c r="AY14" t="s">
        <v>50</v>
      </c>
      <c r="AZ14">
        <v>2014</v>
      </c>
      <c r="BA14">
        <v>2348</v>
      </c>
      <c r="BB14" t="s">
        <v>93</v>
      </c>
      <c r="BC14">
        <v>30</v>
      </c>
      <c r="BD14">
        <v>30</v>
      </c>
      <c r="BE14">
        <v>42</v>
      </c>
      <c r="BF14">
        <v>42</v>
      </c>
      <c r="BG14" s="2" t="s">
        <v>49</v>
      </c>
      <c r="BH14">
        <v>35428</v>
      </c>
      <c r="BI14" t="s">
        <v>50</v>
      </c>
      <c r="BJ14">
        <v>2014</v>
      </c>
      <c r="BM14" s="2" t="s">
        <v>49</v>
      </c>
      <c r="BN14">
        <v>35655</v>
      </c>
      <c r="BO14" t="s">
        <v>50</v>
      </c>
      <c r="BP14">
        <v>2014</v>
      </c>
      <c r="BS14" s="2" t="s">
        <v>49</v>
      </c>
      <c r="BT14">
        <v>2572</v>
      </c>
      <c r="BU14" t="s">
        <v>50</v>
      </c>
      <c r="BV14">
        <v>2015</v>
      </c>
      <c r="BY14" s="2" t="s">
        <v>49</v>
      </c>
      <c r="BZ14">
        <v>1213</v>
      </c>
      <c r="CA14" t="s">
        <v>50</v>
      </c>
      <c r="CB14">
        <v>2015</v>
      </c>
      <c r="CE14" s="2" t="s">
        <v>49</v>
      </c>
      <c r="CF14">
        <v>1582</v>
      </c>
      <c r="CG14" t="s">
        <v>50</v>
      </c>
      <c r="CH14">
        <v>2015</v>
      </c>
      <c r="CK14" s="2" t="s">
        <v>49</v>
      </c>
      <c r="CL14">
        <v>1625</v>
      </c>
      <c r="CM14" t="s">
        <v>50</v>
      </c>
      <c r="CN14">
        <v>2015</v>
      </c>
    </row>
    <row r="15" spans="1:94" x14ac:dyDescent="0.25">
      <c r="A15">
        <v>77222040</v>
      </c>
      <c r="B15" s="3" t="s">
        <v>37</v>
      </c>
      <c r="C15" t="s">
        <v>103</v>
      </c>
      <c r="D15" t="s">
        <v>104</v>
      </c>
      <c r="E15">
        <v>2011</v>
      </c>
      <c r="F15" t="s">
        <v>105</v>
      </c>
      <c r="G15" t="s">
        <v>106</v>
      </c>
      <c r="H15" t="s">
        <v>42</v>
      </c>
      <c r="I15" t="s">
        <v>107</v>
      </c>
      <c r="J15" t="s">
        <v>99</v>
      </c>
      <c r="K15" t="s">
        <v>45</v>
      </c>
      <c r="L15" t="s">
        <v>108</v>
      </c>
      <c r="M15" t="s">
        <v>47</v>
      </c>
      <c r="N15">
        <v>160000</v>
      </c>
      <c r="O15">
        <v>36020</v>
      </c>
      <c r="P15">
        <v>123980</v>
      </c>
      <c r="Q15" t="s">
        <v>109</v>
      </c>
      <c r="R15" t="s">
        <v>107</v>
      </c>
      <c r="S15" s="2" t="s">
        <v>49</v>
      </c>
      <c r="T15">
        <v>361758</v>
      </c>
      <c r="U15" t="s">
        <v>50</v>
      </c>
      <c r="V15">
        <v>2013</v>
      </c>
      <c r="W15">
        <v>600</v>
      </c>
      <c r="X15" t="s">
        <v>93</v>
      </c>
      <c r="Y15">
        <v>29</v>
      </c>
      <c r="Z15">
        <v>29</v>
      </c>
      <c r="AA15">
        <v>64</v>
      </c>
      <c r="AB15">
        <v>63</v>
      </c>
      <c r="AC15" s="2" t="s">
        <v>49</v>
      </c>
      <c r="AD15">
        <v>283089</v>
      </c>
      <c r="AE15" t="s">
        <v>50</v>
      </c>
      <c r="AF15">
        <v>2011</v>
      </c>
      <c r="AG15">
        <v>600</v>
      </c>
      <c r="AH15" t="s">
        <v>93</v>
      </c>
      <c r="AI15">
        <v>29</v>
      </c>
      <c r="AJ15">
        <v>29</v>
      </c>
      <c r="AK15">
        <v>66</v>
      </c>
      <c r="AL15">
        <v>67</v>
      </c>
      <c r="AM15" s="2" t="s">
        <v>49</v>
      </c>
      <c r="AN15">
        <v>361783</v>
      </c>
      <c r="AO15" t="s">
        <v>50</v>
      </c>
      <c r="AP15">
        <v>2013</v>
      </c>
      <c r="AQ15">
        <v>600</v>
      </c>
      <c r="AR15" t="s">
        <v>93</v>
      </c>
      <c r="AS15">
        <v>29</v>
      </c>
      <c r="AT15">
        <v>29</v>
      </c>
      <c r="AU15">
        <v>67</v>
      </c>
      <c r="AV15">
        <v>67</v>
      </c>
      <c r="AW15" s="2" t="s">
        <v>49</v>
      </c>
      <c r="AX15">
        <v>178288</v>
      </c>
      <c r="AY15" t="s">
        <v>50</v>
      </c>
      <c r="AZ15">
        <v>2014</v>
      </c>
      <c r="BA15">
        <v>600</v>
      </c>
      <c r="BB15" t="s">
        <v>93</v>
      </c>
      <c r="BC15">
        <v>29</v>
      </c>
      <c r="BD15">
        <v>29</v>
      </c>
      <c r="BE15">
        <v>68</v>
      </c>
      <c r="BF15">
        <v>68</v>
      </c>
      <c r="BG15" s="2" t="s">
        <v>49</v>
      </c>
      <c r="BH15">
        <v>37526</v>
      </c>
      <c r="BI15" t="s">
        <v>50</v>
      </c>
      <c r="BJ15">
        <v>2011</v>
      </c>
      <c r="BM15" s="2" t="s">
        <v>49</v>
      </c>
      <c r="BN15">
        <v>36840</v>
      </c>
      <c r="BO15" t="s">
        <v>50</v>
      </c>
      <c r="BP15">
        <v>2011</v>
      </c>
      <c r="BS15" s="2" t="s">
        <v>49</v>
      </c>
      <c r="BT15">
        <v>65174</v>
      </c>
      <c r="BU15" t="s">
        <v>50</v>
      </c>
      <c r="BV15">
        <v>2011</v>
      </c>
      <c r="BY15" s="2" t="s">
        <v>49</v>
      </c>
      <c r="BZ15">
        <v>64960</v>
      </c>
      <c r="CA15" t="s">
        <v>50</v>
      </c>
      <c r="CB15">
        <v>2011</v>
      </c>
      <c r="CE15" s="2" t="s">
        <v>49</v>
      </c>
      <c r="CF15">
        <v>66375</v>
      </c>
      <c r="CG15" t="s">
        <v>50</v>
      </c>
      <c r="CH15">
        <v>2011</v>
      </c>
      <c r="CK15" s="2" t="s">
        <v>49</v>
      </c>
      <c r="CL15">
        <v>66315</v>
      </c>
      <c r="CM15" t="s">
        <v>50</v>
      </c>
      <c r="CN15">
        <v>2011</v>
      </c>
    </row>
    <row r="16" spans="1:94" x14ac:dyDescent="0.25">
      <c r="A16">
        <v>77227080</v>
      </c>
      <c r="B16" s="3" t="s">
        <v>37</v>
      </c>
      <c r="C16" t="s">
        <v>38</v>
      </c>
      <c r="D16" t="s">
        <v>110</v>
      </c>
      <c r="E16">
        <v>2012</v>
      </c>
      <c r="F16" t="s">
        <v>111</v>
      </c>
      <c r="G16" t="s">
        <v>112</v>
      </c>
      <c r="H16" t="s">
        <v>58</v>
      </c>
      <c r="I16" t="s">
        <v>113</v>
      </c>
      <c r="J16" t="s">
        <v>99</v>
      </c>
      <c r="K16" t="s">
        <v>45</v>
      </c>
      <c r="L16" t="s">
        <v>114</v>
      </c>
      <c r="M16" t="s">
        <v>47</v>
      </c>
      <c r="N16">
        <v>160000</v>
      </c>
      <c r="O16">
        <v>42876</v>
      </c>
      <c r="P16">
        <v>117124</v>
      </c>
      <c r="Q16" t="s">
        <v>115</v>
      </c>
      <c r="R16" t="s">
        <v>113</v>
      </c>
      <c r="S16" s="2" t="s">
        <v>49</v>
      </c>
      <c r="T16">
        <v>122882</v>
      </c>
      <c r="U16" t="s">
        <v>50</v>
      </c>
      <c r="V16">
        <v>2012</v>
      </c>
      <c r="W16">
        <v>600</v>
      </c>
      <c r="X16" t="s">
        <v>116</v>
      </c>
      <c r="Y16">
        <v>29</v>
      </c>
      <c r="Z16">
        <v>29</v>
      </c>
      <c r="AA16">
        <v>71</v>
      </c>
      <c r="AB16">
        <v>71</v>
      </c>
      <c r="AC16" s="2" t="s">
        <v>49</v>
      </c>
      <c r="AD16">
        <v>123143</v>
      </c>
      <c r="AE16" t="s">
        <v>50</v>
      </c>
      <c r="AF16">
        <v>2012</v>
      </c>
      <c r="AG16">
        <v>600</v>
      </c>
      <c r="AH16" t="s">
        <v>116</v>
      </c>
      <c r="AI16">
        <v>29</v>
      </c>
      <c r="AJ16">
        <v>29</v>
      </c>
      <c r="AK16">
        <v>71</v>
      </c>
      <c r="AL16">
        <v>71</v>
      </c>
      <c r="AM16" s="2" t="s">
        <v>49</v>
      </c>
      <c r="AN16">
        <v>305740</v>
      </c>
      <c r="AO16" t="s">
        <v>50</v>
      </c>
      <c r="AP16">
        <v>2011</v>
      </c>
      <c r="AQ16">
        <v>600</v>
      </c>
      <c r="AR16" t="s">
        <v>116</v>
      </c>
      <c r="AS16">
        <v>29</v>
      </c>
      <c r="AT16">
        <v>29</v>
      </c>
      <c r="AU16">
        <v>72</v>
      </c>
      <c r="AV16">
        <v>71</v>
      </c>
      <c r="AW16" s="2" t="s">
        <v>49</v>
      </c>
      <c r="AX16">
        <v>315082</v>
      </c>
      <c r="AY16" t="s">
        <v>50</v>
      </c>
      <c r="AZ16">
        <v>2011</v>
      </c>
      <c r="BA16">
        <v>600</v>
      </c>
      <c r="BB16" t="s">
        <v>116</v>
      </c>
      <c r="BC16">
        <v>29</v>
      </c>
      <c r="BD16">
        <v>29</v>
      </c>
      <c r="BE16">
        <v>72</v>
      </c>
      <c r="BF16">
        <v>73</v>
      </c>
      <c r="BG16" s="2" t="s">
        <v>49</v>
      </c>
      <c r="BH16">
        <v>49779</v>
      </c>
      <c r="BI16" t="s">
        <v>50</v>
      </c>
      <c r="BJ16">
        <v>2011</v>
      </c>
      <c r="BM16" s="2" t="s">
        <v>49</v>
      </c>
      <c r="BN16">
        <v>3063</v>
      </c>
      <c r="BO16" t="s">
        <v>50</v>
      </c>
      <c r="BP16">
        <v>2012</v>
      </c>
      <c r="BS16" s="2" t="s">
        <v>49</v>
      </c>
      <c r="BT16">
        <v>88660</v>
      </c>
      <c r="BU16" t="s">
        <v>50</v>
      </c>
      <c r="BV16">
        <v>2011</v>
      </c>
      <c r="BY16" s="2" t="s">
        <v>49</v>
      </c>
      <c r="BZ16">
        <v>86578</v>
      </c>
      <c r="CA16" t="s">
        <v>50</v>
      </c>
      <c r="CB16">
        <v>2011</v>
      </c>
      <c r="CE16" s="2" t="s">
        <v>49</v>
      </c>
      <c r="CF16">
        <v>95277</v>
      </c>
      <c r="CG16" t="s">
        <v>50</v>
      </c>
      <c r="CH16">
        <v>2012</v>
      </c>
      <c r="CK16" s="2" t="s">
        <v>49</v>
      </c>
      <c r="CL16">
        <v>5895</v>
      </c>
      <c r="CM16" t="s">
        <v>50</v>
      </c>
      <c r="CN16">
        <v>2012</v>
      </c>
    </row>
    <row r="17" spans="1:92" x14ac:dyDescent="0.25">
      <c r="A17">
        <v>77228773</v>
      </c>
      <c r="B17" s="3" t="s">
        <v>37</v>
      </c>
      <c r="C17" t="s">
        <v>38</v>
      </c>
      <c r="D17" t="s">
        <v>86</v>
      </c>
      <c r="E17">
        <v>2015</v>
      </c>
      <c r="F17" t="s">
        <v>87</v>
      </c>
      <c r="G17" t="s">
        <v>117</v>
      </c>
      <c r="H17" t="s">
        <v>89</v>
      </c>
      <c r="K17" t="s">
        <v>90</v>
      </c>
      <c r="L17" t="s">
        <v>118</v>
      </c>
      <c r="M17" t="s">
        <v>47</v>
      </c>
      <c r="N17">
        <v>160000</v>
      </c>
      <c r="O17">
        <v>39135</v>
      </c>
      <c r="P17">
        <v>120865</v>
      </c>
      <c r="Q17" t="s">
        <v>119</v>
      </c>
      <c r="R17" t="s">
        <v>117</v>
      </c>
      <c r="S17" s="2" t="s">
        <v>49</v>
      </c>
      <c r="T17">
        <v>975384</v>
      </c>
      <c r="U17" t="s">
        <v>62</v>
      </c>
      <c r="V17">
        <v>2011</v>
      </c>
      <c r="W17">
        <v>2348</v>
      </c>
      <c r="X17" t="s">
        <v>93</v>
      </c>
      <c r="Y17">
        <v>30</v>
      </c>
      <c r="Z17">
        <v>30</v>
      </c>
      <c r="AA17">
        <v>53</v>
      </c>
      <c r="AB17">
        <v>51</v>
      </c>
      <c r="AC17" s="2" t="s">
        <v>49</v>
      </c>
      <c r="AD17">
        <v>26652</v>
      </c>
      <c r="AE17" t="s">
        <v>85</v>
      </c>
      <c r="AF17">
        <v>2006</v>
      </c>
      <c r="AG17">
        <v>2348</v>
      </c>
      <c r="AH17" t="s">
        <v>93</v>
      </c>
      <c r="AI17">
        <v>30</v>
      </c>
      <c r="AJ17">
        <v>30</v>
      </c>
      <c r="AK17">
        <v>56</v>
      </c>
      <c r="AL17">
        <v>55</v>
      </c>
      <c r="AM17" s="2" t="s">
        <v>49</v>
      </c>
      <c r="AN17">
        <v>861974</v>
      </c>
      <c r="AO17" t="s">
        <v>62</v>
      </c>
      <c r="AP17">
        <v>1990</v>
      </c>
      <c r="AQ17">
        <v>2348</v>
      </c>
      <c r="AR17" t="s">
        <v>93</v>
      </c>
      <c r="AS17">
        <v>30</v>
      </c>
      <c r="AT17">
        <v>30</v>
      </c>
      <c r="AU17">
        <v>58</v>
      </c>
      <c r="AV17">
        <v>58</v>
      </c>
      <c r="AW17" s="2" t="s">
        <v>49</v>
      </c>
      <c r="AX17">
        <v>108425</v>
      </c>
      <c r="AY17" t="s">
        <v>50</v>
      </c>
      <c r="AZ17">
        <v>2006</v>
      </c>
      <c r="BA17">
        <v>2348</v>
      </c>
      <c r="BB17" t="s">
        <v>93</v>
      </c>
      <c r="BC17">
        <v>30</v>
      </c>
      <c r="BD17">
        <v>30</v>
      </c>
      <c r="BE17">
        <v>58</v>
      </c>
      <c r="BF17">
        <v>57</v>
      </c>
      <c r="BG17" s="2" t="s">
        <v>49</v>
      </c>
      <c r="BH17">
        <v>35195</v>
      </c>
      <c r="BI17" t="s">
        <v>50</v>
      </c>
      <c r="BJ17">
        <v>2014</v>
      </c>
      <c r="BM17" s="2" t="s">
        <v>49</v>
      </c>
      <c r="BN17">
        <v>34646</v>
      </c>
      <c r="BO17" t="s">
        <v>50</v>
      </c>
      <c r="BP17">
        <v>2014</v>
      </c>
      <c r="BS17" s="2" t="s">
        <v>49</v>
      </c>
      <c r="BT17">
        <v>69675</v>
      </c>
      <c r="BU17" t="s">
        <v>50</v>
      </c>
      <c r="BV17">
        <v>2014</v>
      </c>
      <c r="BY17" s="2" t="s">
        <v>49</v>
      </c>
      <c r="BZ17">
        <v>69237</v>
      </c>
      <c r="CA17" t="s">
        <v>50</v>
      </c>
      <c r="CB17">
        <v>2014</v>
      </c>
      <c r="CE17" s="2" t="s">
        <v>49</v>
      </c>
      <c r="CF17">
        <v>69365</v>
      </c>
      <c r="CG17" t="s">
        <v>50</v>
      </c>
      <c r="CH17">
        <v>2014</v>
      </c>
      <c r="CK17" s="2" t="s">
        <v>49</v>
      </c>
      <c r="CL17">
        <v>69725</v>
      </c>
      <c r="CM17" t="s">
        <v>50</v>
      </c>
      <c r="CN17">
        <v>2014</v>
      </c>
    </row>
    <row r="18" spans="1:92" x14ac:dyDescent="0.25">
      <c r="A18">
        <v>77221950</v>
      </c>
      <c r="B18" s="3" t="s">
        <v>37</v>
      </c>
      <c r="C18" t="s">
        <v>103</v>
      </c>
      <c r="D18" t="s">
        <v>120</v>
      </c>
      <c r="E18">
        <v>2012</v>
      </c>
      <c r="F18" t="s">
        <v>121</v>
      </c>
      <c r="G18" t="s">
        <v>122</v>
      </c>
      <c r="H18" t="s">
        <v>42</v>
      </c>
      <c r="I18" t="s">
        <v>98</v>
      </c>
      <c r="J18" t="s">
        <v>99</v>
      </c>
      <c r="K18" t="s">
        <v>45</v>
      </c>
      <c r="L18" t="s">
        <v>100</v>
      </c>
      <c r="M18" t="s">
        <v>47</v>
      </c>
      <c r="N18">
        <v>160000</v>
      </c>
      <c r="O18">
        <v>34259</v>
      </c>
      <c r="P18">
        <v>125741</v>
      </c>
      <c r="Q18" t="s">
        <v>123</v>
      </c>
      <c r="R18" t="s">
        <v>98</v>
      </c>
      <c r="S18" s="2" t="s">
        <v>49</v>
      </c>
      <c r="T18">
        <v>170868</v>
      </c>
      <c r="U18" t="s">
        <v>50</v>
      </c>
      <c r="V18">
        <v>2007</v>
      </c>
      <c r="W18">
        <v>600</v>
      </c>
      <c r="X18" t="s">
        <v>93</v>
      </c>
      <c r="Y18">
        <v>33</v>
      </c>
      <c r="Z18">
        <v>33</v>
      </c>
      <c r="AA18">
        <v>73</v>
      </c>
      <c r="AB18">
        <v>73</v>
      </c>
      <c r="AC18" s="2" t="s">
        <v>49</v>
      </c>
      <c r="AD18">
        <v>151700</v>
      </c>
      <c r="AE18" t="s">
        <v>62</v>
      </c>
      <c r="AF18">
        <v>1992</v>
      </c>
      <c r="AG18">
        <v>600</v>
      </c>
      <c r="AH18" t="s">
        <v>93</v>
      </c>
      <c r="AI18">
        <v>33</v>
      </c>
      <c r="AJ18">
        <v>33</v>
      </c>
      <c r="AK18">
        <v>74</v>
      </c>
      <c r="AL18">
        <v>74</v>
      </c>
      <c r="AM18" s="2" t="s">
        <v>49</v>
      </c>
      <c r="AN18">
        <v>122486</v>
      </c>
      <c r="AO18" t="s">
        <v>50</v>
      </c>
      <c r="AP18">
        <v>2012</v>
      </c>
      <c r="AQ18">
        <v>600</v>
      </c>
      <c r="AR18" t="s">
        <v>93</v>
      </c>
      <c r="AS18">
        <v>33</v>
      </c>
      <c r="AT18">
        <v>33</v>
      </c>
      <c r="AU18">
        <v>74</v>
      </c>
      <c r="AV18">
        <v>74</v>
      </c>
      <c r="AW18" s="2" t="s">
        <v>49</v>
      </c>
      <c r="AX18">
        <v>123286</v>
      </c>
      <c r="AY18" t="s">
        <v>50</v>
      </c>
      <c r="AZ18">
        <v>2012</v>
      </c>
      <c r="BA18">
        <v>600</v>
      </c>
      <c r="BB18" t="s">
        <v>93</v>
      </c>
      <c r="BC18">
        <v>33</v>
      </c>
      <c r="BD18">
        <v>33</v>
      </c>
      <c r="BE18">
        <v>74</v>
      </c>
      <c r="BF18">
        <v>73</v>
      </c>
      <c r="BG18" s="2" t="s">
        <v>49</v>
      </c>
      <c r="BH18">
        <v>10219</v>
      </c>
      <c r="BI18" t="s">
        <v>52</v>
      </c>
      <c r="BJ18">
        <v>2012</v>
      </c>
      <c r="BM18" s="2" t="s">
        <v>49</v>
      </c>
      <c r="BN18">
        <v>3246</v>
      </c>
      <c r="BO18" t="s">
        <v>52</v>
      </c>
      <c r="BP18">
        <v>2012</v>
      </c>
      <c r="BS18" s="2" t="s">
        <v>49</v>
      </c>
      <c r="BT18">
        <v>10126</v>
      </c>
      <c r="BU18" t="s">
        <v>52</v>
      </c>
      <c r="BV18">
        <v>2012</v>
      </c>
      <c r="BY18" s="2" t="s">
        <v>49</v>
      </c>
      <c r="BZ18">
        <v>504892</v>
      </c>
      <c r="CA18" t="s">
        <v>52</v>
      </c>
      <c r="CB18">
        <v>2012</v>
      </c>
      <c r="CE18" s="2" t="s">
        <v>49</v>
      </c>
      <c r="CF18">
        <v>14196</v>
      </c>
      <c r="CG18" t="s">
        <v>52</v>
      </c>
      <c r="CH18">
        <v>2012</v>
      </c>
      <c r="CK18" s="2" t="s">
        <v>49</v>
      </c>
      <c r="CL18">
        <v>306</v>
      </c>
      <c r="CM18" t="s">
        <v>52</v>
      </c>
      <c r="CN18">
        <v>2012</v>
      </c>
    </row>
    <row r="19" spans="1:92" x14ac:dyDescent="0.25">
      <c r="A19">
        <v>77205664</v>
      </c>
      <c r="B19" s="3" t="s">
        <v>37</v>
      </c>
      <c r="C19" t="s">
        <v>53</v>
      </c>
      <c r="D19" t="s">
        <v>54</v>
      </c>
      <c r="E19">
        <v>2013</v>
      </c>
      <c r="F19" t="s">
        <v>55</v>
      </c>
      <c r="G19" t="s">
        <v>124</v>
      </c>
      <c r="H19" t="s">
        <v>89</v>
      </c>
      <c r="I19" t="s">
        <v>125</v>
      </c>
      <c r="J19" t="s">
        <v>99</v>
      </c>
      <c r="K19" t="s">
        <v>45</v>
      </c>
      <c r="L19" t="s">
        <v>126</v>
      </c>
      <c r="M19" t="s">
        <v>47</v>
      </c>
      <c r="N19">
        <v>160000</v>
      </c>
      <c r="O19">
        <v>35111</v>
      </c>
      <c r="P19">
        <v>124889</v>
      </c>
      <c r="Q19" t="s">
        <v>127</v>
      </c>
      <c r="R19" t="s">
        <v>124</v>
      </c>
      <c r="S19" s="2" t="s">
        <v>49</v>
      </c>
      <c r="T19">
        <v>442976</v>
      </c>
      <c r="U19" t="s">
        <v>62</v>
      </c>
      <c r="V19">
        <v>2013</v>
      </c>
      <c r="W19">
        <v>2348</v>
      </c>
      <c r="X19" t="s">
        <v>93</v>
      </c>
      <c r="Y19">
        <v>33</v>
      </c>
      <c r="Z19">
        <v>33</v>
      </c>
      <c r="AA19">
        <v>74</v>
      </c>
      <c r="AB19">
        <v>74</v>
      </c>
      <c r="AC19" s="2" t="s">
        <v>49</v>
      </c>
      <c r="AD19">
        <v>459729</v>
      </c>
      <c r="AE19" t="s">
        <v>62</v>
      </c>
      <c r="AF19">
        <v>2013</v>
      </c>
      <c r="AG19">
        <v>2348</v>
      </c>
      <c r="AH19" t="s">
        <v>93</v>
      </c>
      <c r="AI19">
        <v>33</v>
      </c>
      <c r="AJ19">
        <v>33</v>
      </c>
      <c r="AK19">
        <v>74</v>
      </c>
      <c r="AL19">
        <v>74</v>
      </c>
      <c r="AM19" s="2" t="s">
        <v>49</v>
      </c>
      <c r="AN19">
        <v>459998</v>
      </c>
      <c r="AO19" t="s">
        <v>62</v>
      </c>
      <c r="AP19">
        <v>2013</v>
      </c>
      <c r="AQ19">
        <v>2348</v>
      </c>
      <c r="AR19" t="s">
        <v>93</v>
      </c>
      <c r="AS19">
        <v>33</v>
      </c>
      <c r="AT19">
        <v>33</v>
      </c>
      <c r="AU19">
        <v>74</v>
      </c>
      <c r="AV19">
        <v>74</v>
      </c>
      <c r="AW19" s="2" t="s">
        <v>49</v>
      </c>
      <c r="AX19">
        <v>459372</v>
      </c>
      <c r="AY19" t="s">
        <v>62</v>
      </c>
      <c r="AZ19">
        <v>2013</v>
      </c>
      <c r="BA19">
        <v>2348</v>
      </c>
      <c r="BB19" t="s">
        <v>93</v>
      </c>
      <c r="BC19">
        <v>33</v>
      </c>
      <c r="BD19">
        <v>33</v>
      </c>
      <c r="BE19">
        <v>74</v>
      </c>
      <c r="BF19">
        <v>74</v>
      </c>
      <c r="BG19" s="2" t="s">
        <v>49</v>
      </c>
      <c r="BH19">
        <v>52104</v>
      </c>
      <c r="BI19">
        <v>1291</v>
      </c>
      <c r="BJ19">
        <v>2013</v>
      </c>
      <c r="BM19" s="2" t="s">
        <v>49</v>
      </c>
      <c r="BN19">
        <v>14349</v>
      </c>
      <c r="BO19">
        <v>1291</v>
      </c>
      <c r="BP19">
        <v>2013</v>
      </c>
      <c r="BS19" s="2" t="s">
        <v>49</v>
      </c>
      <c r="BT19">
        <v>37899</v>
      </c>
      <c r="BU19">
        <v>1291</v>
      </c>
      <c r="BV19">
        <v>2013</v>
      </c>
      <c r="BY19" s="2" t="s">
        <v>49</v>
      </c>
      <c r="BZ19">
        <v>38264</v>
      </c>
      <c r="CA19">
        <v>1291</v>
      </c>
      <c r="CB19">
        <v>2013</v>
      </c>
      <c r="CE19" s="2" t="s">
        <v>49</v>
      </c>
      <c r="CF19">
        <v>42407</v>
      </c>
      <c r="CG19">
        <v>1291</v>
      </c>
      <c r="CH19">
        <v>2013</v>
      </c>
      <c r="CK19" s="2" t="s">
        <v>49</v>
      </c>
      <c r="CL19">
        <v>42444</v>
      </c>
      <c r="CM19">
        <v>1291</v>
      </c>
      <c r="CN19">
        <v>2013</v>
      </c>
    </row>
    <row r="20" spans="1:92" x14ac:dyDescent="0.25">
      <c r="A20">
        <v>77205706</v>
      </c>
      <c r="B20" s="3" t="s">
        <v>37</v>
      </c>
      <c r="C20" t="s">
        <v>53</v>
      </c>
      <c r="D20" t="s">
        <v>54</v>
      </c>
      <c r="E20">
        <v>2013</v>
      </c>
      <c r="F20" t="s">
        <v>55</v>
      </c>
      <c r="G20" t="s">
        <v>128</v>
      </c>
      <c r="H20" t="s">
        <v>89</v>
      </c>
      <c r="I20" t="s">
        <v>129</v>
      </c>
      <c r="J20" t="s">
        <v>58</v>
      </c>
      <c r="K20" t="s">
        <v>45</v>
      </c>
      <c r="L20" t="s">
        <v>130</v>
      </c>
      <c r="M20" t="s">
        <v>47</v>
      </c>
      <c r="N20">
        <v>160000</v>
      </c>
      <c r="O20">
        <v>36116</v>
      </c>
      <c r="P20">
        <v>123884</v>
      </c>
      <c r="Q20" t="s">
        <v>131</v>
      </c>
      <c r="R20" t="s">
        <v>128</v>
      </c>
      <c r="S20" s="2" t="s">
        <v>49</v>
      </c>
      <c r="T20">
        <v>369126</v>
      </c>
      <c r="U20" t="s">
        <v>62</v>
      </c>
      <c r="V20">
        <v>2012</v>
      </c>
      <c r="W20">
        <v>2348</v>
      </c>
      <c r="X20" t="s">
        <v>116</v>
      </c>
      <c r="Y20">
        <v>30</v>
      </c>
      <c r="Z20">
        <v>30</v>
      </c>
      <c r="AA20">
        <v>55</v>
      </c>
      <c r="AB20">
        <v>55</v>
      </c>
      <c r="AC20" s="2" t="s">
        <v>49</v>
      </c>
      <c r="AD20">
        <v>51638</v>
      </c>
      <c r="AE20">
        <v>2412</v>
      </c>
      <c r="AF20">
        <v>2024</v>
      </c>
      <c r="AG20">
        <v>2348</v>
      </c>
      <c r="AH20" t="s">
        <v>116</v>
      </c>
      <c r="AI20">
        <v>30</v>
      </c>
      <c r="AJ20">
        <v>30</v>
      </c>
      <c r="AK20">
        <v>54</v>
      </c>
      <c r="AL20">
        <v>54</v>
      </c>
      <c r="AM20" s="2" t="s">
        <v>49</v>
      </c>
      <c r="AN20">
        <v>325321</v>
      </c>
      <c r="AO20" t="s">
        <v>62</v>
      </c>
      <c r="AP20">
        <v>2012</v>
      </c>
      <c r="AQ20">
        <v>2348</v>
      </c>
      <c r="AR20" t="s">
        <v>116</v>
      </c>
      <c r="AS20">
        <v>30</v>
      </c>
      <c r="AT20">
        <v>30</v>
      </c>
      <c r="AU20">
        <v>48</v>
      </c>
      <c r="AV20">
        <v>48</v>
      </c>
      <c r="AW20" s="2" t="s">
        <v>49</v>
      </c>
      <c r="AX20">
        <v>308575</v>
      </c>
      <c r="AY20" t="s">
        <v>62</v>
      </c>
      <c r="AZ20">
        <v>2012</v>
      </c>
      <c r="BA20">
        <v>2348</v>
      </c>
      <c r="BB20" t="s">
        <v>116</v>
      </c>
      <c r="BC20">
        <v>30</v>
      </c>
      <c r="BD20">
        <v>30</v>
      </c>
      <c r="BE20">
        <v>51</v>
      </c>
      <c r="BF20">
        <v>51</v>
      </c>
      <c r="BG20" s="2" t="s">
        <v>49</v>
      </c>
      <c r="BH20">
        <v>14317</v>
      </c>
      <c r="BI20">
        <v>1291</v>
      </c>
      <c r="BJ20">
        <v>2013</v>
      </c>
      <c r="BM20" s="2" t="s">
        <v>49</v>
      </c>
      <c r="BN20">
        <v>14674</v>
      </c>
      <c r="BO20">
        <v>1291</v>
      </c>
      <c r="BP20">
        <v>2013</v>
      </c>
      <c r="BS20" s="2" t="s">
        <v>49</v>
      </c>
      <c r="BT20">
        <v>42624</v>
      </c>
      <c r="BU20">
        <v>1291</v>
      </c>
      <c r="BV20">
        <v>2013</v>
      </c>
      <c r="BY20" s="2" t="s">
        <v>49</v>
      </c>
      <c r="BZ20">
        <v>40631</v>
      </c>
      <c r="CA20">
        <v>1291</v>
      </c>
      <c r="CB20">
        <v>2013</v>
      </c>
      <c r="CE20" s="2" t="s">
        <v>49</v>
      </c>
      <c r="CF20">
        <v>44747</v>
      </c>
      <c r="CG20">
        <v>1291</v>
      </c>
      <c r="CH20">
        <v>2013</v>
      </c>
      <c r="CK20" s="2" t="s">
        <v>49</v>
      </c>
      <c r="CL20">
        <v>44767</v>
      </c>
      <c r="CM20">
        <v>1291</v>
      </c>
      <c r="CN20">
        <v>2013</v>
      </c>
    </row>
    <row r="21" spans="1:92" x14ac:dyDescent="0.25">
      <c r="A21">
        <v>77205888</v>
      </c>
      <c r="B21" s="3" t="s">
        <v>37</v>
      </c>
      <c r="C21" t="s">
        <v>53</v>
      </c>
      <c r="D21" t="s">
        <v>54</v>
      </c>
      <c r="E21">
        <v>2013</v>
      </c>
      <c r="F21" t="s">
        <v>55</v>
      </c>
      <c r="G21" t="s">
        <v>117</v>
      </c>
      <c r="H21" t="s">
        <v>89</v>
      </c>
      <c r="I21" t="s">
        <v>132</v>
      </c>
      <c r="J21" t="s">
        <v>42</v>
      </c>
      <c r="K21" t="s">
        <v>45</v>
      </c>
      <c r="L21" t="s">
        <v>133</v>
      </c>
      <c r="M21" t="s">
        <v>47</v>
      </c>
      <c r="N21">
        <v>160000</v>
      </c>
      <c r="O21">
        <v>31425</v>
      </c>
      <c r="P21">
        <v>128575</v>
      </c>
      <c r="Q21" t="s">
        <v>134</v>
      </c>
      <c r="R21" t="s">
        <v>117</v>
      </c>
      <c r="S21" s="2" t="s">
        <v>49</v>
      </c>
      <c r="T21">
        <v>444796</v>
      </c>
      <c r="U21" t="s">
        <v>62</v>
      </c>
      <c r="V21">
        <v>2013</v>
      </c>
      <c r="W21">
        <v>2348</v>
      </c>
      <c r="X21" t="s">
        <v>93</v>
      </c>
      <c r="Y21">
        <v>30</v>
      </c>
      <c r="Z21">
        <v>30</v>
      </c>
      <c r="AA21">
        <v>62</v>
      </c>
      <c r="AB21">
        <v>61</v>
      </c>
      <c r="AC21" s="2" t="s">
        <v>49</v>
      </c>
      <c r="AD21">
        <v>443687</v>
      </c>
      <c r="AE21" t="s">
        <v>62</v>
      </c>
      <c r="AF21">
        <v>2013</v>
      </c>
      <c r="AG21">
        <v>2348</v>
      </c>
      <c r="AH21" t="s">
        <v>93</v>
      </c>
      <c r="AI21">
        <v>30</v>
      </c>
      <c r="AJ21">
        <v>30</v>
      </c>
      <c r="AK21">
        <v>63</v>
      </c>
      <c r="AL21">
        <v>63</v>
      </c>
      <c r="AM21" s="2" t="s">
        <v>49</v>
      </c>
      <c r="AN21">
        <v>443345</v>
      </c>
      <c r="AO21" t="s">
        <v>62</v>
      </c>
      <c r="AP21">
        <v>2013</v>
      </c>
      <c r="AQ21">
        <v>2348</v>
      </c>
      <c r="AR21" t="s">
        <v>93</v>
      </c>
      <c r="AS21">
        <v>30</v>
      </c>
      <c r="AT21">
        <v>30</v>
      </c>
      <c r="AU21">
        <v>59</v>
      </c>
      <c r="AV21">
        <v>59</v>
      </c>
      <c r="AW21" s="2" t="s">
        <v>49</v>
      </c>
      <c r="AX21">
        <v>455903</v>
      </c>
      <c r="AY21" t="s">
        <v>62</v>
      </c>
      <c r="AZ21">
        <v>2013</v>
      </c>
      <c r="BA21">
        <v>2348</v>
      </c>
      <c r="BB21" t="s">
        <v>93</v>
      </c>
      <c r="BC21">
        <v>30</v>
      </c>
      <c r="BD21">
        <v>30</v>
      </c>
      <c r="BE21">
        <v>62</v>
      </c>
      <c r="BF21">
        <v>62</v>
      </c>
      <c r="BG21" s="2" t="s">
        <v>49</v>
      </c>
      <c r="BH21">
        <v>15045</v>
      </c>
      <c r="BI21">
        <v>1291</v>
      </c>
      <c r="BJ21">
        <v>2013</v>
      </c>
      <c r="BM21" s="2" t="s">
        <v>49</v>
      </c>
      <c r="BN21">
        <v>15233</v>
      </c>
      <c r="BO21">
        <v>1291</v>
      </c>
      <c r="BP21">
        <v>2013</v>
      </c>
      <c r="BS21" s="2" t="s">
        <v>49</v>
      </c>
      <c r="BT21">
        <v>44652</v>
      </c>
      <c r="BU21">
        <v>1291</v>
      </c>
      <c r="BV21">
        <v>2013</v>
      </c>
      <c r="BY21" s="2" t="s">
        <v>49</v>
      </c>
      <c r="BZ21">
        <v>44087</v>
      </c>
      <c r="CA21">
        <v>1291</v>
      </c>
      <c r="CB21">
        <v>2013</v>
      </c>
      <c r="CE21" s="2" t="s">
        <v>49</v>
      </c>
      <c r="CF21">
        <v>42795</v>
      </c>
      <c r="CG21">
        <v>1291</v>
      </c>
      <c r="CH21">
        <v>2013</v>
      </c>
      <c r="CK21" s="2" t="s">
        <v>49</v>
      </c>
      <c r="CL21">
        <v>42357</v>
      </c>
      <c r="CM21">
        <v>1291</v>
      </c>
      <c r="CN21">
        <v>2013</v>
      </c>
    </row>
    <row r="22" spans="1:92" x14ac:dyDescent="0.25">
      <c r="A22">
        <v>77221919</v>
      </c>
      <c r="B22" s="3" t="s">
        <v>37</v>
      </c>
      <c r="C22" t="s">
        <v>38</v>
      </c>
      <c r="D22" t="s">
        <v>94</v>
      </c>
      <c r="E22">
        <v>2011</v>
      </c>
      <c r="F22" t="s">
        <v>95</v>
      </c>
      <c r="G22" t="s">
        <v>135</v>
      </c>
      <c r="H22" t="s">
        <v>42</v>
      </c>
      <c r="I22" t="s">
        <v>136</v>
      </c>
      <c r="J22" t="s">
        <v>58</v>
      </c>
      <c r="K22" t="s">
        <v>45</v>
      </c>
      <c r="L22" t="s">
        <v>137</v>
      </c>
      <c r="M22" t="s">
        <v>47</v>
      </c>
      <c r="N22">
        <v>160000</v>
      </c>
      <c r="O22">
        <v>45858</v>
      </c>
      <c r="P22">
        <v>114142</v>
      </c>
      <c r="Q22" t="s">
        <v>138</v>
      </c>
      <c r="R22" t="s">
        <v>136</v>
      </c>
      <c r="S22" s="2" t="s">
        <v>49</v>
      </c>
      <c r="T22">
        <v>285774</v>
      </c>
      <c r="U22" t="s">
        <v>50</v>
      </c>
      <c r="V22">
        <v>2011</v>
      </c>
      <c r="W22">
        <v>357</v>
      </c>
      <c r="X22" t="s">
        <v>139</v>
      </c>
      <c r="Y22">
        <v>33</v>
      </c>
      <c r="Z22">
        <v>33</v>
      </c>
      <c r="AA22">
        <v>74</v>
      </c>
      <c r="AB22">
        <v>74</v>
      </c>
      <c r="AC22" s="2" t="s">
        <v>49</v>
      </c>
      <c r="AD22">
        <v>285824</v>
      </c>
      <c r="AE22" t="s">
        <v>50</v>
      </c>
      <c r="AF22">
        <v>2011</v>
      </c>
      <c r="AG22">
        <v>357</v>
      </c>
      <c r="AH22" t="s">
        <v>139</v>
      </c>
      <c r="AI22">
        <v>33</v>
      </c>
      <c r="AJ22">
        <v>33</v>
      </c>
      <c r="AK22">
        <v>73</v>
      </c>
      <c r="AL22">
        <v>73</v>
      </c>
      <c r="AM22" s="2" t="s">
        <v>49</v>
      </c>
      <c r="AN22">
        <v>180370</v>
      </c>
      <c r="AO22" t="s">
        <v>50</v>
      </c>
      <c r="AP22">
        <v>2014</v>
      </c>
      <c r="AQ22">
        <v>357</v>
      </c>
      <c r="AR22" t="s">
        <v>139</v>
      </c>
      <c r="AS22">
        <v>33</v>
      </c>
      <c r="AT22">
        <v>33</v>
      </c>
      <c r="AU22">
        <v>73</v>
      </c>
      <c r="AV22">
        <v>73</v>
      </c>
      <c r="AW22" s="2" t="s">
        <v>49</v>
      </c>
      <c r="AX22">
        <v>286908</v>
      </c>
      <c r="AY22" t="s">
        <v>50</v>
      </c>
      <c r="AZ22">
        <v>2011</v>
      </c>
      <c r="BA22">
        <v>357</v>
      </c>
      <c r="BB22" t="s">
        <v>139</v>
      </c>
      <c r="BC22">
        <v>33</v>
      </c>
      <c r="BD22">
        <v>33</v>
      </c>
      <c r="BE22">
        <v>73</v>
      </c>
      <c r="BF22">
        <v>73</v>
      </c>
      <c r="BG22" s="2" t="s">
        <v>49</v>
      </c>
      <c r="BH22">
        <v>38613</v>
      </c>
      <c r="BI22" t="s">
        <v>50</v>
      </c>
      <c r="BJ22">
        <v>2011</v>
      </c>
      <c r="BM22" s="2" t="s">
        <v>49</v>
      </c>
      <c r="BN22">
        <v>38286</v>
      </c>
      <c r="BO22" t="s">
        <v>50</v>
      </c>
      <c r="BP22">
        <v>2011</v>
      </c>
      <c r="BS22" s="2" t="s">
        <v>49</v>
      </c>
      <c r="BT22">
        <v>63621</v>
      </c>
      <c r="BU22" t="s">
        <v>50</v>
      </c>
      <c r="BV22">
        <v>2011</v>
      </c>
      <c r="BY22" s="2" t="s">
        <v>49</v>
      </c>
      <c r="BZ22">
        <v>67432</v>
      </c>
      <c r="CA22" t="s">
        <v>50</v>
      </c>
      <c r="CB22">
        <v>2011</v>
      </c>
      <c r="CE22" s="2" t="s">
        <v>49</v>
      </c>
      <c r="CF22">
        <v>67508</v>
      </c>
      <c r="CG22" t="s">
        <v>50</v>
      </c>
      <c r="CH22">
        <v>2011</v>
      </c>
      <c r="CK22" s="2" t="s">
        <v>49</v>
      </c>
      <c r="CL22">
        <v>67584</v>
      </c>
      <c r="CM22" t="s">
        <v>50</v>
      </c>
      <c r="CN22">
        <v>2011</v>
      </c>
    </row>
    <row r="23" spans="1:92" x14ac:dyDescent="0.25">
      <c r="A23">
        <v>77221844</v>
      </c>
      <c r="B23" s="3" t="s">
        <v>37</v>
      </c>
      <c r="C23" t="s">
        <v>103</v>
      </c>
      <c r="D23" t="s">
        <v>104</v>
      </c>
      <c r="E23">
        <v>2011</v>
      </c>
      <c r="F23" t="s">
        <v>105</v>
      </c>
      <c r="G23" t="s">
        <v>140</v>
      </c>
      <c r="H23" t="s">
        <v>42</v>
      </c>
      <c r="I23" t="s">
        <v>141</v>
      </c>
      <c r="J23" t="s">
        <v>44</v>
      </c>
      <c r="K23" t="s">
        <v>45</v>
      </c>
      <c r="L23" t="s">
        <v>142</v>
      </c>
      <c r="M23" t="s">
        <v>47</v>
      </c>
      <c r="N23">
        <v>160000</v>
      </c>
      <c r="O23">
        <v>8028</v>
      </c>
      <c r="P23">
        <v>151972</v>
      </c>
      <c r="Q23" t="s">
        <v>143</v>
      </c>
      <c r="R23" t="s">
        <v>141</v>
      </c>
      <c r="S23" s="2" t="s">
        <v>49</v>
      </c>
      <c r="T23">
        <v>363178</v>
      </c>
      <c r="U23" t="s">
        <v>50</v>
      </c>
      <c r="V23">
        <v>2013</v>
      </c>
      <c r="W23">
        <v>745</v>
      </c>
      <c r="X23" t="s">
        <v>51</v>
      </c>
      <c r="Y23">
        <v>0</v>
      </c>
      <c r="Z23">
        <v>0</v>
      </c>
      <c r="AA23">
        <v>73</v>
      </c>
      <c r="AB23">
        <v>73</v>
      </c>
      <c r="AC23" s="2" t="s">
        <v>49</v>
      </c>
      <c r="AD23">
        <v>285305</v>
      </c>
      <c r="AE23" t="s">
        <v>50</v>
      </c>
      <c r="AF23">
        <v>2011</v>
      </c>
      <c r="AG23">
        <v>745</v>
      </c>
      <c r="AH23" t="s">
        <v>51</v>
      </c>
      <c r="AI23">
        <v>0</v>
      </c>
      <c r="AJ23">
        <v>0</v>
      </c>
      <c r="AK23">
        <v>73</v>
      </c>
      <c r="AL23">
        <v>73</v>
      </c>
      <c r="AM23" s="2" t="s">
        <v>49</v>
      </c>
      <c r="AN23">
        <v>282111</v>
      </c>
      <c r="AO23" t="s">
        <v>50</v>
      </c>
      <c r="AP23">
        <v>2011</v>
      </c>
      <c r="AQ23">
        <v>745</v>
      </c>
      <c r="AR23" t="s">
        <v>51</v>
      </c>
      <c r="AS23">
        <v>0</v>
      </c>
      <c r="AT23">
        <v>0</v>
      </c>
      <c r="AU23">
        <v>72</v>
      </c>
      <c r="AV23">
        <v>72</v>
      </c>
      <c r="AW23" s="2" t="s">
        <v>49</v>
      </c>
      <c r="AX23">
        <v>285278</v>
      </c>
      <c r="AY23" t="s">
        <v>50</v>
      </c>
      <c r="AZ23">
        <v>2011</v>
      </c>
      <c r="BA23">
        <v>745</v>
      </c>
      <c r="BB23" t="s">
        <v>51</v>
      </c>
      <c r="BC23">
        <v>0</v>
      </c>
      <c r="BD23">
        <v>0</v>
      </c>
      <c r="BE23">
        <v>73</v>
      </c>
      <c r="BF23">
        <v>73</v>
      </c>
      <c r="BG23" s="2" t="s">
        <v>49</v>
      </c>
      <c r="BH23">
        <v>37070</v>
      </c>
      <c r="BI23" t="s">
        <v>50</v>
      </c>
      <c r="BJ23">
        <v>2011</v>
      </c>
      <c r="BM23" s="2" t="s">
        <v>49</v>
      </c>
      <c r="BN23">
        <v>37413</v>
      </c>
      <c r="BO23" t="s">
        <v>50</v>
      </c>
      <c r="BP23">
        <v>2011</v>
      </c>
      <c r="BS23" s="2" t="s">
        <v>49</v>
      </c>
      <c r="BT23">
        <v>66136</v>
      </c>
      <c r="BU23" t="s">
        <v>50</v>
      </c>
      <c r="BV23">
        <v>2011</v>
      </c>
      <c r="BY23" s="2" t="s">
        <v>49</v>
      </c>
      <c r="BZ23">
        <v>65255</v>
      </c>
      <c r="CA23" t="s">
        <v>50</v>
      </c>
      <c r="CB23">
        <v>2011</v>
      </c>
      <c r="CE23" s="2" t="s">
        <v>49</v>
      </c>
      <c r="CF23">
        <v>66052</v>
      </c>
      <c r="CG23" t="s">
        <v>50</v>
      </c>
      <c r="CH23">
        <v>2011</v>
      </c>
      <c r="CK23" s="2" t="s">
        <v>49</v>
      </c>
      <c r="CL23">
        <v>63648</v>
      </c>
      <c r="CM23" t="s">
        <v>50</v>
      </c>
      <c r="CN23">
        <v>2011</v>
      </c>
    </row>
    <row r="24" spans="1:92" x14ac:dyDescent="0.25">
      <c r="A24">
        <v>75183491</v>
      </c>
      <c r="B24" s="3" t="s">
        <v>37</v>
      </c>
      <c r="C24" t="s">
        <v>144</v>
      </c>
      <c r="D24" t="s">
        <v>145</v>
      </c>
      <c r="E24">
        <v>2020</v>
      </c>
      <c r="F24" t="s">
        <v>146</v>
      </c>
      <c r="G24" t="s">
        <v>147</v>
      </c>
      <c r="H24" t="s">
        <v>148</v>
      </c>
      <c r="K24" t="s">
        <v>45</v>
      </c>
      <c r="L24" t="s">
        <v>149</v>
      </c>
      <c r="M24" t="s">
        <v>47</v>
      </c>
      <c r="N24">
        <v>160000</v>
      </c>
      <c r="O24">
        <v>25151</v>
      </c>
      <c r="P24">
        <v>134849</v>
      </c>
      <c r="Q24" t="s">
        <v>150</v>
      </c>
      <c r="R24" t="s">
        <v>147</v>
      </c>
      <c r="S24" s="2" t="s">
        <v>49</v>
      </c>
      <c r="T24">
        <v>12278</v>
      </c>
      <c r="U24">
        <v>2002</v>
      </c>
      <c r="V24">
        <v>2020</v>
      </c>
      <c r="W24">
        <v>1173</v>
      </c>
      <c r="X24" t="s">
        <v>151</v>
      </c>
      <c r="Y24">
        <v>30</v>
      </c>
      <c r="Z24">
        <v>30</v>
      </c>
      <c r="AA24">
        <v>50</v>
      </c>
      <c r="AB24">
        <v>52</v>
      </c>
      <c r="AC24" s="2" t="s">
        <v>49</v>
      </c>
      <c r="AD24">
        <v>446185</v>
      </c>
      <c r="AE24" t="s">
        <v>50</v>
      </c>
      <c r="AF24">
        <v>2020</v>
      </c>
      <c r="AG24">
        <v>1173</v>
      </c>
      <c r="AH24" t="s">
        <v>151</v>
      </c>
      <c r="AI24">
        <v>30</v>
      </c>
      <c r="AJ24">
        <v>30</v>
      </c>
      <c r="AK24">
        <v>43</v>
      </c>
      <c r="AL24">
        <v>45</v>
      </c>
      <c r="AM24" s="2" t="s">
        <v>49</v>
      </c>
      <c r="AN24">
        <v>446107</v>
      </c>
      <c r="AO24" t="s">
        <v>50</v>
      </c>
      <c r="AP24">
        <v>2020</v>
      </c>
      <c r="AQ24">
        <v>1173</v>
      </c>
      <c r="AR24" t="s">
        <v>151</v>
      </c>
      <c r="AS24">
        <v>30</v>
      </c>
      <c r="AT24">
        <v>30</v>
      </c>
      <c r="AU24">
        <v>51</v>
      </c>
      <c r="AV24">
        <v>53</v>
      </c>
      <c r="AW24" s="2" t="s">
        <v>49</v>
      </c>
      <c r="AX24">
        <v>446117</v>
      </c>
      <c r="AY24" t="s">
        <v>50</v>
      </c>
      <c r="AZ24">
        <v>2020</v>
      </c>
      <c r="BA24">
        <v>1173</v>
      </c>
      <c r="BB24" t="s">
        <v>151</v>
      </c>
      <c r="BC24">
        <v>30</v>
      </c>
      <c r="BD24">
        <v>29</v>
      </c>
      <c r="BE24">
        <v>53</v>
      </c>
      <c r="BF24">
        <v>55</v>
      </c>
      <c r="BG24" s="2" t="s">
        <v>49</v>
      </c>
      <c r="BH24">
        <v>27363</v>
      </c>
      <c r="BI24">
        <v>1275</v>
      </c>
      <c r="BJ24">
        <v>2020</v>
      </c>
      <c r="BM24" s="2" t="s">
        <v>49</v>
      </c>
      <c r="BN24">
        <v>27358</v>
      </c>
      <c r="BO24">
        <v>1275</v>
      </c>
      <c r="BP24">
        <v>2020</v>
      </c>
      <c r="BS24" s="2" t="s">
        <v>49</v>
      </c>
      <c r="BT24">
        <v>45585</v>
      </c>
      <c r="BU24">
        <v>1275</v>
      </c>
      <c r="BV24">
        <v>2020</v>
      </c>
      <c r="BY24" s="2" t="s">
        <v>49</v>
      </c>
      <c r="BZ24">
        <v>45569</v>
      </c>
      <c r="CA24">
        <v>1275</v>
      </c>
      <c r="CB24">
        <v>2020</v>
      </c>
      <c r="CE24" s="2" t="s">
        <v>49</v>
      </c>
      <c r="CF24">
        <v>41311</v>
      </c>
      <c r="CG24">
        <v>1275</v>
      </c>
      <c r="CH24">
        <v>2020</v>
      </c>
      <c r="CK24" s="2" t="s">
        <v>49</v>
      </c>
      <c r="CL24">
        <v>45586</v>
      </c>
      <c r="CM24">
        <v>1275</v>
      </c>
      <c r="CN24">
        <v>2020</v>
      </c>
    </row>
    <row r="25" spans="1:92" x14ac:dyDescent="0.25">
      <c r="A25">
        <v>75184093</v>
      </c>
      <c r="B25" s="3" t="s">
        <v>37</v>
      </c>
      <c r="C25" t="s">
        <v>144</v>
      </c>
      <c r="D25" t="s">
        <v>145</v>
      </c>
      <c r="E25">
        <v>2020</v>
      </c>
      <c r="F25" t="s">
        <v>146</v>
      </c>
      <c r="G25" t="s">
        <v>152</v>
      </c>
      <c r="H25" t="s">
        <v>148</v>
      </c>
      <c r="K25" t="s">
        <v>45</v>
      </c>
      <c r="L25" t="s">
        <v>153</v>
      </c>
      <c r="M25" t="s">
        <v>47</v>
      </c>
      <c r="N25">
        <v>160000</v>
      </c>
      <c r="O25">
        <v>26103</v>
      </c>
      <c r="P25">
        <v>133897</v>
      </c>
      <c r="Q25" t="s">
        <v>154</v>
      </c>
      <c r="R25" t="s">
        <v>152</v>
      </c>
      <c r="S25" s="2" t="s">
        <v>49</v>
      </c>
      <c r="T25">
        <v>735030</v>
      </c>
      <c r="U25" t="s">
        <v>62</v>
      </c>
      <c r="V25">
        <v>2020</v>
      </c>
      <c r="W25">
        <v>1173</v>
      </c>
      <c r="X25" t="s">
        <v>151</v>
      </c>
      <c r="Y25">
        <v>30</v>
      </c>
      <c r="Z25">
        <v>30</v>
      </c>
      <c r="AA25">
        <v>61</v>
      </c>
      <c r="AB25">
        <v>60</v>
      </c>
      <c r="AC25" s="2" t="s">
        <v>49</v>
      </c>
      <c r="AD25">
        <v>753604</v>
      </c>
      <c r="AE25" t="s">
        <v>62</v>
      </c>
      <c r="AF25">
        <v>2020</v>
      </c>
      <c r="AG25">
        <v>1173</v>
      </c>
      <c r="AH25" t="s">
        <v>151</v>
      </c>
      <c r="AI25">
        <v>29</v>
      </c>
      <c r="AJ25">
        <v>29</v>
      </c>
      <c r="AK25">
        <v>59</v>
      </c>
      <c r="AL25">
        <v>61</v>
      </c>
      <c r="AM25" s="2" t="s">
        <v>49</v>
      </c>
      <c r="AN25">
        <v>448491</v>
      </c>
      <c r="AO25" t="s">
        <v>50</v>
      </c>
      <c r="AP25">
        <v>2020</v>
      </c>
      <c r="AQ25">
        <v>1173</v>
      </c>
      <c r="AR25" t="s">
        <v>151</v>
      </c>
      <c r="AS25">
        <v>29</v>
      </c>
      <c r="AT25">
        <v>29</v>
      </c>
      <c r="AU25">
        <v>56</v>
      </c>
      <c r="AV25">
        <v>54</v>
      </c>
      <c r="AW25" s="2" t="s">
        <v>49</v>
      </c>
      <c r="AX25">
        <v>449053</v>
      </c>
      <c r="AY25" t="s">
        <v>50</v>
      </c>
      <c r="AZ25">
        <v>2020</v>
      </c>
      <c r="BA25">
        <v>1173</v>
      </c>
      <c r="BB25" t="s">
        <v>151</v>
      </c>
      <c r="BC25">
        <v>29</v>
      </c>
      <c r="BD25">
        <v>30</v>
      </c>
      <c r="BE25">
        <v>61</v>
      </c>
      <c r="BF25">
        <v>62</v>
      </c>
      <c r="BG25" s="2" t="s">
        <v>49</v>
      </c>
      <c r="BH25">
        <v>27088</v>
      </c>
      <c r="BI25">
        <v>1275</v>
      </c>
      <c r="BJ25">
        <v>2020</v>
      </c>
      <c r="BM25" s="2" t="s">
        <v>49</v>
      </c>
      <c r="BN25">
        <v>27518</v>
      </c>
      <c r="BO25">
        <v>1275</v>
      </c>
      <c r="BP25">
        <v>2020</v>
      </c>
      <c r="BS25" s="2" t="s">
        <v>49</v>
      </c>
      <c r="BT25">
        <v>46122</v>
      </c>
      <c r="BU25">
        <v>1275</v>
      </c>
      <c r="BV25">
        <v>2020</v>
      </c>
      <c r="BY25" s="2" t="s">
        <v>49</v>
      </c>
      <c r="BZ25">
        <v>45988</v>
      </c>
      <c r="CA25">
        <v>1275</v>
      </c>
      <c r="CB25">
        <v>2020</v>
      </c>
      <c r="CE25" s="2" t="s">
        <v>49</v>
      </c>
      <c r="CF25">
        <v>44631</v>
      </c>
      <c r="CG25">
        <v>1275</v>
      </c>
      <c r="CH25">
        <v>2020</v>
      </c>
      <c r="CK25" s="2" t="s">
        <v>49</v>
      </c>
      <c r="CL25">
        <v>45967</v>
      </c>
      <c r="CM25">
        <v>1275</v>
      </c>
      <c r="CN25">
        <v>2020</v>
      </c>
    </row>
    <row r="26" spans="1:92" x14ac:dyDescent="0.25">
      <c r="A26">
        <v>75184598</v>
      </c>
      <c r="B26" s="3" t="s">
        <v>37</v>
      </c>
      <c r="C26" t="s">
        <v>144</v>
      </c>
      <c r="D26" t="s">
        <v>145</v>
      </c>
      <c r="E26">
        <v>2020</v>
      </c>
      <c r="F26" t="s">
        <v>146</v>
      </c>
      <c r="G26" t="s">
        <v>155</v>
      </c>
      <c r="H26" t="s">
        <v>148</v>
      </c>
      <c r="K26" t="s">
        <v>45</v>
      </c>
      <c r="L26" t="s">
        <v>156</v>
      </c>
      <c r="M26" t="s">
        <v>47</v>
      </c>
      <c r="N26">
        <v>160000</v>
      </c>
      <c r="O26">
        <v>19620</v>
      </c>
      <c r="P26">
        <v>140380</v>
      </c>
      <c r="Q26" t="s">
        <v>157</v>
      </c>
      <c r="R26" t="s">
        <v>155</v>
      </c>
      <c r="S26" s="2" t="s">
        <v>49</v>
      </c>
      <c r="T26">
        <v>741894</v>
      </c>
      <c r="U26" t="s">
        <v>62</v>
      </c>
      <c r="V26">
        <v>2020</v>
      </c>
      <c r="W26">
        <v>1173</v>
      </c>
      <c r="X26" t="s">
        <v>116</v>
      </c>
      <c r="Y26">
        <v>29</v>
      </c>
      <c r="Z26">
        <v>30</v>
      </c>
      <c r="AA26">
        <v>57</v>
      </c>
      <c r="AB26">
        <v>56</v>
      </c>
      <c r="AC26" s="2" t="s">
        <v>49</v>
      </c>
      <c r="AD26">
        <v>12169</v>
      </c>
      <c r="AE26">
        <v>2002</v>
      </c>
      <c r="AF26">
        <v>2020</v>
      </c>
      <c r="AG26">
        <v>1173</v>
      </c>
      <c r="AH26" t="s">
        <v>116</v>
      </c>
      <c r="AI26">
        <v>30</v>
      </c>
      <c r="AJ26">
        <v>30</v>
      </c>
      <c r="AK26">
        <v>58</v>
      </c>
      <c r="AL26">
        <v>58</v>
      </c>
      <c r="AM26" s="2" t="s">
        <v>49</v>
      </c>
      <c r="AN26">
        <v>12264</v>
      </c>
      <c r="AO26">
        <v>2002</v>
      </c>
      <c r="AP26">
        <v>2020</v>
      </c>
      <c r="AQ26">
        <v>1173</v>
      </c>
      <c r="AR26" t="s">
        <v>116</v>
      </c>
      <c r="AS26">
        <v>30</v>
      </c>
      <c r="AT26">
        <v>30</v>
      </c>
      <c r="AU26">
        <v>58</v>
      </c>
      <c r="AV26">
        <v>60</v>
      </c>
      <c r="AW26" s="2" t="s">
        <v>49</v>
      </c>
      <c r="AX26">
        <v>742389</v>
      </c>
      <c r="AY26" t="s">
        <v>62</v>
      </c>
      <c r="AZ26">
        <v>2020</v>
      </c>
      <c r="BA26">
        <v>1173</v>
      </c>
      <c r="BB26" t="s">
        <v>116</v>
      </c>
      <c r="BC26">
        <v>30</v>
      </c>
      <c r="BD26">
        <v>30</v>
      </c>
      <c r="BE26">
        <v>64</v>
      </c>
      <c r="BF26">
        <v>64</v>
      </c>
      <c r="BG26" s="2" t="s">
        <v>49</v>
      </c>
      <c r="BH26">
        <v>27548</v>
      </c>
      <c r="BI26">
        <v>1275</v>
      </c>
      <c r="BJ26">
        <v>2020</v>
      </c>
      <c r="BM26" s="2" t="s">
        <v>49</v>
      </c>
      <c r="BN26">
        <v>25966</v>
      </c>
      <c r="BO26">
        <v>1275</v>
      </c>
      <c r="BP26">
        <v>2020</v>
      </c>
      <c r="BS26" s="2" t="s">
        <v>49</v>
      </c>
      <c r="BT26">
        <v>46331</v>
      </c>
      <c r="BU26">
        <v>1275</v>
      </c>
      <c r="BV26">
        <v>2020</v>
      </c>
      <c r="BY26" s="2" t="s">
        <v>49</v>
      </c>
      <c r="BZ26">
        <v>46029</v>
      </c>
      <c r="CA26">
        <v>1275</v>
      </c>
      <c r="CB26">
        <v>2020</v>
      </c>
      <c r="CE26" s="2" t="s">
        <v>49</v>
      </c>
      <c r="CF26">
        <v>46344</v>
      </c>
      <c r="CG26">
        <v>1275</v>
      </c>
      <c r="CH26">
        <v>2020</v>
      </c>
      <c r="CK26" s="2" t="s">
        <v>49</v>
      </c>
      <c r="CL26">
        <v>46300</v>
      </c>
      <c r="CM26">
        <v>1275</v>
      </c>
      <c r="CN26">
        <v>2020</v>
      </c>
    </row>
    <row r="27" spans="1:92" x14ac:dyDescent="0.25">
      <c r="A27">
        <v>75186890</v>
      </c>
      <c r="B27" s="3" t="s">
        <v>37</v>
      </c>
      <c r="C27" t="s">
        <v>144</v>
      </c>
      <c r="D27" t="s">
        <v>158</v>
      </c>
      <c r="E27">
        <v>2020</v>
      </c>
      <c r="F27" t="s">
        <v>159</v>
      </c>
      <c r="G27" t="s">
        <v>160</v>
      </c>
      <c r="H27" t="s">
        <v>148</v>
      </c>
      <c r="K27" t="s">
        <v>45</v>
      </c>
      <c r="L27" t="s">
        <v>161</v>
      </c>
      <c r="M27" t="s">
        <v>47</v>
      </c>
      <c r="N27">
        <v>160000</v>
      </c>
      <c r="O27">
        <v>27005</v>
      </c>
      <c r="P27">
        <v>132995</v>
      </c>
      <c r="Q27" t="s">
        <v>162</v>
      </c>
      <c r="R27" t="s">
        <v>160</v>
      </c>
      <c r="S27" s="2" t="s">
        <v>49</v>
      </c>
      <c r="T27">
        <v>751445</v>
      </c>
      <c r="U27" t="s">
        <v>62</v>
      </c>
      <c r="V27">
        <v>2020</v>
      </c>
      <c r="W27">
        <v>1173</v>
      </c>
      <c r="X27" t="s">
        <v>163</v>
      </c>
      <c r="Y27">
        <v>30</v>
      </c>
      <c r="Z27">
        <v>29</v>
      </c>
      <c r="AA27">
        <v>64</v>
      </c>
      <c r="AB27">
        <v>65</v>
      </c>
      <c r="AC27" s="2" t="s">
        <v>49</v>
      </c>
      <c r="AD27">
        <v>749474</v>
      </c>
      <c r="AE27" t="s">
        <v>62</v>
      </c>
      <c r="AF27">
        <v>2020</v>
      </c>
      <c r="AG27">
        <v>1173</v>
      </c>
      <c r="AH27" t="s">
        <v>163</v>
      </c>
      <c r="AI27">
        <v>29</v>
      </c>
      <c r="AJ27">
        <v>30</v>
      </c>
      <c r="AK27">
        <v>68</v>
      </c>
      <c r="AL27">
        <v>68</v>
      </c>
      <c r="AM27" s="2" t="s">
        <v>49</v>
      </c>
      <c r="AN27">
        <v>753559</v>
      </c>
      <c r="AO27" t="s">
        <v>62</v>
      </c>
      <c r="AP27">
        <v>2020</v>
      </c>
      <c r="AQ27">
        <v>1173</v>
      </c>
      <c r="AR27" t="s">
        <v>163</v>
      </c>
      <c r="AS27">
        <v>29</v>
      </c>
      <c r="AT27">
        <v>29</v>
      </c>
      <c r="AU27">
        <v>55</v>
      </c>
      <c r="AV27">
        <v>55</v>
      </c>
      <c r="AW27" s="2" t="s">
        <v>49</v>
      </c>
      <c r="AX27">
        <v>753540</v>
      </c>
      <c r="AY27" t="s">
        <v>62</v>
      </c>
      <c r="AZ27">
        <v>2020</v>
      </c>
      <c r="BA27">
        <v>1173</v>
      </c>
      <c r="BB27" t="s">
        <v>163</v>
      </c>
      <c r="BC27">
        <v>30</v>
      </c>
      <c r="BD27">
        <v>30</v>
      </c>
      <c r="BE27">
        <v>63</v>
      </c>
      <c r="BF27">
        <v>62</v>
      </c>
      <c r="BG27" s="2" t="s">
        <v>49</v>
      </c>
      <c r="BH27">
        <v>25753</v>
      </c>
      <c r="BI27">
        <v>1275</v>
      </c>
      <c r="BJ27">
        <v>2020</v>
      </c>
      <c r="BM27" s="2" t="s">
        <v>49</v>
      </c>
      <c r="BN27">
        <v>25641</v>
      </c>
      <c r="BO27">
        <v>1275</v>
      </c>
      <c r="BP27">
        <v>2020</v>
      </c>
      <c r="BS27" s="2" t="s">
        <v>49</v>
      </c>
      <c r="BT27">
        <v>41210</v>
      </c>
      <c r="BU27">
        <v>1275</v>
      </c>
      <c r="BV27">
        <v>2020</v>
      </c>
      <c r="BY27" s="2" t="s">
        <v>49</v>
      </c>
      <c r="BZ27">
        <v>42182</v>
      </c>
      <c r="CA27">
        <v>1275</v>
      </c>
      <c r="CB27">
        <v>2020</v>
      </c>
      <c r="CE27" s="2" t="s">
        <v>49</v>
      </c>
      <c r="CF27">
        <v>42410</v>
      </c>
      <c r="CG27">
        <v>1275</v>
      </c>
      <c r="CH27">
        <v>2020</v>
      </c>
      <c r="CK27" s="2" t="s">
        <v>49</v>
      </c>
      <c r="CL27">
        <v>42415</v>
      </c>
      <c r="CM27">
        <v>1275</v>
      </c>
      <c r="CN27">
        <v>2020</v>
      </c>
    </row>
    <row r="28" spans="1:92" x14ac:dyDescent="0.25">
      <c r="A28">
        <v>75186999</v>
      </c>
      <c r="B28" s="3" t="s">
        <v>37</v>
      </c>
      <c r="C28" t="s">
        <v>144</v>
      </c>
      <c r="D28" t="s">
        <v>158</v>
      </c>
      <c r="E28">
        <v>2020</v>
      </c>
      <c r="F28" t="s">
        <v>159</v>
      </c>
      <c r="G28" t="s">
        <v>164</v>
      </c>
      <c r="H28" t="s">
        <v>148</v>
      </c>
      <c r="K28" t="s">
        <v>45</v>
      </c>
      <c r="L28" t="s">
        <v>165</v>
      </c>
      <c r="M28" t="s">
        <v>47</v>
      </c>
      <c r="N28">
        <v>160000</v>
      </c>
      <c r="O28">
        <v>26045</v>
      </c>
      <c r="P28">
        <v>133955</v>
      </c>
      <c r="Q28" t="s">
        <v>166</v>
      </c>
      <c r="R28" t="s">
        <v>164</v>
      </c>
      <c r="S28" s="2" t="s">
        <v>49</v>
      </c>
      <c r="T28">
        <v>748958</v>
      </c>
      <c r="U28" t="s">
        <v>62</v>
      </c>
      <c r="V28">
        <v>2020</v>
      </c>
      <c r="W28">
        <v>1173</v>
      </c>
      <c r="X28" t="s">
        <v>151</v>
      </c>
      <c r="Y28">
        <v>30</v>
      </c>
      <c r="Z28">
        <v>30</v>
      </c>
      <c r="AA28">
        <v>62</v>
      </c>
      <c r="AB28">
        <v>63</v>
      </c>
      <c r="AC28" s="2" t="s">
        <v>49</v>
      </c>
      <c r="AD28">
        <v>749500</v>
      </c>
      <c r="AE28" t="s">
        <v>62</v>
      </c>
      <c r="AF28">
        <v>2020</v>
      </c>
      <c r="AG28">
        <v>1173</v>
      </c>
      <c r="AH28" t="s">
        <v>151</v>
      </c>
      <c r="AI28">
        <v>30</v>
      </c>
      <c r="AJ28">
        <v>30</v>
      </c>
      <c r="AK28">
        <v>62</v>
      </c>
      <c r="AL28">
        <v>62</v>
      </c>
      <c r="AM28" s="2" t="s">
        <v>49</v>
      </c>
      <c r="AN28">
        <v>751448</v>
      </c>
      <c r="AO28" t="s">
        <v>62</v>
      </c>
      <c r="AP28">
        <v>2020</v>
      </c>
      <c r="AQ28">
        <v>1173</v>
      </c>
      <c r="AR28" t="s">
        <v>151</v>
      </c>
      <c r="AS28">
        <v>30</v>
      </c>
      <c r="AT28">
        <v>30</v>
      </c>
      <c r="AU28">
        <v>62</v>
      </c>
      <c r="AV28">
        <v>62</v>
      </c>
      <c r="AW28" s="2" t="s">
        <v>49</v>
      </c>
      <c r="AX28">
        <v>751392</v>
      </c>
      <c r="AY28" t="s">
        <v>62</v>
      </c>
      <c r="AZ28">
        <v>2020</v>
      </c>
      <c r="BA28">
        <v>1173</v>
      </c>
      <c r="BB28" t="s">
        <v>151</v>
      </c>
      <c r="BC28">
        <v>30</v>
      </c>
      <c r="BD28">
        <v>30</v>
      </c>
      <c r="BE28">
        <v>63</v>
      </c>
      <c r="BF28">
        <v>64</v>
      </c>
      <c r="BG28" s="2" t="s">
        <v>49</v>
      </c>
      <c r="BH28">
        <v>27596</v>
      </c>
      <c r="BI28">
        <v>1275</v>
      </c>
      <c r="BJ28">
        <v>2020</v>
      </c>
      <c r="BM28" s="2" t="s">
        <v>49</v>
      </c>
      <c r="BN28">
        <v>27613</v>
      </c>
      <c r="BO28">
        <v>1275</v>
      </c>
      <c r="BP28">
        <v>2020</v>
      </c>
      <c r="BS28" s="2" t="s">
        <v>49</v>
      </c>
      <c r="BT28">
        <v>37202</v>
      </c>
      <c r="BU28">
        <v>1275</v>
      </c>
      <c r="BV28">
        <v>2020</v>
      </c>
      <c r="BY28" s="2" t="s">
        <v>49</v>
      </c>
      <c r="BZ28">
        <v>41164</v>
      </c>
      <c r="CA28">
        <v>1275</v>
      </c>
      <c r="CB28">
        <v>2020</v>
      </c>
      <c r="CE28" s="2" t="s">
        <v>49</v>
      </c>
      <c r="CF28">
        <v>41074</v>
      </c>
      <c r="CG28">
        <v>1275</v>
      </c>
      <c r="CH28">
        <v>2020</v>
      </c>
      <c r="CK28" s="2" t="s">
        <v>49</v>
      </c>
      <c r="CL28">
        <v>41622</v>
      </c>
      <c r="CM28">
        <v>1275</v>
      </c>
      <c r="CN28">
        <v>2020</v>
      </c>
    </row>
    <row r="29" spans="1:92" x14ac:dyDescent="0.25">
      <c r="A29">
        <v>75187294</v>
      </c>
      <c r="B29" s="3" t="s">
        <v>37</v>
      </c>
      <c r="C29" t="s">
        <v>144</v>
      </c>
      <c r="D29" t="s">
        <v>158</v>
      </c>
      <c r="E29">
        <v>2020</v>
      </c>
      <c r="F29" t="s">
        <v>159</v>
      </c>
      <c r="G29" t="s">
        <v>167</v>
      </c>
      <c r="H29" t="s">
        <v>148</v>
      </c>
      <c r="K29" t="s">
        <v>45</v>
      </c>
      <c r="L29" t="s">
        <v>168</v>
      </c>
      <c r="M29" t="s">
        <v>47</v>
      </c>
      <c r="N29">
        <v>160000</v>
      </c>
      <c r="O29">
        <v>23948</v>
      </c>
      <c r="P29">
        <v>136052</v>
      </c>
      <c r="Q29" t="s">
        <v>169</v>
      </c>
      <c r="R29" t="s">
        <v>167</v>
      </c>
      <c r="S29" s="2" t="s">
        <v>49</v>
      </c>
      <c r="T29">
        <v>9889</v>
      </c>
      <c r="U29">
        <v>2002</v>
      </c>
      <c r="V29">
        <v>2020</v>
      </c>
      <c r="W29">
        <v>1173</v>
      </c>
      <c r="X29" t="s">
        <v>170</v>
      </c>
      <c r="Y29">
        <v>29</v>
      </c>
      <c r="Z29">
        <v>30</v>
      </c>
      <c r="AA29">
        <v>58</v>
      </c>
      <c r="AB29">
        <v>57</v>
      </c>
      <c r="AC29" s="2" t="s">
        <v>49</v>
      </c>
      <c r="AD29">
        <v>9611</v>
      </c>
      <c r="AE29">
        <v>2002</v>
      </c>
      <c r="AF29">
        <v>2020</v>
      </c>
      <c r="AG29">
        <v>1173</v>
      </c>
      <c r="AH29" t="s">
        <v>170</v>
      </c>
      <c r="AI29">
        <v>30</v>
      </c>
      <c r="AJ29">
        <v>29</v>
      </c>
      <c r="AK29">
        <v>56</v>
      </c>
      <c r="AL29">
        <v>56</v>
      </c>
      <c r="AM29" s="2" t="s">
        <v>49</v>
      </c>
      <c r="AN29">
        <v>751708</v>
      </c>
      <c r="AO29" t="s">
        <v>62</v>
      </c>
      <c r="AP29">
        <v>2020</v>
      </c>
      <c r="AQ29">
        <v>1173</v>
      </c>
      <c r="AR29" t="s">
        <v>170</v>
      </c>
      <c r="AS29">
        <v>29</v>
      </c>
      <c r="AT29">
        <v>29</v>
      </c>
      <c r="AU29">
        <v>59</v>
      </c>
      <c r="AV29">
        <v>60</v>
      </c>
      <c r="AW29" s="2" t="s">
        <v>49</v>
      </c>
      <c r="AX29">
        <v>448991</v>
      </c>
      <c r="AY29" t="s">
        <v>50</v>
      </c>
      <c r="AZ29">
        <v>2020</v>
      </c>
      <c r="BA29">
        <v>1173</v>
      </c>
      <c r="BB29" t="s">
        <v>170</v>
      </c>
      <c r="BC29">
        <v>30</v>
      </c>
      <c r="BD29">
        <v>30</v>
      </c>
      <c r="BE29">
        <v>62</v>
      </c>
      <c r="BF29">
        <v>61</v>
      </c>
      <c r="BG29" s="2" t="s">
        <v>49</v>
      </c>
      <c r="BH29">
        <v>27641</v>
      </c>
      <c r="BI29">
        <v>1275</v>
      </c>
      <c r="BJ29">
        <v>2020</v>
      </c>
      <c r="BM29" s="2" t="s">
        <v>49</v>
      </c>
      <c r="BN29">
        <v>27401</v>
      </c>
      <c r="BO29">
        <v>1275</v>
      </c>
      <c r="BP29">
        <v>2020</v>
      </c>
      <c r="BS29" s="2" t="s">
        <v>49</v>
      </c>
      <c r="BT29">
        <v>45594</v>
      </c>
      <c r="BU29">
        <v>1275</v>
      </c>
      <c r="BV29">
        <v>2020</v>
      </c>
      <c r="BY29" s="2" t="s">
        <v>49</v>
      </c>
      <c r="BZ29">
        <v>44524</v>
      </c>
      <c r="CA29">
        <v>1275</v>
      </c>
      <c r="CB29">
        <v>2020</v>
      </c>
      <c r="CE29" s="2" t="s">
        <v>49</v>
      </c>
      <c r="CF29">
        <v>45667</v>
      </c>
      <c r="CG29">
        <v>1275</v>
      </c>
      <c r="CH29">
        <v>2020</v>
      </c>
      <c r="CK29" s="2" t="s">
        <v>49</v>
      </c>
      <c r="CL29">
        <v>46138</v>
      </c>
      <c r="CM29">
        <v>1275</v>
      </c>
      <c r="CN29">
        <v>2020</v>
      </c>
    </row>
    <row r="30" spans="1:92" x14ac:dyDescent="0.25">
      <c r="A30">
        <v>75187898</v>
      </c>
      <c r="B30" s="3" t="s">
        <v>37</v>
      </c>
      <c r="C30" t="s">
        <v>144</v>
      </c>
      <c r="D30" t="s">
        <v>158</v>
      </c>
      <c r="E30">
        <v>2020</v>
      </c>
      <c r="F30" t="s">
        <v>159</v>
      </c>
      <c r="G30" t="s">
        <v>155</v>
      </c>
      <c r="H30" t="s">
        <v>148</v>
      </c>
      <c r="K30" t="s">
        <v>45</v>
      </c>
      <c r="L30" t="s">
        <v>156</v>
      </c>
      <c r="M30" t="s">
        <v>47</v>
      </c>
      <c r="N30">
        <v>160000</v>
      </c>
      <c r="O30">
        <v>19964</v>
      </c>
      <c r="P30">
        <v>140036</v>
      </c>
      <c r="Q30" t="s">
        <v>171</v>
      </c>
      <c r="R30" t="s">
        <v>155</v>
      </c>
      <c r="S30" s="2" t="s">
        <v>49</v>
      </c>
      <c r="T30">
        <v>749590</v>
      </c>
      <c r="U30" t="s">
        <v>62</v>
      </c>
      <c r="V30">
        <v>2020</v>
      </c>
      <c r="W30">
        <v>1173</v>
      </c>
      <c r="X30" t="s">
        <v>116</v>
      </c>
      <c r="Y30">
        <v>30</v>
      </c>
      <c r="Z30">
        <v>29</v>
      </c>
      <c r="AA30">
        <v>56</v>
      </c>
      <c r="AB30">
        <v>56</v>
      </c>
      <c r="AC30" s="2" t="s">
        <v>49</v>
      </c>
      <c r="AD30">
        <v>749499</v>
      </c>
      <c r="AE30" t="s">
        <v>62</v>
      </c>
      <c r="AF30">
        <v>2020</v>
      </c>
      <c r="AG30">
        <v>1173</v>
      </c>
      <c r="AH30" t="s">
        <v>116</v>
      </c>
      <c r="AI30">
        <v>29</v>
      </c>
      <c r="AJ30">
        <v>29</v>
      </c>
      <c r="AK30">
        <v>63</v>
      </c>
      <c r="AL30">
        <v>63</v>
      </c>
      <c r="AM30" s="2" t="s">
        <v>49</v>
      </c>
      <c r="AN30">
        <v>751805</v>
      </c>
      <c r="AO30" t="s">
        <v>62</v>
      </c>
      <c r="AP30">
        <v>2020</v>
      </c>
      <c r="AQ30">
        <v>1173</v>
      </c>
      <c r="AR30" t="s">
        <v>116</v>
      </c>
      <c r="AS30">
        <v>30</v>
      </c>
      <c r="AT30">
        <v>30</v>
      </c>
      <c r="AU30">
        <v>63</v>
      </c>
      <c r="AV30">
        <v>63</v>
      </c>
      <c r="AW30" s="2" t="s">
        <v>49</v>
      </c>
      <c r="AX30">
        <v>9731</v>
      </c>
      <c r="AY30">
        <v>2002</v>
      </c>
      <c r="AZ30">
        <v>2020</v>
      </c>
      <c r="BA30">
        <v>1173</v>
      </c>
      <c r="BB30" t="s">
        <v>116</v>
      </c>
      <c r="BC30">
        <v>30</v>
      </c>
      <c r="BD30">
        <v>29</v>
      </c>
      <c r="BE30">
        <v>64</v>
      </c>
      <c r="BF30">
        <v>64</v>
      </c>
      <c r="BG30" s="2" t="s">
        <v>49</v>
      </c>
      <c r="BH30">
        <v>27717</v>
      </c>
      <c r="BI30">
        <v>1275</v>
      </c>
      <c r="BJ30">
        <v>2020</v>
      </c>
      <c r="BM30" s="2" t="s">
        <v>49</v>
      </c>
      <c r="BN30">
        <v>27757</v>
      </c>
      <c r="BO30">
        <v>1275</v>
      </c>
      <c r="BP30">
        <v>2020</v>
      </c>
      <c r="BS30" s="2" t="s">
        <v>49</v>
      </c>
      <c r="BT30">
        <v>45607</v>
      </c>
      <c r="BU30">
        <v>1275</v>
      </c>
      <c r="BV30">
        <v>2020</v>
      </c>
      <c r="BY30" s="2" t="s">
        <v>49</v>
      </c>
      <c r="BZ30">
        <v>46549</v>
      </c>
      <c r="CA30">
        <v>1275</v>
      </c>
      <c r="CB30">
        <v>2020</v>
      </c>
      <c r="CE30" s="2" t="s">
        <v>49</v>
      </c>
      <c r="CF30">
        <v>46616</v>
      </c>
      <c r="CG30">
        <v>1275</v>
      </c>
      <c r="CH30">
        <v>2020</v>
      </c>
      <c r="CK30" s="2" t="s">
        <v>49</v>
      </c>
      <c r="CL30">
        <v>46475</v>
      </c>
      <c r="CM30">
        <v>1275</v>
      </c>
      <c r="CN30">
        <v>2020</v>
      </c>
    </row>
    <row r="31" spans="1:92" x14ac:dyDescent="0.25">
      <c r="A31">
        <v>75188094</v>
      </c>
      <c r="B31" s="3" t="s">
        <v>37</v>
      </c>
      <c r="C31" t="s">
        <v>144</v>
      </c>
      <c r="D31" t="s">
        <v>158</v>
      </c>
      <c r="E31">
        <v>2020</v>
      </c>
      <c r="F31" t="s">
        <v>159</v>
      </c>
      <c r="G31" t="s">
        <v>172</v>
      </c>
      <c r="H31" t="s">
        <v>148</v>
      </c>
      <c r="K31" t="s">
        <v>45</v>
      </c>
      <c r="L31" t="s">
        <v>173</v>
      </c>
      <c r="M31" t="s">
        <v>47</v>
      </c>
      <c r="N31">
        <v>160000</v>
      </c>
      <c r="O31">
        <v>19853</v>
      </c>
      <c r="P31">
        <v>140147</v>
      </c>
      <c r="Q31" t="s">
        <v>174</v>
      </c>
      <c r="R31" t="s">
        <v>172</v>
      </c>
      <c r="S31" s="2" t="s">
        <v>49</v>
      </c>
      <c r="T31">
        <v>447880</v>
      </c>
      <c r="U31" t="s">
        <v>50</v>
      </c>
      <c r="V31">
        <v>2020</v>
      </c>
      <c r="W31">
        <v>1173</v>
      </c>
      <c r="X31" t="s">
        <v>163</v>
      </c>
      <c r="Y31">
        <v>30</v>
      </c>
      <c r="Z31">
        <v>31</v>
      </c>
      <c r="AA31">
        <v>63</v>
      </c>
      <c r="AB31">
        <v>64</v>
      </c>
      <c r="AC31" s="2" t="s">
        <v>49</v>
      </c>
      <c r="AD31">
        <v>749336</v>
      </c>
      <c r="AE31" t="s">
        <v>62</v>
      </c>
      <c r="AF31">
        <v>2020</v>
      </c>
      <c r="AG31">
        <v>1173</v>
      </c>
      <c r="AH31" t="s">
        <v>163</v>
      </c>
      <c r="AI31">
        <v>31</v>
      </c>
      <c r="AJ31">
        <v>31</v>
      </c>
      <c r="AK31">
        <v>63</v>
      </c>
      <c r="AL31">
        <v>63</v>
      </c>
      <c r="AM31" s="2" t="s">
        <v>49</v>
      </c>
      <c r="AN31">
        <v>448054</v>
      </c>
      <c r="AO31" t="s">
        <v>50</v>
      </c>
      <c r="AP31">
        <v>2020</v>
      </c>
      <c r="AQ31">
        <v>1173</v>
      </c>
      <c r="AR31" t="s">
        <v>163</v>
      </c>
      <c r="AS31">
        <v>30</v>
      </c>
      <c r="AT31">
        <v>30</v>
      </c>
      <c r="AU31">
        <v>63</v>
      </c>
      <c r="AV31">
        <v>61</v>
      </c>
      <c r="AW31" s="2" t="s">
        <v>49</v>
      </c>
      <c r="AX31">
        <v>447874</v>
      </c>
      <c r="AY31" t="s">
        <v>50</v>
      </c>
      <c r="AZ31">
        <v>2020</v>
      </c>
      <c r="BA31">
        <v>1173</v>
      </c>
      <c r="BB31" t="s">
        <v>163</v>
      </c>
      <c r="BC31">
        <v>30</v>
      </c>
      <c r="BD31">
        <v>30</v>
      </c>
      <c r="BE31">
        <v>62</v>
      </c>
      <c r="BF31">
        <v>62</v>
      </c>
      <c r="BG31" s="2" t="s">
        <v>49</v>
      </c>
      <c r="BH31">
        <v>27656</v>
      </c>
      <c r="BI31">
        <v>1275</v>
      </c>
      <c r="BJ31">
        <v>2020</v>
      </c>
      <c r="BM31" s="2" t="s">
        <v>49</v>
      </c>
      <c r="BN31">
        <v>27645</v>
      </c>
      <c r="BO31">
        <v>1275</v>
      </c>
      <c r="BP31">
        <v>2020</v>
      </c>
      <c r="BS31" s="2" t="s">
        <v>49</v>
      </c>
      <c r="BT31">
        <v>45699</v>
      </c>
      <c r="BU31">
        <v>1275</v>
      </c>
      <c r="BV31">
        <v>2020</v>
      </c>
      <c r="BY31" s="2" t="s">
        <v>49</v>
      </c>
      <c r="BZ31">
        <v>45957</v>
      </c>
      <c r="CA31">
        <v>1275</v>
      </c>
      <c r="CB31">
        <v>2020</v>
      </c>
      <c r="CE31" s="2" t="s">
        <v>49</v>
      </c>
      <c r="CF31">
        <v>46542</v>
      </c>
      <c r="CG31">
        <v>1275</v>
      </c>
      <c r="CH31">
        <v>2020</v>
      </c>
      <c r="CK31" s="2" t="s">
        <v>49</v>
      </c>
      <c r="CL31">
        <v>46234</v>
      </c>
      <c r="CM31">
        <v>1275</v>
      </c>
      <c r="CN31">
        <v>2020</v>
      </c>
    </row>
    <row r="32" spans="1:92" x14ac:dyDescent="0.25">
      <c r="A32">
        <v>75188292</v>
      </c>
      <c r="B32" s="3" t="s">
        <v>37</v>
      </c>
      <c r="C32" t="s">
        <v>144</v>
      </c>
      <c r="D32" t="s">
        <v>158</v>
      </c>
      <c r="E32">
        <v>2020</v>
      </c>
      <c r="F32" t="s">
        <v>159</v>
      </c>
      <c r="G32" t="s">
        <v>175</v>
      </c>
      <c r="H32" t="s">
        <v>148</v>
      </c>
      <c r="K32" t="s">
        <v>45</v>
      </c>
      <c r="L32" t="s">
        <v>176</v>
      </c>
      <c r="M32" t="s">
        <v>47</v>
      </c>
      <c r="N32">
        <v>160000</v>
      </c>
      <c r="O32">
        <v>27206</v>
      </c>
      <c r="P32">
        <v>132794</v>
      </c>
      <c r="Q32" t="s">
        <v>177</v>
      </c>
      <c r="R32" t="s">
        <v>175</v>
      </c>
      <c r="S32" s="2" t="s">
        <v>49</v>
      </c>
      <c r="T32">
        <v>749620</v>
      </c>
      <c r="U32" t="s">
        <v>62</v>
      </c>
      <c r="V32">
        <v>2020</v>
      </c>
      <c r="W32">
        <v>1173</v>
      </c>
      <c r="X32" t="s">
        <v>116</v>
      </c>
      <c r="Y32">
        <v>30</v>
      </c>
      <c r="Z32">
        <v>30</v>
      </c>
      <c r="AA32">
        <v>59</v>
      </c>
      <c r="AB32">
        <v>61</v>
      </c>
      <c r="AC32" s="2" t="s">
        <v>49</v>
      </c>
      <c r="AD32">
        <v>12219</v>
      </c>
      <c r="AE32">
        <v>2002</v>
      </c>
      <c r="AF32">
        <v>2020</v>
      </c>
      <c r="AG32">
        <v>1173</v>
      </c>
      <c r="AH32" t="s">
        <v>116</v>
      </c>
      <c r="AI32">
        <v>30</v>
      </c>
      <c r="AJ32">
        <v>30</v>
      </c>
      <c r="AK32">
        <v>62</v>
      </c>
      <c r="AL32">
        <v>60</v>
      </c>
      <c r="AM32" s="2" t="s">
        <v>49</v>
      </c>
      <c r="AN32">
        <v>749442</v>
      </c>
      <c r="AO32" t="s">
        <v>62</v>
      </c>
      <c r="AP32">
        <v>2020</v>
      </c>
      <c r="AQ32">
        <v>1173</v>
      </c>
      <c r="AR32" t="s">
        <v>116</v>
      </c>
      <c r="AS32">
        <v>30</v>
      </c>
      <c r="AT32">
        <v>30</v>
      </c>
      <c r="AU32">
        <v>61</v>
      </c>
      <c r="AV32">
        <v>59</v>
      </c>
      <c r="AW32" s="2" t="s">
        <v>49</v>
      </c>
      <c r="AX32">
        <v>751928</v>
      </c>
      <c r="AY32" t="s">
        <v>62</v>
      </c>
      <c r="AZ32">
        <v>2020</v>
      </c>
      <c r="BA32">
        <v>1173</v>
      </c>
      <c r="BB32" t="s">
        <v>116</v>
      </c>
      <c r="BC32">
        <v>30</v>
      </c>
      <c r="BD32">
        <v>30</v>
      </c>
      <c r="BE32">
        <v>61</v>
      </c>
      <c r="BF32">
        <v>63</v>
      </c>
      <c r="BG32" s="2" t="s">
        <v>49</v>
      </c>
      <c r="BH32">
        <v>27727</v>
      </c>
      <c r="BI32">
        <v>1275</v>
      </c>
      <c r="BJ32">
        <v>2020</v>
      </c>
      <c r="BM32" s="2" t="s">
        <v>49</v>
      </c>
      <c r="BN32">
        <v>27753</v>
      </c>
      <c r="BO32">
        <v>1275</v>
      </c>
      <c r="BP32">
        <v>2020</v>
      </c>
      <c r="BS32" s="2" t="s">
        <v>49</v>
      </c>
      <c r="BT32">
        <v>46593</v>
      </c>
      <c r="BU32">
        <v>1275</v>
      </c>
      <c r="BV32">
        <v>2020</v>
      </c>
      <c r="BY32" s="2" t="s">
        <v>49</v>
      </c>
      <c r="BZ32">
        <v>46587</v>
      </c>
      <c r="CA32">
        <v>1275</v>
      </c>
      <c r="CB32">
        <v>2020</v>
      </c>
      <c r="CE32" s="2" t="s">
        <v>49</v>
      </c>
      <c r="CF32">
        <v>44783</v>
      </c>
      <c r="CG32">
        <v>1275</v>
      </c>
      <c r="CH32">
        <v>2020</v>
      </c>
      <c r="CK32" s="2" t="s">
        <v>49</v>
      </c>
      <c r="CL32">
        <v>45764</v>
      </c>
      <c r="CM32">
        <v>1275</v>
      </c>
      <c r="CN32">
        <v>2020</v>
      </c>
    </row>
    <row r="33" spans="1:92" x14ac:dyDescent="0.25">
      <c r="A33">
        <v>75188599</v>
      </c>
      <c r="B33" s="3" t="s">
        <v>37</v>
      </c>
      <c r="C33" t="s">
        <v>144</v>
      </c>
      <c r="D33" t="s">
        <v>158</v>
      </c>
      <c r="E33">
        <v>2020</v>
      </c>
      <c r="F33" t="s">
        <v>159</v>
      </c>
      <c r="G33" t="s">
        <v>178</v>
      </c>
      <c r="H33" t="s">
        <v>148</v>
      </c>
      <c r="K33" t="s">
        <v>45</v>
      </c>
      <c r="L33" t="s">
        <v>179</v>
      </c>
      <c r="M33" t="s">
        <v>47</v>
      </c>
      <c r="N33">
        <v>160000</v>
      </c>
      <c r="O33">
        <v>33128</v>
      </c>
      <c r="P33">
        <v>126872</v>
      </c>
      <c r="Q33" t="s">
        <v>180</v>
      </c>
      <c r="R33" t="s">
        <v>178</v>
      </c>
      <c r="S33" s="2" t="s">
        <v>49</v>
      </c>
      <c r="T33">
        <v>9849</v>
      </c>
      <c r="U33">
        <v>2002</v>
      </c>
      <c r="V33">
        <v>2020</v>
      </c>
      <c r="W33">
        <v>1173</v>
      </c>
      <c r="X33" t="s">
        <v>116</v>
      </c>
      <c r="Y33">
        <v>30</v>
      </c>
      <c r="Z33">
        <v>31</v>
      </c>
      <c r="AA33">
        <v>63</v>
      </c>
      <c r="AB33">
        <v>64</v>
      </c>
      <c r="AC33" s="2" t="s">
        <v>49</v>
      </c>
      <c r="AD33">
        <v>751713</v>
      </c>
      <c r="AE33" t="s">
        <v>62</v>
      </c>
      <c r="AF33">
        <v>2020</v>
      </c>
      <c r="AG33">
        <v>1173</v>
      </c>
      <c r="AH33" t="s">
        <v>116</v>
      </c>
      <c r="AI33">
        <v>30</v>
      </c>
      <c r="AJ33">
        <v>31</v>
      </c>
      <c r="AK33">
        <v>62</v>
      </c>
      <c r="AL33">
        <v>63</v>
      </c>
      <c r="AM33" s="2" t="s">
        <v>49</v>
      </c>
      <c r="AN33">
        <v>749420</v>
      </c>
      <c r="AO33" t="s">
        <v>62</v>
      </c>
      <c r="AP33">
        <v>2020</v>
      </c>
      <c r="AQ33">
        <v>1173</v>
      </c>
      <c r="AR33" t="s">
        <v>116</v>
      </c>
      <c r="AS33">
        <v>31</v>
      </c>
      <c r="AT33">
        <v>30</v>
      </c>
      <c r="AU33">
        <v>63</v>
      </c>
      <c r="AV33">
        <v>64</v>
      </c>
      <c r="AW33" s="2" t="s">
        <v>49</v>
      </c>
      <c r="AX33">
        <v>749361</v>
      </c>
      <c r="AY33" t="s">
        <v>62</v>
      </c>
      <c r="AZ33">
        <v>2020</v>
      </c>
      <c r="BA33">
        <v>1173</v>
      </c>
      <c r="BB33" t="s">
        <v>116</v>
      </c>
      <c r="BC33">
        <v>31</v>
      </c>
      <c r="BD33">
        <v>30</v>
      </c>
      <c r="BE33">
        <v>61</v>
      </c>
      <c r="BF33">
        <v>61</v>
      </c>
      <c r="BG33" s="2" t="s">
        <v>49</v>
      </c>
      <c r="BH33">
        <v>23094</v>
      </c>
      <c r="BI33">
        <v>1275</v>
      </c>
      <c r="BJ33">
        <v>2020</v>
      </c>
      <c r="BM33" s="2" t="s">
        <v>49</v>
      </c>
      <c r="BN33">
        <v>23233</v>
      </c>
      <c r="BO33">
        <v>1275</v>
      </c>
      <c r="BP33">
        <v>2020</v>
      </c>
      <c r="BS33" s="2" t="s">
        <v>49</v>
      </c>
      <c r="BT33">
        <v>46846</v>
      </c>
      <c r="BU33">
        <v>1275</v>
      </c>
      <c r="BV33">
        <v>2020</v>
      </c>
      <c r="BY33" s="2" t="s">
        <v>49</v>
      </c>
      <c r="BZ33">
        <v>46809</v>
      </c>
      <c r="CA33">
        <v>1275</v>
      </c>
      <c r="CB33">
        <v>2020</v>
      </c>
      <c r="CE33" s="2" t="s">
        <v>49</v>
      </c>
      <c r="CF33">
        <v>46823</v>
      </c>
      <c r="CG33">
        <v>1275</v>
      </c>
      <c r="CH33">
        <v>2020</v>
      </c>
      <c r="CK33" s="2" t="s">
        <v>49</v>
      </c>
      <c r="CL33">
        <v>46521</v>
      </c>
      <c r="CM33">
        <v>1275</v>
      </c>
      <c r="CN33">
        <v>2020</v>
      </c>
    </row>
    <row r="34" spans="1:92" x14ac:dyDescent="0.25">
      <c r="A34">
        <v>75188797</v>
      </c>
      <c r="B34" s="3" t="s">
        <v>37</v>
      </c>
      <c r="C34" t="s">
        <v>144</v>
      </c>
      <c r="D34" t="s">
        <v>158</v>
      </c>
      <c r="E34">
        <v>2020</v>
      </c>
      <c r="F34" t="s">
        <v>159</v>
      </c>
      <c r="G34" t="s">
        <v>181</v>
      </c>
      <c r="H34" t="s">
        <v>42</v>
      </c>
      <c r="K34" t="s">
        <v>45</v>
      </c>
      <c r="L34" t="s">
        <v>182</v>
      </c>
      <c r="M34" t="s">
        <v>47</v>
      </c>
      <c r="N34">
        <v>160000</v>
      </c>
      <c r="O34">
        <v>18972</v>
      </c>
      <c r="P34">
        <v>141028</v>
      </c>
      <c r="Q34" t="s">
        <v>183</v>
      </c>
      <c r="R34" t="s">
        <v>181</v>
      </c>
      <c r="S34" s="2" t="s">
        <v>49</v>
      </c>
      <c r="T34">
        <v>749444</v>
      </c>
      <c r="U34" t="s">
        <v>62</v>
      </c>
      <c r="V34">
        <v>2020</v>
      </c>
      <c r="W34">
        <v>301</v>
      </c>
      <c r="X34" t="s">
        <v>170</v>
      </c>
      <c r="Y34">
        <v>31</v>
      </c>
      <c r="Z34">
        <v>31</v>
      </c>
      <c r="AA34">
        <v>57</v>
      </c>
      <c r="AB34">
        <v>57</v>
      </c>
      <c r="AC34" s="2" t="s">
        <v>49</v>
      </c>
      <c r="AD34">
        <v>748962</v>
      </c>
      <c r="AE34" t="s">
        <v>62</v>
      </c>
      <c r="AF34">
        <v>2020</v>
      </c>
      <c r="AG34">
        <v>301</v>
      </c>
      <c r="AH34" t="s">
        <v>170</v>
      </c>
      <c r="AI34">
        <v>31</v>
      </c>
      <c r="AJ34">
        <v>31</v>
      </c>
      <c r="AK34">
        <v>55</v>
      </c>
      <c r="AL34">
        <v>55</v>
      </c>
      <c r="AM34" s="2" t="s">
        <v>49</v>
      </c>
      <c r="AN34">
        <v>445133</v>
      </c>
      <c r="AO34" t="s">
        <v>50</v>
      </c>
      <c r="AP34">
        <v>2020</v>
      </c>
      <c r="AQ34">
        <v>301</v>
      </c>
      <c r="AR34" t="s">
        <v>170</v>
      </c>
      <c r="AS34">
        <v>30</v>
      </c>
      <c r="AT34">
        <v>30</v>
      </c>
      <c r="AU34">
        <v>58</v>
      </c>
      <c r="AV34">
        <v>58</v>
      </c>
      <c r="AW34" s="2" t="s">
        <v>49</v>
      </c>
      <c r="AX34">
        <v>748715</v>
      </c>
      <c r="AY34" t="s">
        <v>62</v>
      </c>
      <c r="AZ34">
        <v>2020</v>
      </c>
      <c r="BA34">
        <v>301</v>
      </c>
      <c r="BB34" t="s">
        <v>170</v>
      </c>
      <c r="BC34">
        <v>31</v>
      </c>
      <c r="BD34">
        <v>31</v>
      </c>
      <c r="BE34">
        <v>61</v>
      </c>
      <c r="BF34">
        <v>61</v>
      </c>
      <c r="BG34" s="2" t="s">
        <v>49</v>
      </c>
      <c r="BH34">
        <v>27666</v>
      </c>
      <c r="BI34">
        <v>1275</v>
      </c>
      <c r="BJ34">
        <v>2020</v>
      </c>
      <c r="BM34" s="2" t="s">
        <v>49</v>
      </c>
      <c r="BN34">
        <v>27662</v>
      </c>
      <c r="BO34">
        <v>1275</v>
      </c>
      <c r="BP34">
        <v>2020</v>
      </c>
      <c r="BS34" s="2" t="s">
        <v>49</v>
      </c>
      <c r="BT34">
        <v>45856</v>
      </c>
      <c r="BU34">
        <v>1275</v>
      </c>
      <c r="BV34">
        <v>2020</v>
      </c>
      <c r="BY34" s="2" t="s">
        <v>49</v>
      </c>
      <c r="BZ34">
        <v>45679</v>
      </c>
      <c r="CA34">
        <v>1275</v>
      </c>
      <c r="CB34">
        <v>2020</v>
      </c>
      <c r="CE34" s="2" t="s">
        <v>49</v>
      </c>
      <c r="CF34">
        <v>45971</v>
      </c>
      <c r="CG34">
        <v>1275</v>
      </c>
      <c r="CH34">
        <v>2020</v>
      </c>
      <c r="CK34" s="2" t="s">
        <v>49</v>
      </c>
      <c r="CL34">
        <v>45819</v>
      </c>
      <c r="CM34">
        <v>1275</v>
      </c>
      <c r="CN34">
        <v>2020</v>
      </c>
    </row>
    <row r="35" spans="1:92" x14ac:dyDescent="0.25">
      <c r="A35">
        <v>75188995</v>
      </c>
      <c r="B35" s="3" t="s">
        <v>37</v>
      </c>
      <c r="C35" t="s">
        <v>144</v>
      </c>
      <c r="D35" t="s">
        <v>158</v>
      </c>
      <c r="E35">
        <v>2020</v>
      </c>
      <c r="F35" t="s">
        <v>159</v>
      </c>
      <c r="G35" t="s">
        <v>184</v>
      </c>
      <c r="H35" t="s">
        <v>148</v>
      </c>
      <c r="K35" t="s">
        <v>45</v>
      </c>
      <c r="L35" t="s">
        <v>185</v>
      </c>
      <c r="M35" t="s">
        <v>47</v>
      </c>
      <c r="N35">
        <v>160000</v>
      </c>
      <c r="O35">
        <v>25200</v>
      </c>
      <c r="P35">
        <v>134800</v>
      </c>
      <c r="Q35" t="s">
        <v>186</v>
      </c>
      <c r="R35" t="s">
        <v>184</v>
      </c>
      <c r="S35" s="2" t="s">
        <v>49</v>
      </c>
      <c r="T35">
        <v>749353</v>
      </c>
      <c r="U35" t="s">
        <v>62</v>
      </c>
      <c r="V35">
        <v>2020</v>
      </c>
      <c r="W35">
        <v>1173</v>
      </c>
      <c r="X35" t="s">
        <v>151</v>
      </c>
      <c r="Y35">
        <v>29</v>
      </c>
      <c r="Z35">
        <v>30</v>
      </c>
      <c r="AA35">
        <v>63</v>
      </c>
      <c r="AB35">
        <v>64</v>
      </c>
      <c r="AC35" s="2" t="s">
        <v>49</v>
      </c>
      <c r="AD35">
        <v>748973</v>
      </c>
      <c r="AE35" t="s">
        <v>62</v>
      </c>
      <c r="AF35">
        <v>2020</v>
      </c>
      <c r="AG35">
        <v>1173</v>
      </c>
      <c r="AH35" t="s">
        <v>151</v>
      </c>
      <c r="AI35">
        <v>30</v>
      </c>
      <c r="AJ35">
        <v>30</v>
      </c>
      <c r="AK35">
        <v>60</v>
      </c>
      <c r="AL35">
        <v>60</v>
      </c>
      <c r="AM35" s="2" t="s">
        <v>49</v>
      </c>
      <c r="AN35">
        <v>749282</v>
      </c>
      <c r="AO35" t="s">
        <v>62</v>
      </c>
      <c r="AP35">
        <v>2020</v>
      </c>
      <c r="AQ35">
        <v>1173</v>
      </c>
      <c r="AR35" t="s">
        <v>151</v>
      </c>
      <c r="AS35">
        <v>30</v>
      </c>
      <c r="AT35">
        <v>30</v>
      </c>
      <c r="AU35">
        <v>65</v>
      </c>
      <c r="AV35">
        <v>67</v>
      </c>
      <c r="AW35" s="2" t="s">
        <v>49</v>
      </c>
      <c r="AX35">
        <v>749194</v>
      </c>
      <c r="AY35" t="s">
        <v>62</v>
      </c>
      <c r="AZ35">
        <v>2020</v>
      </c>
      <c r="BA35">
        <v>1173</v>
      </c>
      <c r="BB35" t="s">
        <v>151</v>
      </c>
      <c r="BC35">
        <v>30</v>
      </c>
      <c r="BD35">
        <v>30</v>
      </c>
      <c r="BE35">
        <v>60</v>
      </c>
      <c r="BF35">
        <v>60</v>
      </c>
      <c r="BG35" s="2" t="s">
        <v>49</v>
      </c>
      <c r="BH35">
        <v>27405</v>
      </c>
      <c r="BI35">
        <v>1275</v>
      </c>
      <c r="BJ35">
        <v>2020</v>
      </c>
      <c r="BM35" s="2" t="s">
        <v>49</v>
      </c>
      <c r="BN35">
        <v>27580</v>
      </c>
      <c r="BO35">
        <v>1275</v>
      </c>
      <c r="BP35">
        <v>2020</v>
      </c>
      <c r="BS35" s="2" t="s">
        <v>49</v>
      </c>
      <c r="BT35">
        <v>45906</v>
      </c>
      <c r="BU35">
        <v>1275</v>
      </c>
      <c r="BV35">
        <v>2020</v>
      </c>
      <c r="BY35" s="2" t="s">
        <v>49</v>
      </c>
      <c r="BZ35">
        <v>46466</v>
      </c>
      <c r="CA35">
        <v>1275</v>
      </c>
      <c r="CB35">
        <v>2020</v>
      </c>
      <c r="CE35" s="2" t="s">
        <v>49</v>
      </c>
      <c r="CF35">
        <v>46415</v>
      </c>
      <c r="CG35">
        <v>1275</v>
      </c>
      <c r="CH35">
        <v>2020</v>
      </c>
      <c r="CK35" s="2" t="s">
        <v>49</v>
      </c>
      <c r="CL35">
        <v>46290</v>
      </c>
      <c r="CM35">
        <v>1275</v>
      </c>
      <c r="CN35">
        <v>2020</v>
      </c>
    </row>
    <row r="36" spans="1:92" x14ac:dyDescent="0.25">
      <c r="A36">
        <v>75183293</v>
      </c>
      <c r="B36" s="3" t="s">
        <v>37</v>
      </c>
      <c r="C36" t="s">
        <v>144</v>
      </c>
      <c r="D36" t="s">
        <v>145</v>
      </c>
      <c r="E36">
        <v>2020</v>
      </c>
      <c r="F36" t="s">
        <v>146</v>
      </c>
      <c r="G36" t="s">
        <v>187</v>
      </c>
      <c r="H36" t="s">
        <v>148</v>
      </c>
      <c r="K36" t="s">
        <v>45</v>
      </c>
      <c r="L36" t="s">
        <v>188</v>
      </c>
      <c r="M36" t="s">
        <v>47</v>
      </c>
      <c r="N36">
        <v>160000</v>
      </c>
      <c r="O36">
        <v>17120</v>
      </c>
      <c r="P36">
        <v>142880</v>
      </c>
      <c r="Q36" t="s">
        <v>189</v>
      </c>
      <c r="R36" t="s">
        <v>187</v>
      </c>
      <c r="S36" s="2" t="s">
        <v>49</v>
      </c>
      <c r="T36">
        <v>751278</v>
      </c>
      <c r="U36" t="s">
        <v>62</v>
      </c>
      <c r="V36">
        <v>2020</v>
      </c>
      <c r="W36">
        <v>1173</v>
      </c>
      <c r="X36" t="s">
        <v>190</v>
      </c>
      <c r="Y36">
        <v>30</v>
      </c>
      <c r="Z36">
        <v>30</v>
      </c>
      <c r="AA36">
        <v>57</v>
      </c>
      <c r="AB36">
        <v>58</v>
      </c>
      <c r="AC36" s="2" t="s">
        <v>49</v>
      </c>
      <c r="AD36">
        <v>742771</v>
      </c>
      <c r="AE36" t="s">
        <v>62</v>
      </c>
      <c r="AF36">
        <v>2020</v>
      </c>
      <c r="AG36">
        <v>1173</v>
      </c>
      <c r="AH36" t="s">
        <v>190</v>
      </c>
      <c r="AI36">
        <v>29</v>
      </c>
      <c r="AJ36">
        <v>29</v>
      </c>
      <c r="AK36">
        <v>54</v>
      </c>
      <c r="AL36">
        <v>55</v>
      </c>
      <c r="AM36" s="2" t="s">
        <v>49</v>
      </c>
      <c r="AN36">
        <v>12260</v>
      </c>
      <c r="AO36">
        <v>2002</v>
      </c>
      <c r="AP36">
        <v>2020</v>
      </c>
      <c r="AQ36">
        <v>1173</v>
      </c>
      <c r="AR36" t="s">
        <v>190</v>
      </c>
      <c r="AS36">
        <v>30</v>
      </c>
      <c r="AT36">
        <v>29</v>
      </c>
      <c r="AU36">
        <v>59</v>
      </c>
      <c r="AV36">
        <v>60</v>
      </c>
      <c r="AW36" s="2" t="s">
        <v>49</v>
      </c>
      <c r="AX36">
        <v>447596</v>
      </c>
      <c r="AY36" t="s">
        <v>50</v>
      </c>
      <c r="AZ36">
        <v>2020</v>
      </c>
      <c r="BA36">
        <v>1173</v>
      </c>
      <c r="BB36" t="s">
        <v>190</v>
      </c>
      <c r="BC36">
        <v>30</v>
      </c>
      <c r="BD36">
        <v>29</v>
      </c>
      <c r="BE36">
        <v>64</v>
      </c>
      <c r="BF36">
        <v>64</v>
      </c>
      <c r="BG36" s="2" t="s">
        <v>49</v>
      </c>
      <c r="BH36">
        <v>27347</v>
      </c>
      <c r="BI36">
        <v>1275</v>
      </c>
      <c r="BJ36">
        <v>2020</v>
      </c>
      <c r="BM36" s="2" t="s">
        <v>49</v>
      </c>
      <c r="BN36">
        <v>27188</v>
      </c>
      <c r="BO36">
        <v>1275</v>
      </c>
      <c r="BP36">
        <v>2020</v>
      </c>
      <c r="BS36" s="2" t="s">
        <v>49</v>
      </c>
      <c r="BT36">
        <v>45670</v>
      </c>
      <c r="BU36">
        <v>1275</v>
      </c>
      <c r="BV36">
        <v>2020</v>
      </c>
      <c r="BY36" s="2" t="s">
        <v>49</v>
      </c>
      <c r="BZ36">
        <v>45653</v>
      </c>
      <c r="CA36">
        <v>1275</v>
      </c>
      <c r="CB36">
        <v>2020</v>
      </c>
      <c r="CE36" s="2" t="s">
        <v>49</v>
      </c>
      <c r="CF36">
        <v>45557</v>
      </c>
      <c r="CG36">
        <v>1275</v>
      </c>
      <c r="CH36">
        <v>2020</v>
      </c>
      <c r="CK36" s="2" t="s">
        <v>49</v>
      </c>
      <c r="CL36">
        <v>45619</v>
      </c>
      <c r="CM36">
        <v>1275</v>
      </c>
      <c r="CN36">
        <v>2020</v>
      </c>
    </row>
    <row r="37" spans="1:92" x14ac:dyDescent="0.25">
      <c r="A37">
        <v>75176891</v>
      </c>
      <c r="B37" s="3" t="s">
        <v>37</v>
      </c>
      <c r="C37" t="s">
        <v>144</v>
      </c>
      <c r="D37" t="s">
        <v>191</v>
      </c>
      <c r="E37">
        <v>2020</v>
      </c>
      <c r="F37" t="s">
        <v>192</v>
      </c>
      <c r="G37" t="s">
        <v>193</v>
      </c>
      <c r="H37" t="s">
        <v>148</v>
      </c>
      <c r="K37" t="s">
        <v>45</v>
      </c>
      <c r="L37" t="s">
        <v>194</v>
      </c>
      <c r="M37" t="s">
        <v>47</v>
      </c>
      <c r="N37">
        <v>160000</v>
      </c>
      <c r="O37">
        <v>22364</v>
      </c>
      <c r="P37">
        <v>137636</v>
      </c>
      <c r="Q37" t="s">
        <v>195</v>
      </c>
      <c r="R37" t="s">
        <v>193</v>
      </c>
      <c r="S37" s="2" t="s">
        <v>49</v>
      </c>
      <c r="T37">
        <v>742452</v>
      </c>
      <c r="U37" t="s">
        <v>62</v>
      </c>
      <c r="V37">
        <v>2020</v>
      </c>
      <c r="W37">
        <v>1173</v>
      </c>
      <c r="X37" t="s">
        <v>170</v>
      </c>
      <c r="Y37">
        <v>30</v>
      </c>
      <c r="Z37">
        <v>30</v>
      </c>
      <c r="AA37">
        <v>56</v>
      </c>
      <c r="AB37">
        <v>55</v>
      </c>
      <c r="AC37" s="2" t="s">
        <v>49</v>
      </c>
      <c r="AD37">
        <v>751460</v>
      </c>
      <c r="AE37" t="s">
        <v>62</v>
      </c>
      <c r="AF37">
        <v>2020</v>
      </c>
      <c r="AG37">
        <v>1173</v>
      </c>
      <c r="AH37" t="s">
        <v>170</v>
      </c>
      <c r="AI37">
        <v>29</v>
      </c>
      <c r="AJ37">
        <v>29</v>
      </c>
      <c r="AK37">
        <v>49</v>
      </c>
      <c r="AL37">
        <v>47</v>
      </c>
      <c r="AM37" s="2" t="s">
        <v>49</v>
      </c>
      <c r="AN37">
        <v>742779</v>
      </c>
      <c r="AO37" t="s">
        <v>62</v>
      </c>
      <c r="AP37">
        <v>2020</v>
      </c>
      <c r="AQ37">
        <v>1173</v>
      </c>
      <c r="AR37" t="s">
        <v>170</v>
      </c>
      <c r="AS37">
        <v>31</v>
      </c>
      <c r="AT37">
        <v>29</v>
      </c>
      <c r="AU37">
        <v>57</v>
      </c>
      <c r="AV37">
        <v>56</v>
      </c>
      <c r="AW37" s="2" t="s">
        <v>49</v>
      </c>
      <c r="AX37">
        <v>751528</v>
      </c>
      <c r="AY37" t="s">
        <v>62</v>
      </c>
      <c r="AZ37">
        <v>2020</v>
      </c>
      <c r="BA37">
        <v>1173</v>
      </c>
      <c r="BB37" t="s">
        <v>170</v>
      </c>
      <c r="BC37">
        <v>30</v>
      </c>
      <c r="BD37">
        <v>30</v>
      </c>
      <c r="BE37">
        <v>56</v>
      </c>
      <c r="BF37">
        <v>57</v>
      </c>
      <c r="BG37" s="2" t="s">
        <v>49</v>
      </c>
      <c r="BH37">
        <v>27175</v>
      </c>
      <c r="BI37">
        <v>1275</v>
      </c>
      <c r="BJ37">
        <v>2020</v>
      </c>
      <c r="BM37" s="2" t="s">
        <v>49</v>
      </c>
      <c r="BN37">
        <v>27187</v>
      </c>
      <c r="BO37">
        <v>1275</v>
      </c>
      <c r="BP37">
        <v>2020</v>
      </c>
      <c r="BS37" s="2" t="s">
        <v>49</v>
      </c>
      <c r="BT37">
        <v>45138</v>
      </c>
      <c r="BU37">
        <v>1275</v>
      </c>
      <c r="BV37">
        <v>2020</v>
      </c>
      <c r="BY37" s="2" t="s">
        <v>49</v>
      </c>
      <c r="BZ37">
        <v>45271</v>
      </c>
      <c r="CA37">
        <v>1275</v>
      </c>
      <c r="CB37">
        <v>2020</v>
      </c>
      <c r="CE37" s="2" t="s">
        <v>49</v>
      </c>
      <c r="CF37">
        <v>45205</v>
      </c>
      <c r="CG37">
        <v>1275</v>
      </c>
      <c r="CH37">
        <v>2020</v>
      </c>
      <c r="CK37" s="2" t="s">
        <v>49</v>
      </c>
      <c r="CL37">
        <v>45137</v>
      </c>
      <c r="CM37">
        <v>1275</v>
      </c>
      <c r="CN37">
        <v>2020</v>
      </c>
    </row>
    <row r="38" spans="1:92" x14ac:dyDescent="0.25">
      <c r="A38">
        <v>75176990</v>
      </c>
      <c r="B38" s="3" t="s">
        <v>37</v>
      </c>
      <c r="C38" t="s">
        <v>144</v>
      </c>
      <c r="D38" t="s">
        <v>191</v>
      </c>
      <c r="E38">
        <v>2020</v>
      </c>
      <c r="F38" t="s">
        <v>192</v>
      </c>
      <c r="G38" t="s">
        <v>178</v>
      </c>
      <c r="H38" t="s">
        <v>148</v>
      </c>
      <c r="K38" t="s">
        <v>45</v>
      </c>
      <c r="L38" t="s">
        <v>179</v>
      </c>
      <c r="M38" t="s">
        <v>47</v>
      </c>
      <c r="N38">
        <v>160000</v>
      </c>
      <c r="O38">
        <v>26672</v>
      </c>
      <c r="P38">
        <v>133328</v>
      </c>
      <c r="Q38" t="s">
        <v>196</v>
      </c>
      <c r="R38" t="s">
        <v>178</v>
      </c>
      <c r="S38" s="2" t="s">
        <v>49</v>
      </c>
      <c r="T38">
        <v>742426</v>
      </c>
      <c r="U38" t="s">
        <v>62</v>
      </c>
      <c r="V38">
        <v>2020</v>
      </c>
      <c r="W38">
        <v>1173</v>
      </c>
      <c r="X38" t="s">
        <v>116</v>
      </c>
      <c r="Y38">
        <v>30</v>
      </c>
      <c r="Z38">
        <v>30</v>
      </c>
      <c r="AA38">
        <v>57</v>
      </c>
      <c r="AB38">
        <v>59</v>
      </c>
      <c r="AC38" s="2" t="s">
        <v>49</v>
      </c>
      <c r="AD38">
        <v>751754</v>
      </c>
      <c r="AE38" t="s">
        <v>62</v>
      </c>
      <c r="AF38">
        <v>2020</v>
      </c>
      <c r="AG38">
        <v>1173</v>
      </c>
      <c r="AH38" t="s">
        <v>116</v>
      </c>
      <c r="AI38">
        <v>30</v>
      </c>
      <c r="AJ38">
        <v>30</v>
      </c>
      <c r="AK38">
        <v>56</v>
      </c>
      <c r="AL38">
        <v>56</v>
      </c>
      <c r="AM38" s="2" t="s">
        <v>49</v>
      </c>
      <c r="AN38">
        <v>744464</v>
      </c>
      <c r="AO38" t="s">
        <v>62</v>
      </c>
      <c r="AP38">
        <v>2020</v>
      </c>
      <c r="AQ38">
        <v>1173</v>
      </c>
      <c r="AR38" t="s">
        <v>116</v>
      </c>
      <c r="AS38">
        <v>30</v>
      </c>
      <c r="AT38">
        <v>30</v>
      </c>
      <c r="AU38">
        <v>56</v>
      </c>
      <c r="AV38">
        <v>58</v>
      </c>
      <c r="AW38" s="2" t="s">
        <v>49</v>
      </c>
      <c r="AX38">
        <v>744583</v>
      </c>
      <c r="AY38" t="s">
        <v>62</v>
      </c>
      <c r="AZ38">
        <v>2020</v>
      </c>
      <c r="BA38">
        <v>1173</v>
      </c>
      <c r="BB38" t="s">
        <v>116</v>
      </c>
      <c r="BC38">
        <v>30</v>
      </c>
      <c r="BD38">
        <v>30</v>
      </c>
      <c r="BE38">
        <v>52</v>
      </c>
      <c r="BF38">
        <v>54</v>
      </c>
      <c r="BG38" s="2" t="s">
        <v>49</v>
      </c>
      <c r="BH38">
        <v>26695</v>
      </c>
      <c r="BI38">
        <v>1275</v>
      </c>
      <c r="BJ38">
        <v>2020</v>
      </c>
      <c r="BM38" s="2" t="s">
        <v>49</v>
      </c>
      <c r="BN38">
        <v>26351</v>
      </c>
      <c r="BO38">
        <v>1275</v>
      </c>
      <c r="BP38">
        <v>2020</v>
      </c>
      <c r="BS38" s="2" t="s">
        <v>49</v>
      </c>
      <c r="BT38">
        <v>44801</v>
      </c>
      <c r="BU38">
        <v>1275</v>
      </c>
      <c r="BV38">
        <v>2020</v>
      </c>
      <c r="BY38" s="2" t="s">
        <v>49</v>
      </c>
      <c r="BZ38">
        <v>45001</v>
      </c>
      <c r="CA38">
        <v>1275</v>
      </c>
      <c r="CB38">
        <v>2020</v>
      </c>
      <c r="CE38" s="2" t="s">
        <v>49</v>
      </c>
      <c r="CF38">
        <v>44499</v>
      </c>
      <c r="CG38">
        <v>1275</v>
      </c>
      <c r="CH38">
        <v>2020</v>
      </c>
      <c r="CK38" s="2" t="s">
        <v>49</v>
      </c>
      <c r="CL38">
        <v>45014</v>
      </c>
      <c r="CM38">
        <v>1275</v>
      </c>
      <c r="CN38">
        <v>2020</v>
      </c>
    </row>
    <row r="39" spans="1:92" x14ac:dyDescent="0.25">
      <c r="A39">
        <v>75182998</v>
      </c>
      <c r="B39" s="3" t="s">
        <v>37</v>
      </c>
      <c r="C39" t="s">
        <v>144</v>
      </c>
      <c r="D39" t="s">
        <v>145</v>
      </c>
      <c r="E39">
        <v>2020</v>
      </c>
      <c r="F39" t="s">
        <v>146</v>
      </c>
      <c r="G39" t="s">
        <v>197</v>
      </c>
      <c r="H39" t="s">
        <v>148</v>
      </c>
      <c r="K39" t="s">
        <v>45</v>
      </c>
      <c r="L39" t="s">
        <v>198</v>
      </c>
      <c r="M39" t="s">
        <v>47</v>
      </c>
      <c r="N39">
        <v>160000</v>
      </c>
      <c r="O39">
        <v>25637</v>
      </c>
      <c r="P39">
        <v>134363</v>
      </c>
      <c r="Q39" t="s">
        <v>199</v>
      </c>
      <c r="R39" t="s">
        <v>197</v>
      </c>
      <c r="S39" s="2" t="s">
        <v>49</v>
      </c>
      <c r="T39">
        <v>752092</v>
      </c>
      <c r="U39" t="s">
        <v>62</v>
      </c>
      <c r="V39">
        <v>2020</v>
      </c>
      <c r="W39">
        <v>1173</v>
      </c>
      <c r="X39" t="s">
        <v>151</v>
      </c>
      <c r="Y39">
        <v>29</v>
      </c>
      <c r="Z39">
        <v>30</v>
      </c>
      <c r="AA39">
        <v>60</v>
      </c>
      <c r="AB39">
        <v>59</v>
      </c>
      <c r="AC39" s="2" t="s">
        <v>49</v>
      </c>
      <c r="AD39">
        <v>751519</v>
      </c>
      <c r="AE39" t="s">
        <v>62</v>
      </c>
      <c r="AF39">
        <v>2020</v>
      </c>
      <c r="AG39">
        <v>1173</v>
      </c>
      <c r="AH39" t="s">
        <v>151</v>
      </c>
      <c r="AI39">
        <v>30</v>
      </c>
      <c r="AJ39">
        <v>29</v>
      </c>
      <c r="AK39">
        <v>61</v>
      </c>
      <c r="AL39">
        <v>62</v>
      </c>
      <c r="AM39" s="2" t="s">
        <v>49</v>
      </c>
      <c r="AN39">
        <v>448311</v>
      </c>
      <c r="AO39" t="s">
        <v>50</v>
      </c>
      <c r="AP39">
        <v>2020</v>
      </c>
      <c r="AQ39">
        <v>1173</v>
      </c>
      <c r="AR39" t="s">
        <v>151</v>
      </c>
      <c r="AS39">
        <v>29</v>
      </c>
      <c r="AT39">
        <v>29</v>
      </c>
      <c r="AU39">
        <v>53</v>
      </c>
      <c r="AV39">
        <v>51</v>
      </c>
      <c r="AW39" s="2" t="s">
        <v>49</v>
      </c>
      <c r="AX39">
        <v>448225</v>
      </c>
      <c r="AY39" t="s">
        <v>50</v>
      </c>
      <c r="AZ39">
        <v>2020</v>
      </c>
      <c r="BA39">
        <v>1173</v>
      </c>
      <c r="BB39" t="s">
        <v>151</v>
      </c>
      <c r="BC39">
        <v>29</v>
      </c>
      <c r="BD39">
        <v>29</v>
      </c>
      <c r="BE39">
        <v>58</v>
      </c>
      <c r="BF39">
        <v>60</v>
      </c>
      <c r="BG39" s="2" t="s">
        <v>49</v>
      </c>
      <c r="BH39">
        <v>27322</v>
      </c>
      <c r="BI39">
        <v>1275</v>
      </c>
      <c r="BJ39">
        <v>2020</v>
      </c>
      <c r="BM39" s="2" t="s">
        <v>49</v>
      </c>
      <c r="BN39">
        <v>27291</v>
      </c>
      <c r="BO39">
        <v>1275</v>
      </c>
      <c r="BP39">
        <v>2020</v>
      </c>
      <c r="BS39" s="2" t="s">
        <v>49</v>
      </c>
      <c r="BT39">
        <v>45376</v>
      </c>
      <c r="BU39">
        <v>1275</v>
      </c>
      <c r="BV39">
        <v>2020</v>
      </c>
      <c r="BY39" s="2" t="s">
        <v>49</v>
      </c>
      <c r="BZ39">
        <v>45446</v>
      </c>
      <c r="CA39">
        <v>1275</v>
      </c>
      <c r="CB39">
        <v>2020</v>
      </c>
      <c r="CE39" s="2" t="s">
        <v>49</v>
      </c>
      <c r="CF39">
        <v>43704</v>
      </c>
      <c r="CG39">
        <v>1275</v>
      </c>
      <c r="CH39">
        <v>2020</v>
      </c>
      <c r="CK39" s="2" t="s">
        <v>49</v>
      </c>
      <c r="CL39">
        <v>45053</v>
      </c>
      <c r="CM39">
        <v>1275</v>
      </c>
      <c r="CN39">
        <v>2020</v>
      </c>
    </row>
    <row r="40" spans="1:92" x14ac:dyDescent="0.25">
      <c r="A40">
        <v>75164996</v>
      </c>
      <c r="B40" s="3" t="s">
        <v>37</v>
      </c>
      <c r="C40" t="s">
        <v>144</v>
      </c>
      <c r="D40" t="s">
        <v>200</v>
      </c>
      <c r="E40">
        <v>2020</v>
      </c>
      <c r="F40" t="s">
        <v>201</v>
      </c>
      <c r="G40" t="s">
        <v>202</v>
      </c>
      <c r="H40" t="s">
        <v>148</v>
      </c>
      <c r="K40" t="s">
        <v>45</v>
      </c>
      <c r="L40" t="s">
        <v>203</v>
      </c>
      <c r="M40" t="s">
        <v>47</v>
      </c>
      <c r="N40">
        <v>160000</v>
      </c>
      <c r="O40">
        <v>22050</v>
      </c>
      <c r="P40">
        <v>137950</v>
      </c>
      <c r="Q40" t="s">
        <v>204</v>
      </c>
      <c r="R40" t="s">
        <v>202</v>
      </c>
      <c r="S40" s="2" t="s">
        <v>49</v>
      </c>
      <c r="T40">
        <v>747301</v>
      </c>
      <c r="U40" t="s">
        <v>62</v>
      </c>
      <c r="V40">
        <v>2020</v>
      </c>
      <c r="W40">
        <v>1173</v>
      </c>
      <c r="X40" t="s">
        <v>170</v>
      </c>
      <c r="Y40">
        <v>29</v>
      </c>
      <c r="Z40">
        <v>30</v>
      </c>
      <c r="AA40">
        <v>60</v>
      </c>
      <c r="AB40">
        <v>58</v>
      </c>
      <c r="AC40" s="2" t="s">
        <v>49</v>
      </c>
      <c r="AD40">
        <v>731174</v>
      </c>
      <c r="AE40" t="s">
        <v>62</v>
      </c>
      <c r="AF40">
        <v>2020</v>
      </c>
      <c r="AG40">
        <v>1173</v>
      </c>
      <c r="AH40" t="s">
        <v>170</v>
      </c>
      <c r="AI40">
        <v>29</v>
      </c>
      <c r="AJ40">
        <v>30</v>
      </c>
      <c r="AK40">
        <v>51</v>
      </c>
      <c r="AL40">
        <v>52</v>
      </c>
      <c r="AM40" s="2" t="s">
        <v>49</v>
      </c>
      <c r="AN40">
        <v>731022</v>
      </c>
      <c r="AO40" t="s">
        <v>62</v>
      </c>
      <c r="AP40">
        <v>2020</v>
      </c>
      <c r="AQ40">
        <v>1173</v>
      </c>
      <c r="AR40" t="s">
        <v>170</v>
      </c>
      <c r="AS40">
        <v>30</v>
      </c>
      <c r="AT40">
        <v>29</v>
      </c>
      <c r="AU40">
        <v>60</v>
      </c>
      <c r="AV40">
        <v>61</v>
      </c>
      <c r="AW40" s="2" t="s">
        <v>49</v>
      </c>
      <c r="AX40">
        <v>749169</v>
      </c>
      <c r="AY40" t="s">
        <v>62</v>
      </c>
      <c r="AZ40">
        <v>2020</v>
      </c>
      <c r="BA40">
        <v>1173</v>
      </c>
      <c r="BB40" t="s">
        <v>170</v>
      </c>
      <c r="BC40">
        <v>29</v>
      </c>
      <c r="BD40">
        <v>29</v>
      </c>
      <c r="BE40">
        <v>60</v>
      </c>
      <c r="BF40">
        <v>60</v>
      </c>
      <c r="BG40" s="2" t="s">
        <v>49</v>
      </c>
      <c r="BH40">
        <v>26103</v>
      </c>
      <c r="BI40">
        <v>1275</v>
      </c>
      <c r="BJ40">
        <v>2020</v>
      </c>
      <c r="BM40" s="2" t="s">
        <v>49</v>
      </c>
      <c r="BN40">
        <v>26176</v>
      </c>
      <c r="BO40">
        <v>1275</v>
      </c>
      <c r="BP40">
        <v>2020</v>
      </c>
      <c r="BS40" s="2" t="s">
        <v>49</v>
      </c>
      <c r="BT40">
        <v>43735</v>
      </c>
      <c r="BU40">
        <v>1275</v>
      </c>
      <c r="BV40">
        <v>2020</v>
      </c>
      <c r="BY40" s="2" t="s">
        <v>49</v>
      </c>
      <c r="BZ40">
        <v>43314</v>
      </c>
      <c r="CA40">
        <v>1275</v>
      </c>
      <c r="CB40">
        <v>2020</v>
      </c>
      <c r="CE40" s="2" t="s">
        <v>49</v>
      </c>
      <c r="CF40">
        <v>43752</v>
      </c>
      <c r="CG40">
        <v>1275</v>
      </c>
      <c r="CH40">
        <v>2020</v>
      </c>
      <c r="CK40" s="2" t="s">
        <v>49</v>
      </c>
      <c r="CL40">
        <v>43860</v>
      </c>
      <c r="CM40">
        <v>1275</v>
      </c>
      <c r="CN40">
        <v>2020</v>
      </c>
    </row>
    <row r="41" spans="1:92" x14ac:dyDescent="0.25">
      <c r="A41">
        <v>75165399</v>
      </c>
      <c r="B41" s="3" t="s">
        <v>37</v>
      </c>
      <c r="C41" t="s">
        <v>144</v>
      </c>
      <c r="D41" t="s">
        <v>200</v>
      </c>
      <c r="E41">
        <v>2020</v>
      </c>
      <c r="F41" t="s">
        <v>201</v>
      </c>
      <c r="G41" t="s">
        <v>205</v>
      </c>
      <c r="H41" t="s">
        <v>148</v>
      </c>
      <c r="K41" t="s">
        <v>45</v>
      </c>
      <c r="L41" t="s">
        <v>206</v>
      </c>
      <c r="M41" t="s">
        <v>47</v>
      </c>
      <c r="N41">
        <v>160000</v>
      </c>
      <c r="O41">
        <v>25042</v>
      </c>
      <c r="P41">
        <v>134958</v>
      </c>
      <c r="Q41" t="s">
        <v>207</v>
      </c>
      <c r="R41" t="s">
        <v>205</v>
      </c>
      <c r="S41" s="2" t="s">
        <v>49</v>
      </c>
      <c r="T41">
        <v>729623</v>
      </c>
      <c r="U41" t="s">
        <v>62</v>
      </c>
      <c r="V41">
        <v>2020</v>
      </c>
      <c r="W41">
        <v>1173</v>
      </c>
      <c r="X41" t="s">
        <v>170</v>
      </c>
      <c r="Y41">
        <v>30</v>
      </c>
      <c r="Z41">
        <v>29</v>
      </c>
      <c r="AA41">
        <v>55</v>
      </c>
      <c r="AB41">
        <v>54</v>
      </c>
      <c r="AC41" s="2" t="s">
        <v>49</v>
      </c>
      <c r="AD41">
        <v>445845</v>
      </c>
      <c r="AE41" t="s">
        <v>50</v>
      </c>
      <c r="AF41">
        <v>2020</v>
      </c>
      <c r="AG41">
        <v>1173</v>
      </c>
      <c r="AH41" t="s">
        <v>170</v>
      </c>
      <c r="AI41">
        <v>30</v>
      </c>
      <c r="AJ41">
        <v>29</v>
      </c>
      <c r="AK41">
        <v>55</v>
      </c>
      <c r="AL41">
        <v>55</v>
      </c>
      <c r="AM41" s="2" t="s">
        <v>49</v>
      </c>
      <c r="AN41">
        <v>446150</v>
      </c>
      <c r="AO41" t="s">
        <v>50</v>
      </c>
      <c r="AP41">
        <v>2020</v>
      </c>
      <c r="AQ41">
        <v>1173</v>
      </c>
      <c r="AR41" t="s">
        <v>170</v>
      </c>
      <c r="AS41">
        <v>31</v>
      </c>
      <c r="AT41">
        <v>31</v>
      </c>
      <c r="AU41">
        <v>60</v>
      </c>
      <c r="AV41">
        <v>61</v>
      </c>
      <c r="AW41" s="2" t="s">
        <v>49</v>
      </c>
      <c r="AX41">
        <v>729627</v>
      </c>
      <c r="AY41" t="s">
        <v>62</v>
      </c>
      <c r="AZ41">
        <v>2020</v>
      </c>
      <c r="BA41">
        <v>1173</v>
      </c>
      <c r="BB41" t="s">
        <v>170</v>
      </c>
      <c r="BC41">
        <v>31</v>
      </c>
      <c r="BD41">
        <v>31</v>
      </c>
      <c r="BE41">
        <v>64</v>
      </c>
      <c r="BF41">
        <v>62</v>
      </c>
      <c r="BG41" s="2" t="s">
        <v>49</v>
      </c>
      <c r="BH41">
        <v>26778</v>
      </c>
      <c r="BI41">
        <v>1275</v>
      </c>
      <c r="BJ41">
        <v>2020</v>
      </c>
      <c r="BM41" s="2" t="s">
        <v>49</v>
      </c>
      <c r="BN41">
        <v>26782</v>
      </c>
      <c r="BO41">
        <v>1275</v>
      </c>
      <c r="BP41">
        <v>2020</v>
      </c>
      <c r="BS41" s="2" t="s">
        <v>49</v>
      </c>
      <c r="BT41">
        <v>43830</v>
      </c>
      <c r="BU41">
        <v>1275</v>
      </c>
      <c r="BV41">
        <v>2020</v>
      </c>
      <c r="BY41" s="2" t="s">
        <v>49</v>
      </c>
      <c r="BZ41">
        <v>44399</v>
      </c>
      <c r="CA41">
        <v>1275</v>
      </c>
      <c r="CB41">
        <v>2020</v>
      </c>
      <c r="CE41" s="2" t="s">
        <v>49</v>
      </c>
      <c r="CF41">
        <v>44265</v>
      </c>
      <c r="CG41">
        <v>1275</v>
      </c>
      <c r="CH41">
        <v>2020</v>
      </c>
      <c r="CK41" s="2" t="s">
        <v>49</v>
      </c>
      <c r="CL41">
        <v>44424</v>
      </c>
      <c r="CM41">
        <v>1275</v>
      </c>
      <c r="CN41">
        <v>2020</v>
      </c>
    </row>
    <row r="42" spans="1:92" x14ac:dyDescent="0.25">
      <c r="A42">
        <v>75165498</v>
      </c>
      <c r="B42" s="3" t="s">
        <v>37</v>
      </c>
      <c r="C42" t="s">
        <v>144</v>
      </c>
      <c r="D42" t="s">
        <v>200</v>
      </c>
      <c r="E42">
        <v>2020</v>
      </c>
      <c r="F42" t="s">
        <v>201</v>
      </c>
      <c r="G42" t="s">
        <v>208</v>
      </c>
      <c r="H42" t="s">
        <v>148</v>
      </c>
      <c r="K42" t="s">
        <v>45</v>
      </c>
      <c r="L42" t="s">
        <v>209</v>
      </c>
      <c r="M42" t="s">
        <v>47</v>
      </c>
      <c r="N42">
        <v>160000</v>
      </c>
      <c r="O42">
        <v>22600</v>
      </c>
      <c r="P42">
        <v>137400</v>
      </c>
      <c r="Q42" t="s">
        <v>210</v>
      </c>
      <c r="R42" t="s">
        <v>208</v>
      </c>
      <c r="S42" s="2" t="s">
        <v>49</v>
      </c>
      <c r="T42">
        <v>417555</v>
      </c>
      <c r="U42" t="s">
        <v>50</v>
      </c>
      <c r="V42">
        <v>2020</v>
      </c>
      <c r="W42">
        <v>1173</v>
      </c>
      <c r="X42" t="s">
        <v>170</v>
      </c>
      <c r="Y42">
        <v>30</v>
      </c>
      <c r="Z42">
        <v>32</v>
      </c>
      <c r="AA42">
        <v>56</v>
      </c>
      <c r="AB42">
        <v>58</v>
      </c>
      <c r="AC42" s="2" t="s">
        <v>49</v>
      </c>
      <c r="AD42">
        <v>419327</v>
      </c>
      <c r="AE42" t="s">
        <v>50</v>
      </c>
      <c r="AF42">
        <v>2020</v>
      </c>
      <c r="AG42">
        <v>1173</v>
      </c>
      <c r="AH42" t="s">
        <v>170</v>
      </c>
      <c r="AI42">
        <v>31</v>
      </c>
      <c r="AJ42">
        <v>30</v>
      </c>
      <c r="AK42">
        <v>60</v>
      </c>
      <c r="AL42">
        <v>60</v>
      </c>
      <c r="AM42" s="2" t="s">
        <v>49</v>
      </c>
      <c r="AN42">
        <v>419386</v>
      </c>
      <c r="AO42" t="s">
        <v>50</v>
      </c>
      <c r="AP42">
        <v>2020</v>
      </c>
      <c r="AQ42">
        <v>1173</v>
      </c>
      <c r="AR42" t="s">
        <v>170</v>
      </c>
      <c r="AS42">
        <v>30</v>
      </c>
      <c r="AT42">
        <v>30</v>
      </c>
      <c r="AU42">
        <v>61</v>
      </c>
      <c r="AV42">
        <v>61</v>
      </c>
      <c r="AW42" s="2" t="s">
        <v>49</v>
      </c>
      <c r="AX42">
        <v>419297</v>
      </c>
      <c r="AY42" t="s">
        <v>50</v>
      </c>
      <c r="AZ42">
        <v>2020</v>
      </c>
      <c r="BA42">
        <v>1173</v>
      </c>
      <c r="BB42" t="s">
        <v>170</v>
      </c>
      <c r="BC42">
        <v>30</v>
      </c>
      <c r="BD42">
        <v>31</v>
      </c>
      <c r="BE42">
        <v>61</v>
      </c>
      <c r="BF42">
        <v>62</v>
      </c>
      <c r="BG42" s="2" t="s">
        <v>49</v>
      </c>
      <c r="BH42">
        <v>26569</v>
      </c>
      <c r="BI42">
        <v>1275</v>
      </c>
      <c r="BJ42">
        <v>2020</v>
      </c>
      <c r="BM42" s="2" t="s">
        <v>49</v>
      </c>
      <c r="BN42">
        <v>25713</v>
      </c>
      <c r="BO42">
        <v>1275</v>
      </c>
      <c r="BP42">
        <v>2020</v>
      </c>
      <c r="BS42" s="2" t="s">
        <v>49</v>
      </c>
      <c r="BT42">
        <v>43821</v>
      </c>
      <c r="BU42">
        <v>1275</v>
      </c>
      <c r="BV42">
        <v>2020</v>
      </c>
      <c r="BY42" s="2" t="s">
        <v>49</v>
      </c>
      <c r="BZ42">
        <v>43795</v>
      </c>
      <c r="CA42">
        <v>1275</v>
      </c>
      <c r="CB42">
        <v>2020</v>
      </c>
      <c r="CE42" s="2" t="s">
        <v>49</v>
      </c>
      <c r="CF42">
        <v>43834</v>
      </c>
      <c r="CG42">
        <v>1275</v>
      </c>
      <c r="CH42">
        <v>2020</v>
      </c>
      <c r="CK42" s="2" t="s">
        <v>49</v>
      </c>
      <c r="CL42">
        <v>43861</v>
      </c>
      <c r="CM42">
        <v>1275</v>
      </c>
      <c r="CN42">
        <v>2020</v>
      </c>
    </row>
    <row r="43" spans="1:92" x14ac:dyDescent="0.25">
      <c r="A43">
        <v>75175091</v>
      </c>
      <c r="B43" s="3" t="s">
        <v>37</v>
      </c>
      <c r="C43" t="s">
        <v>144</v>
      </c>
      <c r="D43" t="s">
        <v>191</v>
      </c>
      <c r="E43">
        <v>2020</v>
      </c>
      <c r="F43" t="s">
        <v>192</v>
      </c>
      <c r="G43" t="s">
        <v>211</v>
      </c>
      <c r="H43" t="s">
        <v>148</v>
      </c>
      <c r="K43" t="s">
        <v>45</v>
      </c>
      <c r="L43" t="s">
        <v>212</v>
      </c>
      <c r="M43" t="s">
        <v>47</v>
      </c>
      <c r="N43">
        <v>160000</v>
      </c>
      <c r="O43">
        <v>28125</v>
      </c>
      <c r="P43">
        <v>131875</v>
      </c>
      <c r="Q43" t="s">
        <v>213</v>
      </c>
      <c r="R43" t="s">
        <v>211</v>
      </c>
      <c r="S43" s="2" t="s">
        <v>49</v>
      </c>
      <c r="T43">
        <v>751152</v>
      </c>
      <c r="U43" t="s">
        <v>62</v>
      </c>
      <c r="V43">
        <v>2020</v>
      </c>
      <c r="W43">
        <v>1173</v>
      </c>
      <c r="X43" t="s">
        <v>170</v>
      </c>
      <c r="Y43">
        <v>29</v>
      </c>
      <c r="Z43">
        <v>29</v>
      </c>
      <c r="AA43">
        <v>62</v>
      </c>
      <c r="AB43">
        <v>63</v>
      </c>
      <c r="AC43" s="2" t="s">
        <v>49</v>
      </c>
      <c r="AD43">
        <v>749473</v>
      </c>
      <c r="AE43" t="s">
        <v>62</v>
      </c>
      <c r="AF43">
        <v>2020</v>
      </c>
      <c r="AG43">
        <v>1173</v>
      </c>
      <c r="AH43" t="s">
        <v>170</v>
      </c>
      <c r="AI43">
        <v>29</v>
      </c>
      <c r="AJ43">
        <v>29</v>
      </c>
      <c r="AK43">
        <v>60</v>
      </c>
      <c r="AL43">
        <v>60</v>
      </c>
      <c r="AM43" s="2" t="s">
        <v>49</v>
      </c>
      <c r="AN43">
        <v>751300</v>
      </c>
      <c r="AO43" t="s">
        <v>62</v>
      </c>
      <c r="AP43">
        <v>2020</v>
      </c>
      <c r="AQ43">
        <v>1173</v>
      </c>
      <c r="AR43" t="s">
        <v>170</v>
      </c>
      <c r="AS43">
        <v>29</v>
      </c>
      <c r="AT43">
        <v>29</v>
      </c>
      <c r="AU43">
        <v>62</v>
      </c>
      <c r="AV43">
        <v>61</v>
      </c>
      <c r="AW43" s="2" t="s">
        <v>49</v>
      </c>
      <c r="AX43">
        <v>445763</v>
      </c>
      <c r="AY43" t="s">
        <v>50</v>
      </c>
      <c r="AZ43">
        <v>2020</v>
      </c>
      <c r="BA43">
        <v>1173</v>
      </c>
      <c r="BB43" t="s">
        <v>170</v>
      </c>
      <c r="BC43">
        <v>31</v>
      </c>
      <c r="BD43">
        <v>30</v>
      </c>
      <c r="BE43">
        <v>57</v>
      </c>
      <c r="BF43">
        <v>56</v>
      </c>
      <c r="BG43" s="2" t="s">
        <v>49</v>
      </c>
      <c r="BH43">
        <v>26644</v>
      </c>
      <c r="BI43">
        <v>1275</v>
      </c>
      <c r="BJ43">
        <v>2020</v>
      </c>
      <c r="BM43" s="2" t="s">
        <v>49</v>
      </c>
      <c r="BN43">
        <v>26423</v>
      </c>
      <c r="BO43">
        <v>1275</v>
      </c>
      <c r="BP43">
        <v>2020</v>
      </c>
      <c r="BS43" s="2" t="s">
        <v>49</v>
      </c>
      <c r="BT43">
        <v>42771</v>
      </c>
      <c r="BU43">
        <v>1275</v>
      </c>
      <c r="BV43">
        <v>2020</v>
      </c>
      <c r="BY43" s="2" t="s">
        <v>49</v>
      </c>
      <c r="BZ43">
        <v>44277</v>
      </c>
      <c r="CA43">
        <v>1275</v>
      </c>
      <c r="CB43">
        <v>2020</v>
      </c>
      <c r="CE43" s="2" t="s">
        <v>49</v>
      </c>
      <c r="CF43">
        <v>40855</v>
      </c>
      <c r="CG43">
        <v>1275</v>
      </c>
      <c r="CH43">
        <v>2020</v>
      </c>
      <c r="CK43" s="2" t="s">
        <v>49</v>
      </c>
      <c r="CL43">
        <v>43683</v>
      </c>
      <c r="CM43">
        <v>1275</v>
      </c>
      <c r="CN43">
        <v>2020</v>
      </c>
    </row>
    <row r="44" spans="1:92" x14ac:dyDescent="0.25">
      <c r="A44">
        <v>75175497</v>
      </c>
      <c r="B44" s="3" t="s">
        <v>37</v>
      </c>
      <c r="C44" t="s">
        <v>144</v>
      </c>
      <c r="D44" t="s">
        <v>191</v>
      </c>
      <c r="E44">
        <v>2020</v>
      </c>
      <c r="F44" t="s">
        <v>192</v>
      </c>
      <c r="G44" t="s">
        <v>214</v>
      </c>
      <c r="H44" t="s">
        <v>148</v>
      </c>
      <c r="K44" t="s">
        <v>45</v>
      </c>
      <c r="L44" t="s">
        <v>215</v>
      </c>
      <c r="M44" t="s">
        <v>47</v>
      </c>
      <c r="N44">
        <v>160000</v>
      </c>
      <c r="O44">
        <v>24795</v>
      </c>
      <c r="P44">
        <v>135205</v>
      </c>
      <c r="Q44" t="s">
        <v>216</v>
      </c>
      <c r="R44" t="s">
        <v>214</v>
      </c>
      <c r="S44" s="2" t="s">
        <v>49</v>
      </c>
      <c r="T44">
        <v>446050</v>
      </c>
      <c r="U44" t="s">
        <v>50</v>
      </c>
      <c r="V44">
        <v>2020</v>
      </c>
      <c r="W44">
        <v>1173</v>
      </c>
      <c r="X44" t="s">
        <v>116</v>
      </c>
      <c r="Y44">
        <v>30</v>
      </c>
      <c r="Z44">
        <v>30</v>
      </c>
      <c r="AA44">
        <v>62</v>
      </c>
      <c r="AB44">
        <v>63</v>
      </c>
      <c r="AC44" s="2" t="s">
        <v>49</v>
      </c>
      <c r="AD44">
        <v>749521</v>
      </c>
      <c r="AE44" t="s">
        <v>62</v>
      </c>
      <c r="AF44">
        <v>2020</v>
      </c>
      <c r="AG44">
        <v>1173</v>
      </c>
      <c r="AH44" t="s">
        <v>116</v>
      </c>
      <c r="AI44">
        <v>30</v>
      </c>
      <c r="AJ44">
        <v>30</v>
      </c>
      <c r="AK44">
        <v>63</v>
      </c>
      <c r="AL44">
        <v>63</v>
      </c>
      <c r="AM44" s="2" t="s">
        <v>49</v>
      </c>
      <c r="AN44">
        <v>446689</v>
      </c>
      <c r="AO44" t="s">
        <v>50</v>
      </c>
      <c r="AP44">
        <v>2020</v>
      </c>
      <c r="AQ44">
        <v>1173</v>
      </c>
      <c r="AR44" t="s">
        <v>116</v>
      </c>
      <c r="AS44">
        <v>30</v>
      </c>
      <c r="AT44">
        <v>30</v>
      </c>
      <c r="AU44">
        <v>50</v>
      </c>
      <c r="AV44">
        <v>49</v>
      </c>
      <c r="AW44" s="2" t="s">
        <v>49</v>
      </c>
      <c r="AX44">
        <v>749562</v>
      </c>
      <c r="AY44" t="s">
        <v>62</v>
      </c>
      <c r="AZ44">
        <v>2020</v>
      </c>
      <c r="BA44">
        <v>1173</v>
      </c>
      <c r="BB44" t="s">
        <v>116</v>
      </c>
      <c r="BC44">
        <v>30</v>
      </c>
      <c r="BD44">
        <v>30</v>
      </c>
      <c r="BE44">
        <v>56</v>
      </c>
      <c r="BF44">
        <v>57</v>
      </c>
      <c r="BG44" s="2" t="s">
        <v>49</v>
      </c>
      <c r="BH44">
        <v>26789</v>
      </c>
      <c r="BI44">
        <v>1275</v>
      </c>
      <c r="BJ44">
        <v>2020</v>
      </c>
      <c r="BM44" s="2" t="s">
        <v>49</v>
      </c>
      <c r="BN44">
        <v>26860</v>
      </c>
      <c r="BO44">
        <v>1275</v>
      </c>
      <c r="BP44">
        <v>2020</v>
      </c>
      <c r="BS44" s="2" t="s">
        <v>49</v>
      </c>
      <c r="BT44">
        <v>44431</v>
      </c>
      <c r="BU44">
        <v>1275</v>
      </c>
      <c r="BV44">
        <v>2020</v>
      </c>
      <c r="BY44" s="2" t="s">
        <v>49</v>
      </c>
      <c r="BZ44">
        <v>44477</v>
      </c>
      <c r="CA44">
        <v>1275</v>
      </c>
      <c r="CB44">
        <v>2020</v>
      </c>
      <c r="CE44" s="2" t="s">
        <v>49</v>
      </c>
      <c r="CF44">
        <v>37781</v>
      </c>
      <c r="CG44">
        <v>1275</v>
      </c>
      <c r="CH44">
        <v>2020</v>
      </c>
      <c r="CK44" s="2" t="s">
        <v>49</v>
      </c>
      <c r="CL44">
        <v>37564</v>
      </c>
      <c r="CM44">
        <v>1275</v>
      </c>
      <c r="CN44">
        <v>2020</v>
      </c>
    </row>
    <row r="45" spans="1:92" x14ac:dyDescent="0.25">
      <c r="A45">
        <v>75176297</v>
      </c>
      <c r="B45" s="3" t="s">
        <v>37</v>
      </c>
      <c r="C45" t="s">
        <v>144</v>
      </c>
      <c r="D45" t="s">
        <v>191</v>
      </c>
      <c r="E45">
        <v>2020</v>
      </c>
      <c r="F45" t="s">
        <v>192</v>
      </c>
      <c r="G45" t="s">
        <v>217</v>
      </c>
      <c r="H45" t="s">
        <v>148</v>
      </c>
      <c r="K45" t="s">
        <v>45</v>
      </c>
      <c r="L45" t="s">
        <v>218</v>
      </c>
      <c r="M45" t="s">
        <v>47</v>
      </c>
      <c r="N45">
        <v>160000</v>
      </c>
      <c r="O45">
        <v>27046</v>
      </c>
      <c r="P45">
        <v>132954</v>
      </c>
      <c r="Q45" t="s">
        <v>219</v>
      </c>
      <c r="R45" t="s">
        <v>217</v>
      </c>
      <c r="S45" s="2" t="s">
        <v>49</v>
      </c>
      <c r="T45">
        <v>749398</v>
      </c>
      <c r="U45" t="s">
        <v>62</v>
      </c>
      <c r="V45">
        <v>2020</v>
      </c>
      <c r="W45">
        <v>1173</v>
      </c>
      <c r="X45" t="s">
        <v>163</v>
      </c>
      <c r="Y45">
        <v>33</v>
      </c>
      <c r="Z45">
        <v>33</v>
      </c>
      <c r="AA45">
        <v>59</v>
      </c>
      <c r="AB45">
        <v>60</v>
      </c>
      <c r="AC45" s="2" t="s">
        <v>49</v>
      </c>
      <c r="AD45">
        <v>742789</v>
      </c>
      <c r="AE45" t="s">
        <v>62</v>
      </c>
      <c r="AF45">
        <v>2020</v>
      </c>
      <c r="AG45">
        <v>1173</v>
      </c>
      <c r="AH45" t="s">
        <v>163</v>
      </c>
      <c r="AI45">
        <v>30</v>
      </c>
      <c r="AJ45">
        <v>30</v>
      </c>
      <c r="AK45">
        <v>62</v>
      </c>
      <c r="AL45">
        <v>61</v>
      </c>
      <c r="AM45" s="2" t="s">
        <v>49</v>
      </c>
      <c r="AN45">
        <v>751490</v>
      </c>
      <c r="AO45" t="s">
        <v>62</v>
      </c>
      <c r="AP45">
        <v>2020</v>
      </c>
      <c r="AQ45">
        <v>1173</v>
      </c>
      <c r="AR45" t="s">
        <v>163</v>
      </c>
      <c r="AS45">
        <v>30</v>
      </c>
      <c r="AT45">
        <v>30</v>
      </c>
      <c r="AU45">
        <v>54</v>
      </c>
      <c r="AV45">
        <v>55</v>
      </c>
      <c r="AW45" s="2" t="s">
        <v>49</v>
      </c>
      <c r="AX45">
        <v>741994</v>
      </c>
      <c r="AY45" t="s">
        <v>62</v>
      </c>
      <c r="AZ45">
        <v>2020</v>
      </c>
      <c r="BA45">
        <v>1173</v>
      </c>
      <c r="BB45" t="s">
        <v>163</v>
      </c>
      <c r="BC45">
        <v>30</v>
      </c>
      <c r="BD45">
        <v>30</v>
      </c>
      <c r="BE45">
        <v>60</v>
      </c>
      <c r="BF45">
        <v>60</v>
      </c>
      <c r="BG45" s="2" t="s">
        <v>49</v>
      </c>
      <c r="BH45">
        <v>26904</v>
      </c>
      <c r="BI45">
        <v>1275</v>
      </c>
      <c r="BJ45">
        <v>2020</v>
      </c>
      <c r="BM45" s="2" t="s">
        <v>49</v>
      </c>
      <c r="BN45">
        <v>27057</v>
      </c>
      <c r="BO45">
        <v>1275</v>
      </c>
      <c r="BP45">
        <v>2020</v>
      </c>
      <c r="BS45" s="2" t="s">
        <v>49</v>
      </c>
      <c r="BT45">
        <v>44440</v>
      </c>
      <c r="BU45">
        <v>1275</v>
      </c>
      <c r="BV45">
        <v>2020</v>
      </c>
      <c r="BY45" s="2" t="s">
        <v>49</v>
      </c>
      <c r="BZ45">
        <v>44735</v>
      </c>
      <c r="CA45">
        <v>1275</v>
      </c>
      <c r="CB45">
        <v>2020</v>
      </c>
      <c r="CE45" s="2" t="s">
        <v>49</v>
      </c>
      <c r="CF45">
        <v>45061</v>
      </c>
      <c r="CG45">
        <v>1275</v>
      </c>
      <c r="CH45">
        <v>2020</v>
      </c>
      <c r="CK45" s="2" t="s">
        <v>49</v>
      </c>
      <c r="CL45">
        <v>45043</v>
      </c>
      <c r="CM45">
        <v>1275</v>
      </c>
      <c r="CN45">
        <v>2020</v>
      </c>
    </row>
    <row r="46" spans="1:92" x14ac:dyDescent="0.25">
      <c r="A46">
        <v>75176396</v>
      </c>
      <c r="B46" s="3" t="s">
        <v>37</v>
      </c>
      <c r="C46" t="s">
        <v>144</v>
      </c>
      <c r="D46" t="s">
        <v>191</v>
      </c>
      <c r="E46">
        <v>2020</v>
      </c>
      <c r="F46" t="s">
        <v>192</v>
      </c>
      <c r="G46" t="s">
        <v>220</v>
      </c>
      <c r="H46" t="s">
        <v>148</v>
      </c>
      <c r="K46" t="s">
        <v>45</v>
      </c>
      <c r="L46" t="s">
        <v>221</v>
      </c>
      <c r="M46" t="s">
        <v>47</v>
      </c>
      <c r="N46">
        <v>160000</v>
      </c>
      <c r="O46">
        <v>27142</v>
      </c>
      <c r="P46">
        <v>132858</v>
      </c>
      <c r="Q46" t="s">
        <v>222</v>
      </c>
      <c r="R46" t="s">
        <v>220</v>
      </c>
      <c r="S46" s="2" t="s">
        <v>49</v>
      </c>
      <c r="T46">
        <v>742387</v>
      </c>
      <c r="U46" t="s">
        <v>62</v>
      </c>
      <c r="V46">
        <v>2020</v>
      </c>
      <c r="W46">
        <v>1173</v>
      </c>
      <c r="X46" t="s">
        <v>93</v>
      </c>
      <c r="Y46">
        <v>30</v>
      </c>
      <c r="Z46">
        <v>29</v>
      </c>
      <c r="AA46">
        <v>54</v>
      </c>
      <c r="AB46">
        <v>53</v>
      </c>
      <c r="AC46" s="2" t="s">
        <v>49</v>
      </c>
      <c r="AD46">
        <v>742768</v>
      </c>
      <c r="AE46" t="s">
        <v>62</v>
      </c>
      <c r="AF46">
        <v>2020</v>
      </c>
      <c r="AG46">
        <v>1173</v>
      </c>
      <c r="AH46" t="s">
        <v>93</v>
      </c>
      <c r="AI46">
        <v>29</v>
      </c>
      <c r="AJ46">
        <v>29</v>
      </c>
      <c r="AK46">
        <v>48</v>
      </c>
      <c r="AL46">
        <v>49</v>
      </c>
      <c r="AM46" s="2" t="s">
        <v>49</v>
      </c>
      <c r="AN46">
        <v>445844</v>
      </c>
      <c r="AO46" t="s">
        <v>50</v>
      </c>
      <c r="AP46">
        <v>2020</v>
      </c>
      <c r="AQ46">
        <v>1173</v>
      </c>
      <c r="AR46" t="s">
        <v>93</v>
      </c>
      <c r="AS46">
        <v>29</v>
      </c>
      <c r="AT46">
        <v>29</v>
      </c>
      <c r="AU46">
        <v>62</v>
      </c>
      <c r="AV46">
        <v>62</v>
      </c>
      <c r="AW46" s="2" t="s">
        <v>49</v>
      </c>
      <c r="AX46">
        <v>744638</v>
      </c>
      <c r="AY46" t="s">
        <v>62</v>
      </c>
      <c r="AZ46">
        <v>2020</v>
      </c>
      <c r="BA46">
        <v>1173</v>
      </c>
      <c r="BB46" t="s">
        <v>93</v>
      </c>
      <c r="BC46">
        <v>29</v>
      </c>
      <c r="BD46">
        <v>29</v>
      </c>
      <c r="BE46">
        <v>58</v>
      </c>
      <c r="BF46">
        <v>59</v>
      </c>
      <c r="BG46" s="2" t="s">
        <v>49</v>
      </c>
      <c r="BH46">
        <v>26982</v>
      </c>
      <c r="BI46">
        <v>1275</v>
      </c>
      <c r="BJ46">
        <v>2020</v>
      </c>
      <c r="BM46" s="2" t="s">
        <v>49</v>
      </c>
      <c r="BN46">
        <v>26935</v>
      </c>
      <c r="BO46">
        <v>1275</v>
      </c>
      <c r="BP46">
        <v>2020</v>
      </c>
      <c r="BS46" s="2" t="s">
        <v>49</v>
      </c>
      <c r="BT46">
        <v>44968</v>
      </c>
      <c r="BU46">
        <v>1275</v>
      </c>
      <c r="BV46">
        <v>2020</v>
      </c>
      <c r="BY46" s="2" t="s">
        <v>49</v>
      </c>
      <c r="BZ46">
        <v>44961</v>
      </c>
      <c r="CA46">
        <v>1275</v>
      </c>
      <c r="CB46">
        <v>2020</v>
      </c>
      <c r="CE46" s="2" t="s">
        <v>49</v>
      </c>
      <c r="CF46">
        <v>43936</v>
      </c>
      <c r="CG46">
        <v>1275</v>
      </c>
      <c r="CH46">
        <v>2020</v>
      </c>
      <c r="CK46" s="2" t="s">
        <v>49</v>
      </c>
      <c r="CL46">
        <v>45123</v>
      </c>
      <c r="CM46">
        <v>1275</v>
      </c>
      <c r="CN46">
        <v>2020</v>
      </c>
    </row>
    <row r="47" spans="1:92" x14ac:dyDescent="0.25">
      <c r="A47">
        <v>75163998</v>
      </c>
      <c r="B47" s="3" t="s">
        <v>37</v>
      </c>
      <c r="C47" t="s">
        <v>144</v>
      </c>
      <c r="D47" t="s">
        <v>200</v>
      </c>
      <c r="E47">
        <v>2020</v>
      </c>
      <c r="F47" t="s">
        <v>201</v>
      </c>
      <c r="G47" t="s">
        <v>223</v>
      </c>
      <c r="H47" t="s">
        <v>148</v>
      </c>
      <c r="K47" t="s">
        <v>45</v>
      </c>
      <c r="L47" t="s">
        <v>224</v>
      </c>
      <c r="M47" t="s">
        <v>47</v>
      </c>
      <c r="N47">
        <v>160000</v>
      </c>
      <c r="O47">
        <v>23923</v>
      </c>
      <c r="P47">
        <v>136077</v>
      </c>
      <c r="Q47" t="s">
        <v>225</v>
      </c>
      <c r="R47" t="s">
        <v>223</v>
      </c>
      <c r="S47" s="2" t="s">
        <v>49</v>
      </c>
      <c r="T47">
        <v>444949</v>
      </c>
      <c r="U47" t="s">
        <v>50</v>
      </c>
      <c r="V47">
        <v>2020</v>
      </c>
      <c r="W47">
        <v>1173</v>
      </c>
      <c r="X47" t="s">
        <v>170</v>
      </c>
      <c r="Y47">
        <v>30</v>
      </c>
      <c r="Z47">
        <v>30</v>
      </c>
      <c r="AA47">
        <v>52</v>
      </c>
      <c r="AB47">
        <v>53</v>
      </c>
      <c r="AC47" s="2" t="s">
        <v>49</v>
      </c>
      <c r="AD47">
        <v>444991</v>
      </c>
      <c r="AE47" t="s">
        <v>50</v>
      </c>
      <c r="AF47">
        <v>2020</v>
      </c>
      <c r="AG47">
        <v>1173</v>
      </c>
      <c r="AH47" t="s">
        <v>170</v>
      </c>
      <c r="AI47">
        <v>30</v>
      </c>
      <c r="AJ47">
        <v>30</v>
      </c>
      <c r="AK47">
        <v>55</v>
      </c>
      <c r="AL47">
        <v>55</v>
      </c>
      <c r="AM47" s="2" t="s">
        <v>49</v>
      </c>
      <c r="AN47">
        <v>730979</v>
      </c>
      <c r="AO47" t="s">
        <v>62</v>
      </c>
      <c r="AP47">
        <v>2020</v>
      </c>
      <c r="AQ47">
        <v>1173</v>
      </c>
      <c r="AR47" t="s">
        <v>170</v>
      </c>
      <c r="AS47">
        <v>30</v>
      </c>
      <c r="AT47">
        <v>30</v>
      </c>
      <c r="AU47">
        <v>54</v>
      </c>
      <c r="AV47">
        <v>55</v>
      </c>
      <c r="AW47" s="2" t="s">
        <v>49</v>
      </c>
      <c r="AX47">
        <v>444811</v>
      </c>
      <c r="AY47" t="s">
        <v>50</v>
      </c>
      <c r="AZ47">
        <v>2020</v>
      </c>
      <c r="BA47">
        <v>1173</v>
      </c>
      <c r="BB47" t="s">
        <v>170</v>
      </c>
      <c r="BC47">
        <v>30</v>
      </c>
      <c r="BD47">
        <v>30</v>
      </c>
      <c r="BE47">
        <v>52</v>
      </c>
      <c r="BF47">
        <v>52</v>
      </c>
      <c r="BG47" s="2" t="s">
        <v>49</v>
      </c>
      <c r="BH47">
        <v>25643</v>
      </c>
      <c r="BI47">
        <v>1275</v>
      </c>
      <c r="BJ47">
        <v>2020</v>
      </c>
      <c r="BM47" s="2" t="s">
        <v>49</v>
      </c>
      <c r="BN47">
        <v>25444</v>
      </c>
      <c r="BO47">
        <v>1275</v>
      </c>
      <c r="BP47">
        <v>2020</v>
      </c>
      <c r="BS47" s="2" t="s">
        <v>49</v>
      </c>
      <c r="BT47">
        <v>42745</v>
      </c>
      <c r="BU47">
        <v>1275</v>
      </c>
      <c r="BV47">
        <v>2020</v>
      </c>
      <c r="BY47" s="2" t="s">
        <v>49</v>
      </c>
      <c r="BZ47">
        <v>43316</v>
      </c>
      <c r="CA47">
        <v>1275</v>
      </c>
      <c r="CB47">
        <v>2020</v>
      </c>
      <c r="CE47" s="2" t="s">
        <v>49</v>
      </c>
      <c r="CF47">
        <v>42892</v>
      </c>
      <c r="CG47">
        <v>1275</v>
      </c>
      <c r="CH47">
        <v>2020</v>
      </c>
      <c r="CK47" s="2" t="s">
        <v>49</v>
      </c>
      <c r="CL47">
        <v>42683</v>
      </c>
      <c r="CM47">
        <v>1275</v>
      </c>
      <c r="CN47">
        <v>2020</v>
      </c>
    </row>
    <row r="48" spans="1:92" x14ac:dyDescent="0.25">
      <c r="A48">
        <v>75164293</v>
      </c>
      <c r="B48" s="3" t="s">
        <v>37</v>
      </c>
      <c r="C48" t="s">
        <v>144</v>
      </c>
      <c r="D48" t="s">
        <v>200</v>
      </c>
      <c r="E48">
        <v>2020</v>
      </c>
      <c r="F48" t="s">
        <v>201</v>
      </c>
      <c r="G48" t="s">
        <v>226</v>
      </c>
      <c r="H48" t="s">
        <v>148</v>
      </c>
      <c r="K48" t="s">
        <v>45</v>
      </c>
      <c r="L48" t="s">
        <v>227</v>
      </c>
      <c r="M48" t="s">
        <v>47</v>
      </c>
      <c r="N48">
        <v>160000</v>
      </c>
      <c r="O48">
        <v>23036</v>
      </c>
      <c r="P48">
        <v>136964</v>
      </c>
      <c r="Q48" t="s">
        <v>228</v>
      </c>
      <c r="R48" t="s">
        <v>229</v>
      </c>
      <c r="S48" s="2" t="s">
        <v>49</v>
      </c>
      <c r="T48">
        <v>746406</v>
      </c>
      <c r="U48" t="s">
        <v>62</v>
      </c>
      <c r="V48">
        <v>2020</v>
      </c>
      <c r="W48">
        <v>9711</v>
      </c>
      <c r="X48" t="s">
        <v>230</v>
      </c>
      <c r="Y48">
        <v>0</v>
      </c>
      <c r="Z48">
        <v>0</v>
      </c>
      <c r="AA48">
        <v>54</v>
      </c>
      <c r="AB48">
        <v>53</v>
      </c>
      <c r="AC48" s="2" t="s">
        <v>49</v>
      </c>
      <c r="AD48">
        <v>730891</v>
      </c>
      <c r="AE48" t="s">
        <v>62</v>
      </c>
      <c r="AF48">
        <v>2020</v>
      </c>
      <c r="AG48">
        <v>9711</v>
      </c>
      <c r="AH48" t="s">
        <v>230</v>
      </c>
      <c r="AI48">
        <v>0</v>
      </c>
      <c r="AJ48">
        <v>0</v>
      </c>
      <c r="AK48">
        <v>52</v>
      </c>
      <c r="AL48">
        <v>53</v>
      </c>
      <c r="AM48" s="2" t="s">
        <v>49</v>
      </c>
      <c r="AN48">
        <v>445003</v>
      </c>
      <c r="AO48" t="s">
        <v>50</v>
      </c>
      <c r="AP48">
        <v>2020</v>
      </c>
      <c r="AQ48">
        <v>9711</v>
      </c>
      <c r="AR48" t="s">
        <v>230</v>
      </c>
      <c r="AS48">
        <v>0</v>
      </c>
      <c r="AT48">
        <v>0</v>
      </c>
      <c r="AU48">
        <v>62</v>
      </c>
      <c r="AV48">
        <v>63</v>
      </c>
      <c r="AW48" s="2" t="s">
        <v>49</v>
      </c>
      <c r="AX48">
        <v>444688</v>
      </c>
      <c r="AY48" t="s">
        <v>50</v>
      </c>
      <c r="AZ48">
        <v>2020</v>
      </c>
      <c r="BA48">
        <v>9711</v>
      </c>
      <c r="BB48" t="s">
        <v>230</v>
      </c>
      <c r="BC48">
        <v>0</v>
      </c>
      <c r="BD48">
        <v>0</v>
      </c>
      <c r="BE48">
        <v>57</v>
      </c>
      <c r="BF48">
        <v>55</v>
      </c>
      <c r="BG48" s="2" t="s">
        <v>49</v>
      </c>
      <c r="BH48">
        <v>26384</v>
      </c>
      <c r="BI48">
        <v>1275</v>
      </c>
      <c r="BJ48">
        <v>2020</v>
      </c>
      <c r="BM48" s="2" t="s">
        <v>49</v>
      </c>
      <c r="BN48">
        <v>26403</v>
      </c>
      <c r="BO48">
        <v>1275</v>
      </c>
      <c r="BP48">
        <v>2020</v>
      </c>
      <c r="BS48" s="2" t="s">
        <v>49</v>
      </c>
      <c r="BT48">
        <v>42884</v>
      </c>
      <c r="BU48">
        <v>1275</v>
      </c>
      <c r="BV48">
        <v>2020</v>
      </c>
      <c r="BY48" s="2" t="s">
        <v>49</v>
      </c>
      <c r="BZ48">
        <v>42438</v>
      </c>
      <c r="CA48">
        <v>1275</v>
      </c>
      <c r="CB48">
        <v>2020</v>
      </c>
      <c r="CE48" s="2" t="s">
        <v>49</v>
      </c>
      <c r="CF48">
        <v>43127</v>
      </c>
      <c r="CG48">
        <v>1275</v>
      </c>
      <c r="CH48">
        <v>2020</v>
      </c>
      <c r="CK48" s="2" t="s">
        <v>49</v>
      </c>
      <c r="CL48">
        <v>43640</v>
      </c>
      <c r="CM48">
        <v>1275</v>
      </c>
      <c r="CN48">
        <v>2020</v>
      </c>
    </row>
    <row r="49" spans="1:92" x14ac:dyDescent="0.25">
      <c r="A49">
        <v>75187492</v>
      </c>
      <c r="B49" s="3" t="s">
        <v>37</v>
      </c>
      <c r="C49" t="s">
        <v>144</v>
      </c>
      <c r="D49" t="s">
        <v>158</v>
      </c>
      <c r="E49">
        <v>2020</v>
      </c>
      <c r="F49" t="s">
        <v>159</v>
      </c>
      <c r="G49" t="s">
        <v>147</v>
      </c>
      <c r="H49" t="s">
        <v>148</v>
      </c>
      <c r="K49" t="s">
        <v>45</v>
      </c>
      <c r="L49" t="s">
        <v>149</v>
      </c>
      <c r="M49" t="s">
        <v>47</v>
      </c>
      <c r="N49">
        <v>160000</v>
      </c>
      <c r="O49">
        <v>20576</v>
      </c>
      <c r="P49">
        <v>139424</v>
      </c>
      <c r="Q49" t="s">
        <v>231</v>
      </c>
      <c r="R49" t="s">
        <v>147</v>
      </c>
      <c r="S49" s="2" t="s">
        <v>49</v>
      </c>
      <c r="T49">
        <v>448165</v>
      </c>
      <c r="U49" t="s">
        <v>50</v>
      </c>
      <c r="V49">
        <v>2020</v>
      </c>
      <c r="W49">
        <v>1173</v>
      </c>
      <c r="X49" t="s">
        <v>151</v>
      </c>
      <c r="Y49">
        <v>30</v>
      </c>
      <c r="Z49">
        <v>30</v>
      </c>
      <c r="AA49">
        <v>58</v>
      </c>
      <c r="AB49">
        <v>60</v>
      </c>
      <c r="AC49" s="2" t="s">
        <v>49</v>
      </c>
      <c r="AD49">
        <v>448191</v>
      </c>
      <c r="AE49" t="s">
        <v>50</v>
      </c>
      <c r="AF49">
        <v>2020</v>
      </c>
      <c r="AG49">
        <v>1173</v>
      </c>
      <c r="AH49" t="s">
        <v>151</v>
      </c>
      <c r="AI49">
        <v>30</v>
      </c>
      <c r="AJ49">
        <v>29</v>
      </c>
      <c r="AK49">
        <v>64</v>
      </c>
      <c r="AL49">
        <v>64</v>
      </c>
      <c r="AM49" s="2" t="s">
        <v>49</v>
      </c>
      <c r="AN49">
        <v>448171</v>
      </c>
      <c r="AO49" t="s">
        <v>50</v>
      </c>
      <c r="AP49">
        <v>2020</v>
      </c>
      <c r="AQ49">
        <v>1173</v>
      </c>
      <c r="AR49" t="s">
        <v>151</v>
      </c>
      <c r="AS49">
        <v>30</v>
      </c>
      <c r="AT49">
        <v>30</v>
      </c>
      <c r="AU49">
        <v>60</v>
      </c>
      <c r="AV49">
        <v>59</v>
      </c>
      <c r="AW49" s="2" t="s">
        <v>49</v>
      </c>
      <c r="AX49">
        <v>749305</v>
      </c>
      <c r="AY49" t="s">
        <v>62</v>
      </c>
      <c r="AZ49">
        <v>2020</v>
      </c>
      <c r="BA49">
        <v>1173</v>
      </c>
      <c r="BB49" t="s">
        <v>151</v>
      </c>
      <c r="BC49">
        <v>30</v>
      </c>
      <c r="BD49">
        <v>29</v>
      </c>
      <c r="BE49">
        <v>55</v>
      </c>
      <c r="BF49">
        <v>56</v>
      </c>
      <c r="BG49" s="2" t="s">
        <v>49</v>
      </c>
      <c r="BH49">
        <v>27599</v>
      </c>
      <c r="BI49">
        <v>1275</v>
      </c>
      <c r="BJ49">
        <v>2020</v>
      </c>
      <c r="BM49" s="2" t="s">
        <v>49</v>
      </c>
      <c r="BN49">
        <v>27642</v>
      </c>
      <c r="BO49">
        <v>1275</v>
      </c>
      <c r="BP49">
        <v>2020</v>
      </c>
      <c r="BS49" s="2" t="s">
        <v>49</v>
      </c>
      <c r="BT49">
        <v>45996</v>
      </c>
      <c r="BU49">
        <v>1275</v>
      </c>
      <c r="BV49">
        <v>2020</v>
      </c>
      <c r="BY49" s="2" t="s">
        <v>49</v>
      </c>
      <c r="BZ49">
        <v>46274</v>
      </c>
      <c r="CA49">
        <v>1275</v>
      </c>
      <c r="CB49">
        <v>2020</v>
      </c>
      <c r="CE49" s="2" t="s">
        <v>49</v>
      </c>
      <c r="CF49">
        <v>46112</v>
      </c>
      <c r="CG49">
        <v>1275</v>
      </c>
      <c r="CH49">
        <v>2020</v>
      </c>
      <c r="CK49" s="2" t="s">
        <v>49</v>
      </c>
      <c r="CL49">
        <v>46301</v>
      </c>
      <c r="CM49">
        <v>1275</v>
      </c>
      <c r="CN49">
        <v>2020</v>
      </c>
    </row>
    <row r="50" spans="1:92" x14ac:dyDescent="0.25">
      <c r="A50">
        <v>75188896</v>
      </c>
      <c r="B50" s="3" t="s">
        <v>37</v>
      </c>
      <c r="C50" t="s">
        <v>144</v>
      </c>
      <c r="D50" t="s">
        <v>158</v>
      </c>
      <c r="E50">
        <v>2020</v>
      </c>
      <c r="F50" t="s">
        <v>159</v>
      </c>
      <c r="G50" t="s">
        <v>232</v>
      </c>
      <c r="H50" t="s">
        <v>148</v>
      </c>
      <c r="K50" t="s">
        <v>45</v>
      </c>
      <c r="L50" t="s">
        <v>233</v>
      </c>
      <c r="M50" t="s">
        <v>47</v>
      </c>
      <c r="N50">
        <v>160000</v>
      </c>
      <c r="O50">
        <v>20766</v>
      </c>
      <c r="P50">
        <v>139234</v>
      </c>
      <c r="Q50" t="s">
        <v>234</v>
      </c>
      <c r="R50" t="s">
        <v>232</v>
      </c>
      <c r="S50" s="2" t="s">
        <v>49</v>
      </c>
      <c r="T50">
        <v>444968</v>
      </c>
      <c r="U50" t="s">
        <v>50</v>
      </c>
      <c r="V50">
        <v>2020</v>
      </c>
      <c r="W50">
        <v>1173</v>
      </c>
      <c r="X50" t="s">
        <v>163</v>
      </c>
      <c r="Y50">
        <v>30</v>
      </c>
      <c r="Z50">
        <v>30</v>
      </c>
      <c r="AA50">
        <v>62</v>
      </c>
      <c r="AB50">
        <v>63</v>
      </c>
      <c r="AC50" s="2" t="s">
        <v>49</v>
      </c>
      <c r="AD50">
        <v>445867</v>
      </c>
      <c r="AE50" t="s">
        <v>50</v>
      </c>
      <c r="AF50">
        <v>2020</v>
      </c>
      <c r="AG50">
        <v>1173</v>
      </c>
      <c r="AH50" t="s">
        <v>163</v>
      </c>
      <c r="AI50">
        <v>30</v>
      </c>
      <c r="AJ50">
        <v>30</v>
      </c>
      <c r="AK50">
        <v>64</v>
      </c>
      <c r="AL50">
        <v>63</v>
      </c>
      <c r="AM50" s="2" t="s">
        <v>49</v>
      </c>
      <c r="AN50">
        <v>749550</v>
      </c>
      <c r="AO50" t="s">
        <v>62</v>
      </c>
      <c r="AP50">
        <v>2020</v>
      </c>
      <c r="AQ50">
        <v>1173</v>
      </c>
      <c r="AR50" t="s">
        <v>163</v>
      </c>
      <c r="AS50">
        <v>30</v>
      </c>
      <c r="AT50">
        <v>29</v>
      </c>
      <c r="AU50">
        <v>60</v>
      </c>
      <c r="AV50">
        <v>60</v>
      </c>
      <c r="AW50" s="2" t="s">
        <v>49</v>
      </c>
      <c r="AX50">
        <v>749180</v>
      </c>
      <c r="AY50" t="s">
        <v>62</v>
      </c>
      <c r="AZ50">
        <v>2020</v>
      </c>
      <c r="BA50">
        <v>1173</v>
      </c>
      <c r="BB50" t="s">
        <v>163</v>
      </c>
      <c r="BC50">
        <v>30</v>
      </c>
      <c r="BD50">
        <v>30</v>
      </c>
      <c r="BE50">
        <v>64</v>
      </c>
      <c r="BF50">
        <v>63</v>
      </c>
      <c r="BG50" s="2" t="s">
        <v>49</v>
      </c>
      <c r="BH50">
        <v>27790</v>
      </c>
      <c r="BI50">
        <v>1275</v>
      </c>
      <c r="BJ50">
        <v>2020</v>
      </c>
      <c r="BM50" s="2" t="s">
        <v>49</v>
      </c>
      <c r="BN50">
        <v>27813</v>
      </c>
      <c r="BO50">
        <v>1275</v>
      </c>
      <c r="BP50">
        <v>2020</v>
      </c>
      <c r="BS50" s="2" t="s">
        <v>49</v>
      </c>
      <c r="BT50">
        <v>46043</v>
      </c>
      <c r="BU50">
        <v>1275</v>
      </c>
      <c r="BV50">
        <v>2020</v>
      </c>
      <c r="BY50" s="2" t="s">
        <v>49</v>
      </c>
      <c r="BZ50">
        <v>46233</v>
      </c>
      <c r="CA50">
        <v>1275</v>
      </c>
      <c r="CB50">
        <v>2020</v>
      </c>
      <c r="CE50" s="2" t="s">
        <v>49</v>
      </c>
      <c r="CF50">
        <v>46465</v>
      </c>
      <c r="CG50">
        <v>1275</v>
      </c>
      <c r="CH50">
        <v>2020</v>
      </c>
      <c r="CK50" s="2" t="s">
        <v>49</v>
      </c>
      <c r="CL50">
        <v>46555</v>
      </c>
      <c r="CM50">
        <v>1275</v>
      </c>
      <c r="CN50">
        <v>2020</v>
      </c>
    </row>
    <row r="51" spans="1:92" x14ac:dyDescent="0.25">
      <c r="A51">
        <v>75176594</v>
      </c>
      <c r="B51" s="3" t="s">
        <v>37</v>
      </c>
      <c r="C51" t="s">
        <v>144</v>
      </c>
      <c r="D51" t="s">
        <v>191</v>
      </c>
      <c r="E51">
        <v>2020</v>
      </c>
      <c r="F51" t="s">
        <v>192</v>
      </c>
      <c r="G51" t="s">
        <v>235</v>
      </c>
      <c r="H51" t="s">
        <v>148</v>
      </c>
      <c r="K51" t="s">
        <v>45</v>
      </c>
      <c r="L51" t="s">
        <v>236</v>
      </c>
      <c r="M51" t="s">
        <v>47</v>
      </c>
      <c r="N51">
        <v>160000</v>
      </c>
      <c r="O51">
        <v>10380</v>
      </c>
      <c r="P51">
        <v>149620</v>
      </c>
      <c r="Q51" t="s">
        <v>237</v>
      </c>
      <c r="R51" t="s">
        <v>235</v>
      </c>
      <c r="S51" s="2" t="s">
        <v>49</v>
      </c>
      <c r="T51">
        <v>742378</v>
      </c>
      <c r="U51" t="s">
        <v>62</v>
      </c>
      <c r="V51">
        <v>2020</v>
      </c>
      <c r="W51">
        <v>1173</v>
      </c>
      <c r="X51" t="s">
        <v>51</v>
      </c>
      <c r="Y51">
        <v>30</v>
      </c>
      <c r="Z51">
        <v>29</v>
      </c>
      <c r="AA51">
        <v>62</v>
      </c>
      <c r="AB51">
        <v>60</v>
      </c>
      <c r="AC51" s="2" t="s">
        <v>49</v>
      </c>
      <c r="AD51">
        <v>744698</v>
      </c>
      <c r="AE51" t="s">
        <v>62</v>
      </c>
      <c r="AF51">
        <v>2020</v>
      </c>
      <c r="AG51">
        <v>1173</v>
      </c>
      <c r="AH51" t="s">
        <v>51</v>
      </c>
      <c r="AI51">
        <v>29</v>
      </c>
      <c r="AJ51">
        <v>30</v>
      </c>
      <c r="AK51">
        <v>63</v>
      </c>
      <c r="AL51">
        <v>64</v>
      </c>
      <c r="AM51" s="2" t="s">
        <v>49</v>
      </c>
      <c r="AN51">
        <v>743256</v>
      </c>
      <c r="AO51" t="s">
        <v>62</v>
      </c>
      <c r="AP51">
        <v>2020</v>
      </c>
      <c r="AQ51">
        <v>1173</v>
      </c>
      <c r="AR51" t="s">
        <v>51</v>
      </c>
      <c r="AS51">
        <v>30</v>
      </c>
      <c r="AT51">
        <v>30</v>
      </c>
      <c r="AU51">
        <v>60</v>
      </c>
      <c r="AV51">
        <v>61</v>
      </c>
      <c r="AW51" s="2" t="s">
        <v>49</v>
      </c>
      <c r="AX51">
        <v>446201</v>
      </c>
      <c r="AY51" t="s">
        <v>50</v>
      </c>
      <c r="AZ51">
        <v>2020</v>
      </c>
      <c r="BA51">
        <v>1173</v>
      </c>
      <c r="BB51" t="s">
        <v>51</v>
      </c>
      <c r="BC51">
        <v>30</v>
      </c>
      <c r="BD51">
        <v>29</v>
      </c>
      <c r="BE51">
        <v>59</v>
      </c>
      <c r="BF51">
        <v>61</v>
      </c>
      <c r="BG51" s="2" t="s">
        <v>49</v>
      </c>
      <c r="BH51">
        <v>27010</v>
      </c>
      <c r="BI51">
        <v>1275</v>
      </c>
      <c r="BJ51">
        <v>2020</v>
      </c>
      <c r="BM51" s="2" t="s">
        <v>49</v>
      </c>
      <c r="BN51">
        <v>26875</v>
      </c>
      <c r="BO51">
        <v>1275</v>
      </c>
      <c r="BP51">
        <v>2020</v>
      </c>
      <c r="BS51" s="2" t="s">
        <v>49</v>
      </c>
      <c r="BT51">
        <v>43539</v>
      </c>
      <c r="BU51">
        <v>1275</v>
      </c>
      <c r="BV51">
        <v>2020</v>
      </c>
      <c r="BY51" s="2" t="s">
        <v>49</v>
      </c>
      <c r="BZ51">
        <v>45000</v>
      </c>
      <c r="CA51">
        <v>1275</v>
      </c>
      <c r="CB51">
        <v>2020</v>
      </c>
      <c r="CE51" s="2" t="s">
        <v>49</v>
      </c>
      <c r="CF51">
        <v>39609</v>
      </c>
      <c r="CG51">
        <v>1275</v>
      </c>
      <c r="CH51">
        <v>2020</v>
      </c>
      <c r="CK51" s="2" t="s">
        <v>49</v>
      </c>
      <c r="CL51">
        <v>39890</v>
      </c>
      <c r="CM51">
        <v>1275</v>
      </c>
      <c r="CN51">
        <v>2020</v>
      </c>
    </row>
    <row r="52" spans="1:92" x14ac:dyDescent="0.25">
      <c r="A52">
        <v>75182394</v>
      </c>
      <c r="B52" s="3" t="s">
        <v>37</v>
      </c>
      <c r="C52" t="s">
        <v>144</v>
      </c>
      <c r="D52" t="s">
        <v>145</v>
      </c>
      <c r="E52">
        <v>2020</v>
      </c>
      <c r="F52" t="s">
        <v>146</v>
      </c>
      <c r="G52" t="s">
        <v>181</v>
      </c>
      <c r="H52" t="s">
        <v>42</v>
      </c>
      <c r="K52" t="s">
        <v>45</v>
      </c>
      <c r="L52" t="s">
        <v>182</v>
      </c>
      <c r="M52" t="s">
        <v>47</v>
      </c>
      <c r="N52">
        <v>160000</v>
      </c>
      <c r="O52">
        <v>22305</v>
      </c>
      <c r="P52">
        <v>137695</v>
      </c>
      <c r="Q52" t="s">
        <v>238</v>
      </c>
      <c r="R52" t="s">
        <v>181</v>
      </c>
      <c r="S52" s="2" t="s">
        <v>49</v>
      </c>
      <c r="T52">
        <v>742302</v>
      </c>
      <c r="U52" t="s">
        <v>62</v>
      </c>
      <c r="V52">
        <v>2020</v>
      </c>
      <c r="W52">
        <v>301</v>
      </c>
      <c r="X52" t="s">
        <v>170</v>
      </c>
      <c r="Y52">
        <v>31</v>
      </c>
      <c r="Z52">
        <v>31</v>
      </c>
      <c r="AA52">
        <v>63</v>
      </c>
      <c r="AB52">
        <v>63</v>
      </c>
      <c r="AC52" s="2" t="s">
        <v>49</v>
      </c>
      <c r="AD52">
        <v>749643</v>
      </c>
      <c r="AE52" t="s">
        <v>62</v>
      </c>
      <c r="AF52">
        <v>2020</v>
      </c>
      <c r="AG52">
        <v>301</v>
      </c>
      <c r="AH52" t="s">
        <v>170</v>
      </c>
      <c r="AI52">
        <v>31</v>
      </c>
      <c r="AJ52">
        <v>31</v>
      </c>
      <c r="AK52">
        <v>60</v>
      </c>
      <c r="AL52">
        <v>60</v>
      </c>
      <c r="AM52" s="2" t="s">
        <v>49</v>
      </c>
      <c r="AN52">
        <v>448305</v>
      </c>
      <c r="AO52" t="s">
        <v>50</v>
      </c>
      <c r="AP52">
        <v>2020</v>
      </c>
      <c r="AQ52">
        <v>301</v>
      </c>
      <c r="AR52" t="s">
        <v>170</v>
      </c>
      <c r="AS52">
        <v>30</v>
      </c>
      <c r="AT52">
        <v>30</v>
      </c>
      <c r="AU52">
        <v>62</v>
      </c>
      <c r="AV52">
        <v>62</v>
      </c>
      <c r="AW52" s="2" t="s">
        <v>49</v>
      </c>
      <c r="AX52">
        <v>448215</v>
      </c>
      <c r="AY52" t="s">
        <v>50</v>
      </c>
      <c r="AZ52">
        <v>2020</v>
      </c>
      <c r="BA52">
        <v>301</v>
      </c>
      <c r="BB52" t="s">
        <v>170</v>
      </c>
      <c r="BC52">
        <v>30</v>
      </c>
      <c r="BD52">
        <v>30</v>
      </c>
      <c r="BE52">
        <v>62</v>
      </c>
      <c r="BF52">
        <v>62</v>
      </c>
      <c r="BG52" s="2" t="s">
        <v>49</v>
      </c>
      <c r="BH52">
        <v>26521</v>
      </c>
      <c r="BI52">
        <v>1275</v>
      </c>
      <c r="BJ52">
        <v>2020</v>
      </c>
      <c r="BM52" s="2" t="s">
        <v>49</v>
      </c>
      <c r="BN52">
        <v>26577</v>
      </c>
      <c r="BO52">
        <v>1275</v>
      </c>
      <c r="BP52">
        <v>2020</v>
      </c>
      <c r="BS52" s="2" t="s">
        <v>49</v>
      </c>
      <c r="BT52">
        <v>43104</v>
      </c>
      <c r="BU52">
        <v>1275</v>
      </c>
      <c r="BV52">
        <v>2020</v>
      </c>
      <c r="BY52" s="2" t="s">
        <v>49</v>
      </c>
      <c r="BZ52">
        <v>43008</v>
      </c>
      <c r="CA52">
        <v>1275</v>
      </c>
      <c r="CB52">
        <v>2020</v>
      </c>
      <c r="CE52" s="2" t="s">
        <v>49</v>
      </c>
      <c r="CF52">
        <v>43220</v>
      </c>
      <c r="CG52">
        <v>1275</v>
      </c>
      <c r="CH52">
        <v>2020</v>
      </c>
      <c r="CK52" s="2" t="s">
        <v>49</v>
      </c>
      <c r="CL52">
        <v>43017</v>
      </c>
      <c r="CM52">
        <v>1275</v>
      </c>
      <c r="CN52">
        <v>2020</v>
      </c>
    </row>
    <row r="53" spans="1:92" x14ac:dyDescent="0.25">
      <c r="A53">
        <v>75189092</v>
      </c>
      <c r="B53" s="3" t="s">
        <v>37</v>
      </c>
      <c r="C53" t="s">
        <v>144</v>
      </c>
      <c r="D53" t="s">
        <v>158</v>
      </c>
      <c r="E53">
        <v>2020</v>
      </c>
      <c r="F53" t="s">
        <v>159</v>
      </c>
      <c r="G53" t="s">
        <v>239</v>
      </c>
      <c r="H53" t="s">
        <v>148</v>
      </c>
      <c r="K53" t="s">
        <v>45</v>
      </c>
      <c r="L53" t="s">
        <v>240</v>
      </c>
      <c r="M53" t="s">
        <v>47</v>
      </c>
      <c r="N53">
        <v>160000</v>
      </c>
      <c r="O53">
        <v>17214</v>
      </c>
      <c r="P53">
        <v>142786</v>
      </c>
      <c r="Q53" t="s">
        <v>241</v>
      </c>
      <c r="R53" t="s">
        <v>239</v>
      </c>
      <c r="S53" s="2" t="s">
        <v>49</v>
      </c>
      <c r="T53">
        <v>445896</v>
      </c>
      <c r="U53" t="s">
        <v>50</v>
      </c>
      <c r="V53">
        <v>2020</v>
      </c>
      <c r="W53">
        <v>1173</v>
      </c>
      <c r="X53" t="s">
        <v>170</v>
      </c>
      <c r="Y53">
        <v>30</v>
      </c>
      <c r="Z53">
        <v>30</v>
      </c>
      <c r="AA53">
        <v>63</v>
      </c>
      <c r="AB53">
        <v>63</v>
      </c>
      <c r="AC53" s="2" t="s">
        <v>49</v>
      </c>
      <c r="AD53">
        <v>749447</v>
      </c>
      <c r="AE53" t="s">
        <v>62</v>
      </c>
      <c r="AF53">
        <v>2020</v>
      </c>
      <c r="AG53">
        <v>1173</v>
      </c>
      <c r="AH53" t="s">
        <v>170</v>
      </c>
      <c r="AI53">
        <v>30</v>
      </c>
      <c r="AJ53">
        <v>30</v>
      </c>
      <c r="AK53">
        <v>62</v>
      </c>
      <c r="AL53">
        <v>61</v>
      </c>
      <c r="AM53" s="2" t="s">
        <v>49</v>
      </c>
      <c r="AN53">
        <v>748876</v>
      </c>
      <c r="AO53" t="s">
        <v>62</v>
      </c>
      <c r="AP53">
        <v>2020</v>
      </c>
      <c r="AQ53">
        <v>1173</v>
      </c>
      <c r="AR53" t="s">
        <v>170</v>
      </c>
      <c r="AS53">
        <v>30</v>
      </c>
      <c r="AT53">
        <v>29</v>
      </c>
      <c r="AU53">
        <v>58</v>
      </c>
      <c r="AV53">
        <v>58</v>
      </c>
      <c r="AW53" s="2" t="s">
        <v>49</v>
      </c>
      <c r="AX53">
        <v>748883</v>
      </c>
      <c r="AY53" t="s">
        <v>62</v>
      </c>
      <c r="AZ53">
        <v>2020</v>
      </c>
      <c r="BA53">
        <v>1173</v>
      </c>
      <c r="BB53" t="s">
        <v>170</v>
      </c>
      <c r="BC53">
        <v>29</v>
      </c>
      <c r="BD53">
        <v>30</v>
      </c>
      <c r="BE53">
        <v>60</v>
      </c>
      <c r="BF53">
        <v>60</v>
      </c>
      <c r="BG53" s="2" t="s">
        <v>49</v>
      </c>
      <c r="BH53">
        <v>27702</v>
      </c>
      <c r="BI53">
        <v>1275</v>
      </c>
      <c r="BJ53">
        <v>2020</v>
      </c>
      <c r="BM53" s="2" t="s">
        <v>49</v>
      </c>
      <c r="BN53">
        <v>27767</v>
      </c>
      <c r="BO53">
        <v>1275</v>
      </c>
      <c r="BP53">
        <v>2020</v>
      </c>
      <c r="BS53" s="2" t="s">
        <v>49</v>
      </c>
      <c r="BT53">
        <v>46035</v>
      </c>
      <c r="BU53">
        <v>1275</v>
      </c>
      <c r="BV53">
        <v>2020</v>
      </c>
      <c r="BY53" s="2" t="s">
        <v>49</v>
      </c>
      <c r="BZ53">
        <v>46882</v>
      </c>
      <c r="CA53">
        <v>1275</v>
      </c>
      <c r="CB53">
        <v>2020</v>
      </c>
      <c r="CE53" s="2" t="s">
        <v>49</v>
      </c>
      <c r="CF53">
        <v>44845</v>
      </c>
      <c r="CG53">
        <v>1275</v>
      </c>
      <c r="CH53">
        <v>2020</v>
      </c>
      <c r="CK53" s="2" t="s">
        <v>49</v>
      </c>
      <c r="CL53">
        <v>45695</v>
      </c>
      <c r="CM53">
        <v>1275</v>
      </c>
      <c r="CN53">
        <v>2020</v>
      </c>
    </row>
    <row r="54" spans="1:92" x14ac:dyDescent="0.25">
      <c r="A54">
        <v>75184192</v>
      </c>
      <c r="B54" s="3" t="s">
        <v>37</v>
      </c>
      <c r="C54" t="s">
        <v>144</v>
      </c>
      <c r="D54" t="s">
        <v>145</v>
      </c>
      <c r="E54">
        <v>2020</v>
      </c>
      <c r="F54" t="s">
        <v>146</v>
      </c>
      <c r="G54" t="s">
        <v>242</v>
      </c>
      <c r="H54" t="s">
        <v>148</v>
      </c>
      <c r="K54" t="s">
        <v>45</v>
      </c>
      <c r="L54" t="s">
        <v>243</v>
      </c>
      <c r="M54" t="s">
        <v>47</v>
      </c>
      <c r="N54">
        <v>160000</v>
      </c>
      <c r="O54">
        <v>32719</v>
      </c>
      <c r="P54">
        <v>127281</v>
      </c>
      <c r="Q54" t="s">
        <v>244</v>
      </c>
      <c r="R54" t="s">
        <v>242</v>
      </c>
      <c r="S54" s="2" t="s">
        <v>49</v>
      </c>
      <c r="T54">
        <v>448259</v>
      </c>
      <c r="U54" t="s">
        <v>50</v>
      </c>
      <c r="V54">
        <v>2020</v>
      </c>
      <c r="W54">
        <v>1173</v>
      </c>
      <c r="X54" t="s">
        <v>170</v>
      </c>
      <c r="Y54">
        <v>31</v>
      </c>
      <c r="Z54">
        <v>30</v>
      </c>
      <c r="AA54">
        <v>52</v>
      </c>
      <c r="AB54">
        <v>53</v>
      </c>
      <c r="AC54" s="2" t="s">
        <v>49</v>
      </c>
      <c r="AD54">
        <v>751736</v>
      </c>
      <c r="AE54" t="s">
        <v>62</v>
      </c>
      <c r="AF54">
        <v>2020</v>
      </c>
      <c r="AG54">
        <v>1173</v>
      </c>
      <c r="AH54" t="s">
        <v>170</v>
      </c>
      <c r="AI54">
        <v>30</v>
      </c>
      <c r="AJ54">
        <v>30</v>
      </c>
      <c r="AK54">
        <v>52</v>
      </c>
      <c r="AL54">
        <v>52</v>
      </c>
      <c r="AM54" s="2" t="s">
        <v>49</v>
      </c>
      <c r="AN54">
        <v>751684</v>
      </c>
      <c r="AO54" t="s">
        <v>62</v>
      </c>
      <c r="AP54">
        <v>2020</v>
      </c>
      <c r="AQ54">
        <v>1173</v>
      </c>
      <c r="AR54" t="s">
        <v>170</v>
      </c>
      <c r="AS54">
        <v>30</v>
      </c>
      <c r="AT54">
        <v>29</v>
      </c>
      <c r="AU54">
        <v>60</v>
      </c>
      <c r="AV54">
        <v>61</v>
      </c>
      <c r="AW54" s="2" t="s">
        <v>49</v>
      </c>
      <c r="AX54">
        <v>753621</v>
      </c>
      <c r="AY54" t="s">
        <v>62</v>
      </c>
      <c r="AZ54">
        <v>2020</v>
      </c>
      <c r="BA54">
        <v>1173</v>
      </c>
      <c r="BB54" t="s">
        <v>170</v>
      </c>
      <c r="BC54">
        <v>32</v>
      </c>
      <c r="BD54">
        <v>31</v>
      </c>
      <c r="BE54">
        <v>53</v>
      </c>
      <c r="BF54">
        <v>55</v>
      </c>
      <c r="BG54" s="2" t="s">
        <v>49</v>
      </c>
      <c r="BH54">
        <v>27528</v>
      </c>
      <c r="BI54">
        <v>1275</v>
      </c>
      <c r="BJ54">
        <v>2020</v>
      </c>
      <c r="BM54" s="2" t="s">
        <v>49</v>
      </c>
      <c r="BN54">
        <v>27554</v>
      </c>
      <c r="BO54">
        <v>1275</v>
      </c>
      <c r="BP54">
        <v>2020</v>
      </c>
      <c r="BS54" s="2" t="s">
        <v>49</v>
      </c>
      <c r="BT54">
        <v>45202</v>
      </c>
      <c r="BU54">
        <v>1275</v>
      </c>
      <c r="BV54">
        <v>2020</v>
      </c>
      <c r="BY54" s="2" t="s">
        <v>49</v>
      </c>
      <c r="BZ54">
        <v>45602</v>
      </c>
      <c r="CA54">
        <v>1275</v>
      </c>
      <c r="CB54">
        <v>2020</v>
      </c>
      <c r="CE54" s="2" t="s">
        <v>49</v>
      </c>
      <c r="CF54">
        <v>46042</v>
      </c>
      <c r="CG54">
        <v>1275</v>
      </c>
      <c r="CH54">
        <v>2020</v>
      </c>
      <c r="CK54" s="2" t="s">
        <v>49</v>
      </c>
      <c r="CL54">
        <v>46269</v>
      </c>
      <c r="CM54">
        <v>1275</v>
      </c>
      <c r="CN54">
        <v>2020</v>
      </c>
    </row>
    <row r="55" spans="1:92" x14ac:dyDescent="0.25">
      <c r="A55">
        <v>75184499</v>
      </c>
      <c r="B55" s="3" t="s">
        <v>37</v>
      </c>
      <c r="C55" t="s">
        <v>144</v>
      </c>
      <c r="D55" t="s">
        <v>145</v>
      </c>
      <c r="E55">
        <v>2020</v>
      </c>
      <c r="F55" t="s">
        <v>146</v>
      </c>
      <c r="G55" t="s">
        <v>160</v>
      </c>
      <c r="H55" t="s">
        <v>148</v>
      </c>
      <c r="K55" t="s">
        <v>45</v>
      </c>
      <c r="L55" t="s">
        <v>161</v>
      </c>
      <c r="M55" t="s">
        <v>47</v>
      </c>
      <c r="N55">
        <v>160000</v>
      </c>
      <c r="O55">
        <v>22865</v>
      </c>
      <c r="P55">
        <v>137135</v>
      </c>
      <c r="Q55" t="s">
        <v>245</v>
      </c>
      <c r="R55" t="s">
        <v>160</v>
      </c>
      <c r="S55" s="2" t="s">
        <v>49</v>
      </c>
      <c r="T55">
        <v>752668</v>
      </c>
      <c r="U55" t="s">
        <v>62</v>
      </c>
      <c r="V55">
        <v>2020</v>
      </c>
      <c r="W55">
        <v>1173</v>
      </c>
      <c r="X55" t="s">
        <v>163</v>
      </c>
      <c r="Y55">
        <v>29</v>
      </c>
      <c r="Z55">
        <v>29</v>
      </c>
      <c r="AA55">
        <v>52</v>
      </c>
      <c r="AB55">
        <v>53</v>
      </c>
      <c r="AC55" s="2" t="s">
        <v>49</v>
      </c>
      <c r="AD55">
        <v>449058</v>
      </c>
      <c r="AE55" t="s">
        <v>50</v>
      </c>
      <c r="AF55">
        <v>2020</v>
      </c>
      <c r="AG55">
        <v>1173</v>
      </c>
      <c r="AH55" t="s">
        <v>163</v>
      </c>
      <c r="AI55">
        <v>30</v>
      </c>
      <c r="AJ55">
        <v>29</v>
      </c>
      <c r="AK55">
        <v>52</v>
      </c>
      <c r="AL55">
        <v>53</v>
      </c>
      <c r="AM55" s="2" t="s">
        <v>49</v>
      </c>
      <c r="AN55">
        <v>445911</v>
      </c>
      <c r="AO55" t="s">
        <v>50</v>
      </c>
      <c r="AP55">
        <v>2020</v>
      </c>
      <c r="AQ55">
        <v>1173</v>
      </c>
      <c r="AR55" t="s">
        <v>163</v>
      </c>
      <c r="AS55">
        <v>30</v>
      </c>
      <c r="AT55">
        <v>29</v>
      </c>
      <c r="AU55">
        <v>54</v>
      </c>
      <c r="AV55">
        <v>55</v>
      </c>
      <c r="AW55" s="2" t="s">
        <v>49</v>
      </c>
      <c r="AX55">
        <v>749571</v>
      </c>
      <c r="AY55" t="s">
        <v>62</v>
      </c>
      <c r="AZ55">
        <v>2020</v>
      </c>
      <c r="BA55">
        <v>1173</v>
      </c>
      <c r="BB55" t="s">
        <v>163</v>
      </c>
      <c r="BC55">
        <v>29</v>
      </c>
      <c r="BD55">
        <v>30</v>
      </c>
      <c r="BE55">
        <v>61</v>
      </c>
      <c r="BF55">
        <v>61</v>
      </c>
      <c r="BG55" s="2" t="s">
        <v>49</v>
      </c>
      <c r="BH55">
        <v>27561</v>
      </c>
      <c r="BI55">
        <v>1275</v>
      </c>
      <c r="BJ55">
        <v>2020</v>
      </c>
      <c r="BM55" s="2" t="s">
        <v>49</v>
      </c>
      <c r="BN55">
        <v>27511</v>
      </c>
      <c r="BO55">
        <v>1275</v>
      </c>
      <c r="BP55">
        <v>2020</v>
      </c>
      <c r="BS55" s="2" t="s">
        <v>49</v>
      </c>
      <c r="BT55">
        <v>45859</v>
      </c>
      <c r="BU55">
        <v>1275</v>
      </c>
      <c r="BV55">
        <v>2020</v>
      </c>
      <c r="BY55" s="2" t="s">
        <v>49</v>
      </c>
      <c r="BZ55">
        <v>45938</v>
      </c>
      <c r="CA55">
        <v>1275</v>
      </c>
      <c r="CB55">
        <v>2020</v>
      </c>
      <c r="CE55" s="2" t="s">
        <v>49</v>
      </c>
      <c r="CF55">
        <v>45705</v>
      </c>
      <c r="CG55">
        <v>1275</v>
      </c>
      <c r="CH55">
        <v>2020</v>
      </c>
      <c r="CK55" s="2" t="s">
        <v>49</v>
      </c>
      <c r="CL55">
        <v>45987</v>
      </c>
      <c r="CM55">
        <v>1275</v>
      </c>
      <c r="CN55">
        <v>2020</v>
      </c>
    </row>
    <row r="56" spans="1:92" x14ac:dyDescent="0.25">
      <c r="A56">
        <v>75184697</v>
      </c>
      <c r="B56" s="3" t="s">
        <v>37</v>
      </c>
      <c r="C56" t="s">
        <v>144</v>
      </c>
      <c r="D56" t="s">
        <v>145</v>
      </c>
      <c r="E56">
        <v>2020</v>
      </c>
      <c r="F56" t="s">
        <v>146</v>
      </c>
      <c r="G56" t="s">
        <v>246</v>
      </c>
      <c r="H56" t="s">
        <v>42</v>
      </c>
      <c r="K56" t="s">
        <v>45</v>
      </c>
      <c r="L56" t="s">
        <v>247</v>
      </c>
      <c r="M56" t="s">
        <v>47</v>
      </c>
      <c r="N56">
        <v>160000</v>
      </c>
      <c r="O56">
        <v>24389</v>
      </c>
      <c r="P56">
        <v>135611</v>
      </c>
      <c r="Q56" t="s">
        <v>248</v>
      </c>
      <c r="R56" t="s">
        <v>246</v>
      </c>
      <c r="S56" s="2" t="s">
        <v>49</v>
      </c>
      <c r="T56">
        <v>448185</v>
      </c>
      <c r="U56" t="s">
        <v>50</v>
      </c>
      <c r="V56">
        <v>2020</v>
      </c>
      <c r="W56">
        <v>301</v>
      </c>
      <c r="X56" t="s">
        <v>170</v>
      </c>
      <c r="Y56">
        <v>31</v>
      </c>
      <c r="Z56">
        <v>31</v>
      </c>
      <c r="AA56">
        <v>63</v>
      </c>
      <c r="AB56">
        <v>63</v>
      </c>
      <c r="AC56" s="2" t="s">
        <v>49</v>
      </c>
      <c r="AD56">
        <v>151452</v>
      </c>
      <c r="AE56" t="s">
        <v>62</v>
      </c>
      <c r="AF56">
        <v>2020</v>
      </c>
      <c r="AG56">
        <v>301</v>
      </c>
      <c r="AH56" t="s">
        <v>170</v>
      </c>
      <c r="AI56">
        <v>32</v>
      </c>
      <c r="AJ56">
        <v>32</v>
      </c>
      <c r="AK56">
        <v>63</v>
      </c>
      <c r="AL56">
        <v>63</v>
      </c>
      <c r="AM56" s="2" t="s">
        <v>49</v>
      </c>
      <c r="AN56">
        <v>446166</v>
      </c>
      <c r="AO56" t="s">
        <v>50</v>
      </c>
      <c r="AP56">
        <v>2020</v>
      </c>
      <c r="AQ56">
        <v>301</v>
      </c>
      <c r="AR56" t="s">
        <v>170</v>
      </c>
      <c r="AS56">
        <v>30</v>
      </c>
      <c r="AT56">
        <v>30</v>
      </c>
      <c r="AU56">
        <v>63</v>
      </c>
      <c r="AV56">
        <v>63</v>
      </c>
      <c r="AW56" s="2" t="s">
        <v>49</v>
      </c>
      <c r="AX56">
        <v>744714</v>
      </c>
      <c r="AY56" t="s">
        <v>62</v>
      </c>
      <c r="AZ56">
        <v>2020</v>
      </c>
      <c r="BA56">
        <v>301</v>
      </c>
      <c r="BB56" t="s">
        <v>170</v>
      </c>
      <c r="BC56">
        <v>32</v>
      </c>
      <c r="BD56">
        <v>32</v>
      </c>
      <c r="BE56">
        <v>64</v>
      </c>
      <c r="BF56">
        <v>64</v>
      </c>
      <c r="BG56" s="2" t="s">
        <v>49</v>
      </c>
      <c r="BH56">
        <v>27485</v>
      </c>
      <c r="BI56">
        <v>1275</v>
      </c>
      <c r="BJ56">
        <v>2020</v>
      </c>
      <c r="BM56" s="2" t="s">
        <v>49</v>
      </c>
      <c r="BN56">
        <v>27636</v>
      </c>
      <c r="BO56">
        <v>1275</v>
      </c>
      <c r="BP56">
        <v>2020</v>
      </c>
      <c r="BS56" s="2" t="s">
        <v>49</v>
      </c>
      <c r="BT56">
        <v>46358</v>
      </c>
      <c r="BU56">
        <v>1275</v>
      </c>
      <c r="BV56">
        <v>2020</v>
      </c>
      <c r="BY56" s="2" t="s">
        <v>49</v>
      </c>
      <c r="BZ56">
        <v>45693</v>
      </c>
      <c r="CA56">
        <v>1275</v>
      </c>
      <c r="CB56">
        <v>2020</v>
      </c>
      <c r="CE56" s="2" t="s">
        <v>49</v>
      </c>
      <c r="CF56">
        <v>46379</v>
      </c>
      <c r="CG56">
        <v>1275</v>
      </c>
      <c r="CH56">
        <v>2020</v>
      </c>
      <c r="CK56" s="2" t="s">
        <v>49</v>
      </c>
      <c r="CL56">
        <v>46147</v>
      </c>
      <c r="CM56">
        <v>1275</v>
      </c>
      <c r="CN56">
        <v>2020</v>
      </c>
    </row>
    <row r="57" spans="1:92" x14ac:dyDescent="0.25">
      <c r="A57">
        <v>75183392</v>
      </c>
      <c r="B57" s="3" t="s">
        <v>37</v>
      </c>
      <c r="C57" t="s">
        <v>144</v>
      </c>
      <c r="D57" t="s">
        <v>145</v>
      </c>
      <c r="E57">
        <v>2020</v>
      </c>
      <c r="F57" t="s">
        <v>146</v>
      </c>
      <c r="G57" t="s">
        <v>246</v>
      </c>
      <c r="H57" t="s">
        <v>42</v>
      </c>
      <c r="K57" t="s">
        <v>45</v>
      </c>
      <c r="L57" t="s">
        <v>247</v>
      </c>
      <c r="M57" t="s">
        <v>47</v>
      </c>
      <c r="N57">
        <v>160000</v>
      </c>
      <c r="O57">
        <v>27197</v>
      </c>
      <c r="P57">
        <v>132803</v>
      </c>
      <c r="Q57" t="s">
        <v>249</v>
      </c>
      <c r="R57" t="s">
        <v>246</v>
      </c>
      <c r="S57" s="2" t="s">
        <v>49</v>
      </c>
      <c r="T57">
        <v>446706</v>
      </c>
      <c r="U57" t="s">
        <v>50</v>
      </c>
      <c r="V57">
        <v>2020</v>
      </c>
      <c r="W57">
        <v>301</v>
      </c>
      <c r="X57" t="s">
        <v>170</v>
      </c>
      <c r="Y57">
        <v>31</v>
      </c>
      <c r="Z57">
        <v>31</v>
      </c>
      <c r="AA57">
        <v>55</v>
      </c>
      <c r="AB57">
        <v>55</v>
      </c>
      <c r="AC57" s="2" t="s">
        <v>49</v>
      </c>
      <c r="AD57">
        <v>744703</v>
      </c>
      <c r="AE57" t="s">
        <v>62</v>
      </c>
      <c r="AF57">
        <v>2020</v>
      </c>
      <c r="AG57">
        <v>301</v>
      </c>
      <c r="AH57" t="s">
        <v>170</v>
      </c>
      <c r="AI57">
        <v>31</v>
      </c>
      <c r="AJ57">
        <v>31</v>
      </c>
      <c r="AK57">
        <v>61</v>
      </c>
      <c r="AL57">
        <v>61</v>
      </c>
      <c r="AM57" s="2" t="s">
        <v>49</v>
      </c>
      <c r="AN57">
        <v>446485</v>
      </c>
      <c r="AO57" t="s">
        <v>50</v>
      </c>
      <c r="AP57">
        <v>2020</v>
      </c>
      <c r="AQ57">
        <v>301</v>
      </c>
      <c r="AR57" t="s">
        <v>170</v>
      </c>
      <c r="AS57">
        <v>30</v>
      </c>
      <c r="AT57">
        <v>30</v>
      </c>
      <c r="AU57">
        <v>63</v>
      </c>
      <c r="AV57">
        <v>63</v>
      </c>
      <c r="AW57" s="2" t="s">
        <v>49</v>
      </c>
      <c r="AX57">
        <v>12291</v>
      </c>
      <c r="AY57">
        <v>2002</v>
      </c>
      <c r="AZ57">
        <v>2020</v>
      </c>
      <c r="BA57">
        <v>301</v>
      </c>
      <c r="BB57" t="s">
        <v>170</v>
      </c>
      <c r="BC57">
        <v>30</v>
      </c>
      <c r="BD57">
        <v>30</v>
      </c>
      <c r="BE57">
        <v>65</v>
      </c>
      <c r="BF57">
        <v>65</v>
      </c>
      <c r="BG57" s="2" t="s">
        <v>49</v>
      </c>
      <c r="BH57">
        <v>27409</v>
      </c>
      <c r="BI57">
        <v>1275</v>
      </c>
      <c r="BJ57">
        <v>2020</v>
      </c>
      <c r="BM57" s="2" t="s">
        <v>49</v>
      </c>
      <c r="BN57">
        <v>27297</v>
      </c>
      <c r="BO57">
        <v>1275</v>
      </c>
      <c r="BP57">
        <v>2020</v>
      </c>
      <c r="BS57" s="2" t="s">
        <v>49</v>
      </c>
      <c r="BT57">
        <v>45643</v>
      </c>
      <c r="BU57">
        <v>1275</v>
      </c>
      <c r="BV57">
        <v>2020</v>
      </c>
      <c r="BY57" s="2" t="s">
        <v>49</v>
      </c>
      <c r="BZ57">
        <v>45648</v>
      </c>
      <c r="CA57">
        <v>1275</v>
      </c>
      <c r="CB57">
        <v>2020</v>
      </c>
      <c r="CE57" s="2" t="s">
        <v>49</v>
      </c>
      <c r="CF57">
        <v>44763</v>
      </c>
      <c r="CG57">
        <v>1275</v>
      </c>
      <c r="CH57">
        <v>2020</v>
      </c>
      <c r="CK57" s="2" t="s">
        <v>49</v>
      </c>
      <c r="CL57">
        <v>45664</v>
      </c>
      <c r="CM57">
        <v>1275</v>
      </c>
      <c r="CN57">
        <v>2020</v>
      </c>
    </row>
    <row r="58" spans="1:92" x14ac:dyDescent="0.25">
      <c r="A58">
        <v>75165092</v>
      </c>
      <c r="B58" s="3" t="s">
        <v>37</v>
      </c>
      <c r="C58" t="s">
        <v>144</v>
      </c>
      <c r="D58" t="s">
        <v>200</v>
      </c>
      <c r="E58">
        <v>2020</v>
      </c>
      <c r="F58" t="s">
        <v>201</v>
      </c>
      <c r="G58" t="s">
        <v>214</v>
      </c>
      <c r="H58" t="s">
        <v>148</v>
      </c>
      <c r="K58" t="s">
        <v>45</v>
      </c>
      <c r="L58" t="s">
        <v>215</v>
      </c>
      <c r="M58" t="s">
        <v>47</v>
      </c>
      <c r="N58">
        <v>160000</v>
      </c>
      <c r="O58">
        <v>28723</v>
      </c>
      <c r="P58">
        <v>131277</v>
      </c>
      <c r="Q58" t="s">
        <v>250</v>
      </c>
      <c r="R58" t="s">
        <v>214</v>
      </c>
      <c r="S58" s="2" t="s">
        <v>49</v>
      </c>
      <c r="T58">
        <v>730973</v>
      </c>
      <c r="U58" t="s">
        <v>62</v>
      </c>
      <c r="V58">
        <v>2020</v>
      </c>
      <c r="W58">
        <v>1173</v>
      </c>
      <c r="X58" t="s">
        <v>116</v>
      </c>
      <c r="Y58">
        <v>29</v>
      </c>
      <c r="Z58">
        <v>29</v>
      </c>
      <c r="AA58">
        <v>63</v>
      </c>
      <c r="AB58">
        <v>64</v>
      </c>
      <c r="AC58" s="2" t="s">
        <v>49</v>
      </c>
      <c r="AD58">
        <v>746788</v>
      </c>
      <c r="AE58" t="s">
        <v>62</v>
      </c>
      <c r="AF58">
        <v>2020</v>
      </c>
      <c r="AG58">
        <v>1173</v>
      </c>
      <c r="AH58" t="s">
        <v>116</v>
      </c>
      <c r="AI58">
        <v>29</v>
      </c>
      <c r="AJ58">
        <v>30</v>
      </c>
      <c r="AK58">
        <v>63</v>
      </c>
      <c r="AL58">
        <v>63</v>
      </c>
      <c r="AM58" s="2" t="s">
        <v>49</v>
      </c>
      <c r="AN58">
        <v>746753</v>
      </c>
      <c r="AO58" t="s">
        <v>62</v>
      </c>
      <c r="AP58">
        <v>2020</v>
      </c>
      <c r="AQ58">
        <v>1173</v>
      </c>
      <c r="AR58" t="s">
        <v>116</v>
      </c>
      <c r="AS58">
        <v>29</v>
      </c>
      <c r="AT58">
        <v>29</v>
      </c>
      <c r="AU58">
        <v>63</v>
      </c>
      <c r="AV58">
        <v>64</v>
      </c>
      <c r="AW58" s="2" t="s">
        <v>49</v>
      </c>
      <c r="AX58">
        <v>734696</v>
      </c>
      <c r="AY58" t="s">
        <v>62</v>
      </c>
      <c r="AZ58">
        <v>2020</v>
      </c>
      <c r="BA58">
        <v>1173</v>
      </c>
      <c r="BB58" t="s">
        <v>116</v>
      </c>
      <c r="BC58">
        <v>29</v>
      </c>
      <c r="BD58">
        <v>29</v>
      </c>
      <c r="BE58">
        <v>63</v>
      </c>
      <c r="BF58">
        <v>62</v>
      </c>
      <c r="BG58" s="2" t="s">
        <v>49</v>
      </c>
      <c r="BH58">
        <v>26462</v>
      </c>
      <c r="BI58">
        <v>1275</v>
      </c>
      <c r="BJ58">
        <v>2020</v>
      </c>
      <c r="BM58" s="2" t="s">
        <v>49</v>
      </c>
      <c r="BN58">
        <v>26724</v>
      </c>
      <c r="BO58">
        <v>1275</v>
      </c>
      <c r="BP58">
        <v>2020</v>
      </c>
      <c r="BS58" s="2" t="s">
        <v>49</v>
      </c>
      <c r="BT58">
        <v>37203</v>
      </c>
      <c r="BU58">
        <v>1275</v>
      </c>
      <c r="BV58">
        <v>2020</v>
      </c>
      <c r="BY58" s="2" t="s">
        <v>49</v>
      </c>
      <c r="BZ58">
        <v>41890</v>
      </c>
      <c r="CA58">
        <v>1275</v>
      </c>
      <c r="CB58">
        <v>2020</v>
      </c>
      <c r="CE58" s="2" t="s">
        <v>49</v>
      </c>
      <c r="CF58">
        <v>41986</v>
      </c>
      <c r="CG58">
        <v>1275</v>
      </c>
      <c r="CH58">
        <v>2020</v>
      </c>
      <c r="CK58" s="2" t="s">
        <v>49</v>
      </c>
      <c r="CL58">
        <v>41900</v>
      </c>
      <c r="CM58">
        <v>1275</v>
      </c>
      <c r="CN58">
        <v>2020</v>
      </c>
    </row>
    <row r="59" spans="1:92" x14ac:dyDescent="0.25">
      <c r="A59">
        <v>75163899</v>
      </c>
      <c r="B59" s="3" t="s">
        <v>37</v>
      </c>
      <c r="C59" t="s">
        <v>144</v>
      </c>
      <c r="D59" t="s">
        <v>200</v>
      </c>
      <c r="E59">
        <v>2020</v>
      </c>
      <c r="F59" t="s">
        <v>201</v>
      </c>
      <c r="G59" t="s">
        <v>197</v>
      </c>
      <c r="H59" t="s">
        <v>99</v>
      </c>
      <c r="K59" t="s">
        <v>45</v>
      </c>
      <c r="L59" t="s">
        <v>198</v>
      </c>
      <c r="M59" t="s">
        <v>47</v>
      </c>
      <c r="N59">
        <v>160000</v>
      </c>
      <c r="O59">
        <v>26006</v>
      </c>
      <c r="P59">
        <v>133994</v>
      </c>
      <c r="Q59" t="s">
        <v>251</v>
      </c>
      <c r="R59" t="s">
        <v>197</v>
      </c>
      <c r="S59" s="2" t="s">
        <v>49</v>
      </c>
      <c r="T59">
        <v>747121</v>
      </c>
      <c r="U59" t="s">
        <v>62</v>
      </c>
      <c r="V59">
        <v>2020</v>
      </c>
      <c r="W59">
        <v>600</v>
      </c>
      <c r="X59" t="s">
        <v>151</v>
      </c>
      <c r="Y59">
        <v>30</v>
      </c>
      <c r="Z59">
        <v>30</v>
      </c>
      <c r="AA59">
        <v>47</v>
      </c>
      <c r="AB59">
        <v>47</v>
      </c>
      <c r="AC59" s="2" t="s">
        <v>49</v>
      </c>
      <c r="AD59">
        <v>444751</v>
      </c>
      <c r="AE59" t="s">
        <v>50</v>
      </c>
      <c r="AF59">
        <v>2020</v>
      </c>
      <c r="AG59">
        <v>600</v>
      </c>
      <c r="AH59" t="s">
        <v>151</v>
      </c>
      <c r="AI59">
        <v>30</v>
      </c>
      <c r="AJ59">
        <v>30</v>
      </c>
      <c r="AK59">
        <v>54</v>
      </c>
      <c r="AL59">
        <v>53</v>
      </c>
      <c r="AM59" s="2" t="s">
        <v>49</v>
      </c>
      <c r="AN59">
        <v>745690</v>
      </c>
      <c r="AO59" t="s">
        <v>62</v>
      </c>
      <c r="AP59">
        <v>2020</v>
      </c>
      <c r="AQ59">
        <v>600</v>
      </c>
      <c r="AR59" t="s">
        <v>151</v>
      </c>
      <c r="AS59">
        <v>30</v>
      </c>
      <c r="AT59">
        <v>30</v>
      </c>
      <c r="AU59">
        <v>58</v>
      </c>
      <c r="AV59">
        <v>59</v>
      </c>
      <c r="AW59" s="2" t="s">
        <v>49</v>
      </c>
      <c r="AX59">
        <v>731649</v>
      </c>
      <c r="AY59" t="s">
        <v>62</v>
      </c>
      <c r="AZ59">
        <v>2020</v>
      </c>
      <c r="BA59">
        <v>600</v>
      </c>
      <c r="BB59" t="s">
        <v>151</v>
      </c>
      <c r="BC59">
        <v>30</v>
      </c>
      <c r="BD59">
        <v>30</v>
      </c>
      <c r="BE59">
        <v>62</v>
      </c>
      <c r="BF59">
        <v>62</v>
      </c>
      <c r="BG59" s="2" t="s">
        <v>49</v>
      </c>
      <c r="BH59">
        <v>26284</v>
      </c>
      <c r="BI59">
        <v>1275</v>
      </c>
      <c r="BJ59">
        <v>2020</v>
      </c>
      <c r="BM59" s="2" t="s">
        <v>49</v>
      </c>
      <c r="BN59">
        <v>26222</v>
      </c>
      <c r="BO59">
        <v>1275</v>
      </c>
      <c r="BP59">
        <v>2020</v>
      </c>
      <c r="BS59" s="2" t="s">
        <v>49</v>
      </c>
      <c r="BT59">
        <v>43522</v>
      </c>
      <c r="BU59">
        <v>1275</v>
      </c>
      <c r="BV59">
        <v>2020</v>
      </c>
      <c r="BY59" s="2" t="s">
        <v>49</v>
      </c>
      <c r="BZ59">
        <v>43061</v>
      </c>
      <c r="CA59">
        <v>1275</v>
      </c>
      <c r="CB59">
        <v>2020</v>
      </c>
      <c r="CE59" s="2" t="s">
        <v>49</v>
      </c>
      <c r="CF59">
        <v>43591</v>
      </c>
      <c r="CG59">
        <v>1275</v>
      </c>
      <c r="CH59">
        <v>2020</v>
      </c>
      <c r="CK59" s="2" t="s">
        <v>49</v>
      </c>
      <c r="CL59">
        <v>42700</v>
      </c>
      <c r="CM59">
        <v>1275</v>
      </c>
      <c r="CN59">
        <v>2020</v>
      </c>
    </row>
    <row r="60" spans="1:92" x14ac:dyDescent="0.25">
      <c r="A60">
        <v>75165191</v>
      </c>
      <c r="B60" s="3" t="s">
        <v>37</v>
      </c>
      <c r="C60" t="s">
        <v>144</v>
      </c>
      <c r="D60" t="s">
        <v>200</v>
      </c>
      <c r="E60">
        <v>2020</v>
      </c>
      <c r="F60" t="s">
        <v>201</v>
      </c>
      <c r="G60" t="s">
        <v>197</v>
      </c>
      <c r="H60" t="s">
        <v>99</v>
      </c>
      <c r="K60" t="s">
        <v>45</v>
      </c>
      <c r="L60" t="s">
        <v>198</v>
      </c>
      <c r="M60" t="s">
        <v>47</v>
      </c>
      <c r="N60">
        <v>160000</v>
      </c>
      <c r="O60">
        <v>22560</v>
      </c>
      <c r="P60">
        <v>137440</v>
      </c>
      <c r="Q60" t="s">
        <v>252</v>
      </c>
      <c r="R60" t="s">
        <v>197</v>
      </c>
      <c r="S60" s="2" t="s">
        <v>49</v>
      </c>
      <c r="T60">
        <v>746993</v>
      </c>
      <c r="U60" t="s">
        <v>62</v>
      </c>
      <c r="V60">
        <v>2020</v>
      </c>
      <c r="W60">
        <v>600</v>
      </c>
      <c r="X60" t="s">
        <v>151</v>
      </c>
      <c r="Y60">
        <v>30</v>
      </c>
      <c r="Z60">
        <v>30</v>
      </c>
      <c r="AA60">
        <v>54</v>
      </c>
      <c r="AB60">
        <v>54</v>
      </c>
      <c r="AC60" s="2" t="s">
        <v>49</v>
      </c>
      <c r="AD60">
        <v>733312</v>
      </c>
      <c r="AE60" t="s">
        <v>62</v>
      </c>
      <c r="AF60">
        <v>2020</v>
      </c>
      <c r="AG60">
        <v>600</v>
      </c>
      <c r="AH60" t="s">
        <v>151</v>
      </c>
      <c r="AI60">
        <v>30</v>
      </c>
      <c r="AJ60">
        <v>30</v>
      </c>
      <c r="AK60">
        <v>56</v>
      </c>
      <c r="AL60">
        <v>56</v>
      </c>
      <c r="AM60" s="2" t="s">
        <v>49</v>
      </c>
      <c r="AN60">
        <v>733288</v>
      </c>
      <c r="AO60" t="s">
        <v>62</v>
      </c>
      <c r="AP60">
        <v>2020</v>
      </c>
      <c r="AQ60">
        <v>600</v>
      </c>
      <c r="AR60" t="s">
        <v>151</v>
      </c>
      <c r="AS60">
        <v>30</v>
      </c>
      <c r="AT60">
        <v>30</v>
      </c>
      <c r="AU60">
        <v>57</v>
      </c>
      <c r="AV60">
        <v>57</v>
      </c>
      <c r="AW60" s="2" t="s">
        <v>49</v>
      </c>
      <c r="AX60">
        <v>731202</v>
      </c>
      <c r="AY60" t="s">
        <v>62</v>
      </c>
      <c r="AZ60">
        <v>2020</v>
      </c>
      <c r="BA60">
        <v>600</v>
      </c>
      <c r="BB60" t="s">
        <v>151</v>
      </c>
      <c r="BC60">
        <v>30</v>
      </c>
      <c r="BD60">
        <v>30</v>
      </c>
      <c r="BE60">
        <v>57</v>
      </c>
      <c r="BF60">
        <v>57</v>
      </c>
      <c r="BG60" s="2" t="s">
        <v>49</v>
      </c>
      <c r="BH60">
        <v>25908</v>
      </c>
      <c r="BI60">
        <v>1275</v>
      </c>
      <c r="BJ60">
        <v>2020</v>
      </c>
      <c r="BM60" s="2" t="s">
        <v>49</v>
      </c>
      <c r="BN60">
        <v>25772</v>
      </c>
      <c r="BO60">
        <v>1275</v>
      </c>
      <c r="BP60">
        <v>2020</v>
      </c>
      <c r="BS60" s="2" t="s">
        <v>49</v>
      </c>
      <c r="BT60">
        <v>28960</v>
      </c>
      <c r="BU60">
        <v>1275</v>
      </c>
      <c r="BV60">
        <v>2020</v>
      </c>
      <c r="BY60" s="2" t="s">
        <v>49</v>
      </c>
      <c r="BZ60">
        <v>37655</v>
      </c>
      <c r="CA60">
        <v>1275</v>
      </c>
      <c r="CB60">
        <v>2020</v>
      </c>
      <c r="CE60" s="2" t="s">
        <v>49</v>
      </c>
      <c r="CF60">
        <v>39082</v>
      </c>
      <c r="CG60">
        <v>1275</v>
      </c>
      <c r="CH60">
        <v>2020</v>
      </c>
      <c r="CK60" s="2" t="s">
        <v>49</v>
      </c>
      <c r="CL60">
        <v>40830</v>
      </c>
      <c r="CM60">
        <v>1275</v>
      </c>
      <c r="CN60">
        <v>2020</v>
      </c>
    </row>
    <row r="61" spans="1:92" x14ac:dyDescent="0.25">
      <c r="A61">
        <v>75175596</v>
      </c>
      <c r="B61" s="3" t="s">
        <v>37</v>
      </c>
      <c r="C61" t="s">
        <v>144</v>
      </c>
      <c r="D61" t="s">
        <v>191</v>
      </c>
      <c r="E61">
        <v>2020</v>
      </c>
      <c r="F61" t="s">
        <v>192</v>
      </c>
      <c r="G61" t="s">
        <v>253</v>
      </c>
      <c r="H61" t="s">
        <v>42</v>
      </c>
      <c r="K61" t="s">
        <v>45</v>
      </c>
      <c r="L61" t="s">
        <v>254</v>
      </c>
      <c r="M61" t="s">
        <v>47</v>
      </c>
      <c r="N61">
        <v>160000</v>
      </c>
      <c r="O61">
        <v>27733</v>
      </c>
      <c r="P61">
        <v>132267</v>
      </c>
      <c r="Q61" t="s">
        <v>255</v>
      </c>
      <c r="R61" t="s">
        <v>253</v>
      </c>
      <c r="S61" s="2" t="s">
        <v>49</v>
      </c>
      <c r="T61">
        <v>419148</v>
      </c>
      <c r="U61" t="s">
        <v>50</v>
      </c>
      <c r="V61">
        <v>2020</v>
      </c>
      <c r="W61">
        <v>301</v>
      </c>
      <c r="X61" t="s">
        <v>163</v>
      </c>
      <c r="Y61">
        <v>30</v>
      </c>
      <c r="Z61">
        <v>30</v>
      </c>
      <c r="AA61">
        <v>53</v>
      </c>
      <c r="AB61">
        <v>53</v>
      </c>
      <c r="AC61" s="2" t="s">
        <v>49</v>
      </c>
      <c r="AD61">
        <v>302292</v>
      </c>
      <c r="AE61" t="s">
        <v>50</v>
      </c>
      <c r="AF61">
        <v>2019</v>
      </c>
      <c r="AG61">
        <v>301</v>
      </c>
      <c r="AH61" t="s">
        <v>163</v>
      </c>
      <c r="AI61">
        <v>30</v>
      </c>
      <c r="AJ61">
        <v>30</v>
      </c>
      <c r="AK61">
        <v>55</v>
      </c>
      <c r="AL61">
        <v>55</v>
      </c>
      <c r="AM61" s="2" t="s">
        <v>49</v>
      </c>
      <c r="AN61">
        <v>302540</v>
      </c>
      <c r="AO61" t="s">
        <v>50</v>
      </c>
      <c r="AP61">
        <v>2019</v>
      </c>
      <c r="AQ61">
        <v>301</v>
      </c>
      <c r="AR61" t="s">
        <v>163</v>
      </c>
      <c r="AS61">
        <v>31</v>
      </c>
      <c r="AT61">
        <v>31</v>
      </c>
      <c r="AU61">
        <v>49</v>
      </c>
      <c r="AV61">
        <v>49</v>
      </c>
      <c r="AW61" s="2" t="s">
        <v>49</v>
      </c>
      <c r="AX61">
        <v>302301</v>
      </c>
      <c r="AY61" t="s">
        <v>50</v>
      </c>
      <c r="AZ61">
        <v>2019</v>
      </c>
      <c r="BA61">
        <v>301</v>
      </c>
      <c r="BB61" t="s">
        <v>163</v>
      </c>
      <c r="BC61">
        <v>31</v>
      </c>
      <c r="BD61">
        <v>31</v>
      </c>
      <c r="BE61">
        <v>49</v>
      </c>
      <c r="BF61">
        <v>49</v>
      </c>
      <c r="BG61" s="2" t="s">
        <v>49</v>
      </c>
      <c r="BH61">
        <v>26604</v>
      </c>
      <c r="BI61">
        <v>1275</v>
      </c>
      <c r="BJ61">
        <v>2020</v>
      </c>
      <c r="BM61" s="2" t="s">
        <v>49</v>
      </c>
      <c r="BN61">
        <v>26376</v>
      </c>
      <c r="BO61">
        <v>1275</v>
      </c>
      <c r="BP61">
        <v>2020</v>
      </c>
      <c r="BS61" s="2" t="s">
        <v>49</v>
      </c>
      <c r="BT61">
        <v>44838</v>
      </c>
      <c r="BU61">
        <v>1275</v>
      </c>
      <c r="BV61">
        <v>2020</v>
      </c>
      <c r="BY61" s="2" t="s">
        <v>49</v>
      </c>
      <c r="BZ61">
        <v>44724</v>
      </c>
      <c r="CA61">
        <v>1275</v>
      </c>
      <c r="CB61">
        <v>2020</v>
      </c>
      <c r="CE61" s="2" t="s">
        <v>49</v>
      </c>
      <c r="CF61">
        <v>44690</v>
      </c>
      <c r="CG61">
        <v>1275</v>
      </c>
      <c r="CH61">
        <v>2020</v>
      </c>
      <c r="CK61" s="2" t="s">
        <v>49</v>
      </c>
      <c r="CL61">
        <v>44697</v>
      </c>
      <c r="CM61">
        <v>1275</v>
      </c>
      <c r="CN61">
        <v>2020</v>
      </c>
    </row>
    <row r="62" spans="1:92" x14ac:dyDescent="0.25">
      <c r="A62">
        <v>75187393</v>
      </c>
      <c r="B62" s="3" t="s">
        <v>37</v>
      </c>
      <c r="C62" t="s">
        <v>144</v>
      </c>
      <c r="D62" t="s">
        <v>158</v>
      </c>
      <c r="E62">
        <v>2020</v>
      </c>
      <c r="F62" t="s">
        <v>159</v>
      </c>
      <c r="G62" t="s">
        <v>256</v>
      </c>
      <c r="H62" t="s">
        <v>148</v>
      </c>
      <c r="K62" t="s">
        <v>45</v>
      </c>
      <c r="L62" t="s">
        <v>257</v>
      </c>
      <c r="M62" t="s">
        <v>47</v>
      </c>
      <c r="N62">
        <v>160000</v>
      </c>
      <c r="O62">
        <v>16855</v>
      </c>
      <c r="P62">
        <v>143145</v>
      </c>
      <c r="Q62" t="s">
        <v>258</v>
      </c>
      <c r="R62" t="s">
        <v>256</v>
      </c>
      <c r="S62" s="2" t="s">
        <v>49</v>
      </c>
      <c r="T62">
        <v>447713</v>
      </c>
      <c r="U62" t="s">
        <v>50</v>
      </c>
      <c r="V62">
        <v>2020</v>
      </c>
      <c r="W62">
        <v>1173</v>
      </c>
      <c r="X62" t="s">
        <v>170</v>
      </c>
      <c r="Y62">
        <v>30</v>
      </c>
      <c r="Z62">
        <v>30</v>
      </c>
      <c r="AA62">
        <v>62</v>
      </c>
      <c r="AB62">
        <v>64</v>
      </c>
      <c r="AC62" s="2" t="s">
        <v>49</v>
      </c>
      <c r="AD62">
        <v>751815</v>
      </c>
      <c r="AE62" t="s">
        <v>62</v>
      </c>
      <c r="AF62">
        <v>2020</v>
      </c>
      <c r="AG62">
        <v>1173</v>
      </c>
      <c r="AH62" t="s">
        <v>170</v>
      </c>
      <c r="AI62">
        <v>29</v>
      </c>
      <c r="AJ62">
        <v>30</v>
      </c>
      <c r="AK62">
        <v>62</v>
      </c>
      <c r="AL62">
        <v>60</v>
      </c>
      <c r="AM62" s="2" t="s">
        <v>49</v>
      </c>
      <c r="AN62">
        <v>448186</v>
      </c>
      <c r="AO62" t="s">
        <v>50</v>
      </c>
      <c r="AP62">
        <v>2020</v>
      </c>
      <c r="AQ62">
        <v>1173</v>
      </c>
      <c r="AR62" t="s">
        <v>170</v>
      </c>
      <c r="AS62">
        <v>30</v>
      </c>
      <c r="AT62">
        <v>30</v>
      </c>
      <c r="AU62">
        <v>58</v>
      </c>
      <c r="AV62">
        <v>57</v>
      </c>
      <c r="AW62" s="2" t="s">
        <v>49</v>
      </c>
      <c r="AX62">
        <v>753569</v>
      </c>
      <c r="AY62" t="s">
        <v>62</v>
      </c>
      <c r="AZ62">
        <v>2020</v>
      </c>
      <c r="BA62">
        <v>1173</v>
      </c>
      <c r="BB62" t="s">
        <v>170</v>
      </c>
      <c r="BC62">
        <v>30</v>
      </c>
      <c r="BD62">
        <v>29</v>
      </c>
      <c r="BE62">
        <v>57</v>
      </c>
      <c r="BF62">
        <v>58</v>
      </c>
      <c r="BG62" s="2" t="s">
        <v>49</v>
      </c>
      <c r="BH62">
        <v>27644</v>
      </c>
      <c r="BI62">
        <v>1275</v>
      </c>
      <c r="BJ62">
        <v>2020</v>
      </c>
      <c r="BM62" s="2" t="s">
        <v>49</v>
      </c>
      <c r="BN62">
        <v>27566</v>
      </c>
      <c r="BO62">
        <v>1275</v>
      </c>
      <c r="BP62">
        <v>2020</v>
      </c>
      <c r="BS62" s="2" t="s">
        <v>49</v>
      </c>
      <c r="BT62">
        <v>45529</v>
      </c>
      <c r="BU62">
        <v>1275</v>
      </c>
      <c r="BV62">
        <v>2020</v>
      </c>
      <c r="BY62" s="2" t="s">
        <v>49</v>
      </c>
      <c r="BZ62">
        <v>46180</v>
      </c>
      <c r="CA62">
        <v>1275</v>
      </c>
      <c r="CB62">
        <v>2020</v>
      </c>
      <c r="CE62" s="2" t="s">
        <v>49</v>
      </c>
      <c r="CF62">
        <v>45672</v>
      </c>
      <c r="CG62">
        <v>1275</v>
      </c>
      <c r="CH62">
        <v>2020</v>
      </c>
      <c r="CK62" s="2" t="s">
        <v>49</v>
      </c>
      <c r="CL62">
        <v>46470</v>
      </c>
      <c r="CM62">
        <v>1275</v>
      </c>
      <c r="CN62">
        <v>2020</v>
      </c>
    </row>
    <row r="63" spans="1:92" x14ac:dyDescent="0.25">
      <c r="A63">
        <v>75188698</v>
      </c>
      <c r="B63" s="3" t="s">
        <v>37</v>
      </c>
      <c r="C63" t="s">
        <v>144</v>
      </c>
      <c r="D63" t="s">
        <v>158</v>
      </c>
      <c r="E63">
        <v>2020</v>
      </c>
      <c r="F63" t="s">
        <v>159</v>
      </c>
      <c r="G63" t="s">
        <v>113</v>
      </c>
      <c r="H63" t="s">
        <v>148</v>
      </c>
      <c r="K63" t="s">
        <v>45</v>
      </c>
      <c r="L63" t="s">
        <v>259</v>
      </c>
      <c r="M63" t="s">
        <v>47</v>
      </c>
      <c r="N63">
        <v>160000</v>
      </c>
      <c r="O63">
        <v>26582</v>
      </c>
      <c r="P63">
        <v>133418</v>
      </c>
      <c r="Q63" t="s">
        <v>260</v>
      </c>
      <c r="R63" t="s">
        <v>113</v>
      </c>
      <c r="S63" s="2" t="s">
        <v>49</v>
      </c>
      <c r="T63">
        <v>749182</v>
      </c>
      <c r="U63" t="s">
        <v>62</v>
      </c>
      <c r="V63">
        <v>2020</v>
      </c>
      <c r="W63">
        <v>1173</v>
      </c>
      <c r="X63" t="s">
        <v>116</v>
      </c>
      <c r="Y63">
        <v>29</v>
      </c>
      <c r="Z63">
        <v>29</v>
      </c>
      <c r="AA63">
        <v>63</v>
      </c>
      <c r="AB63">
        <v>63</v>
      </c>
      <c r="AC63" s="2" t="s">
        <v>49</v>
      </c>
      <c r="AD63">
        <v>749069</v>
      </c>
      <c r="AE63" t="s">
        <v>62</v>
      </c>
      <c r="AF63">
        <v>2020</v>
      </c>
      <c r="AG63">
        <v>1173</v>
      </c>
      <c r="AH63" t="s">
        <v>116</v>
      </c>
      <c r="AI63">
        <v>30</v>
      </c>
      <c r="AJ63">
        <v>30</v>
      </c>
      <c r="AK63">
        <v>59</v>
      </c>
      <c r="AL63">
        <v>60</v>
      </c>
      <c r="AM63" s="2" t="s">
        <v>49</v>
      </c>
      <c r="AN63">
        <v>9773</v>
      </c>
      <c r="AO63">
        <v>2002</v>
      </c>
      <c r="AP63">
        <v>2020</v>
      </c>
      <c r="AQ63">
        <v>1173</v>
      </c>
      <c r="AR63" t="s">
        <v>116</v>
      </c>
      <c r="AS63">
        <v>29</v>
      </c>
      <c r="AT63">
        <v>30</v>
      </c>
      <c r="AU63">
        <v>58</v>
      </c>
      <c r="AV63">
        <v>60</v>
      </c>
      <c r="AW63" s="2" t="s">
        <v>49</v>
      </c>
      <c r="AX63">
        <v>444832</v>
      </c>
      <c r="AY63" t="s">
        <v>50</v>
      </c>
      <c r="AZ63">
        <v>2020</v>
      </c>
      <c r="BA63">
        <v>1173</v>
      </c>
      <c r="BB63" t="s">
        <v>116</v>
      </c>
      <c r="BC63">
        <v>30</v>
      </c>
      <c r="BD63">
        <v>29</v>
      </c>
      <c r="BE63">
        <v>61</v>
      </c>
      <c r="BF63">
        <v>62</v>
      </c>
      <c r="BG63" s="2" t="s">
        <v>49</v>
      </c>
      <c r="BH63">
        <v>27629</v>
      </c>
      <c r="BI63">
        <v>1275</v>
      </c>
      <c r="BJ63">
        <v>2020</v>
      </c>
      <c r="BM63" s="2" t="s">
        <v>49</v>
      </c>
      <c r="BN63">
        <v>27618</v>
      </c>
      <c r="BO63">
        <v>1275</v>
      </c>
      <c r="BP63">
        <v>2020</v>
      </c>
      <c r="BS63" s="2" t="s">
        <v>49</v>
      </c>
      <c r="BT63">
        <v>45543</v>
      </c>
      <c r="BU63">
        <v>1275</v>
      </c>
      <c r="BV63">
        <v>2020</v>
      </c>
      <c r="BY63" s="2" t="s">
        <v>49</v>
      </c>
      <c r="BZ63">
        <v>46196</v>
      </c>
      <c r="CA63">
        <v>1275</v>
      </c>
      <c r="CB63">
        <v>2020</v>
      </c>
      <c r="CE63" s="2" t="s">
        <v>49</v>
      </c>
      <c r="CF63">
        <v>46115</v>
      </c>
      <c r="CG63">
        <v>1275</v>
      </c>
      <c r="CH63">
        <v>2020</v>
      </c>
      <c r="CK63" s="2" t="s">
        <v>49</v>
      </c>
      <c r="CL63">
        <v>46214</v>
      </c>
      <c r="CM63">
        <v>1275</v>
      </c>
      <c r="CN63">
        <v>2020</v>
      </c>
    </row>
    <row r="64" spans="1:92" x14ac:dyDescent="0.25">
      <c r="A64">
        <v>75165597</v>
      </c>
      <c r="B64" s="3" t="s">
        <v>37</v>
      </c>
      <c r="C64" t="s">
        <v>144</v>
      </c>
      <c r="D64" t="s">
        <v>200</v>
      </c>
      <c r="E64">
        <v>2020</v>
      </c>
      <c r="F64" t="s">
        <v>201</v>
      </c>
      <c r="G64" t="s">
        <v>261</v>
      </c>
      <c r="H64" t="s">
        <v>148</v>
      </c>
      <c r="K64" t="s">
        <v>45</v>
      </c>
      <c r="L64" t="s">
        <v>262</v>
      </c>
      <c r="M64" t="s">
        <v>47</v>
      </c>
      <c r="N64">
        <v>160000</v>
      </c>
      <c r="O64">
        <v>16761</v>
      </c>
      <c r="P64">
        <v>143239</v>
      </c>
      <c r="Q64" t="s">
        <v>263</v>
      </c>
      <c r="R64" t="s">
        <v>261</v>
      </c>
      <c r="S64" s="2" t="s">
        <v>49</v>
      </c>
      <c r="T64">
        <v>419457</v>
      </c>
      <c r="U64" t="s">
        <v>50</v>
      </c>
      <c r="V64">
        <v>2020</v>
      </c>
      <c r="W64">
        <v>1173</v>
      </c>
      <c r="X64" t="s">
        <v>170</v>
      </c>
      <c r="Y64">
        <v>30</v>
      </c>
      <c r="Z64">
        <v>31</v>
      </c>
      <c r="AA64">
        <v>57</v>
      </c>
      <c r="AB64">
        <v>57</v>
      </c>
      <c r="AC64" s="2" t="s">
        <v>49</v>
      </c>
      <c r="AD64">
        <v>419207</v>
      </c>
      <c r="AE64" t="s">
        <v>50</v>
      </c>
      <c r="AF64">
        <v>2020</v>
      </c>
      <c r="AG64">
        <v>1173</v>
      </c>
      <c r="AH64" t="s">
        <v>170</v>
      </c>
      <c r="AI64">
        <v>30</v>
      </c>
      <c r="AJ64">
        <v>30</v>
      </c>
      <c r="AK64">
        <v>61</v>
      </c>
      <c r="AL64">
        <v>60</v>
      </c>
      <c r="AM64" s="2" t="s">
        <v>49</v>
      </c>
      <c r="AN64">
        <v>419383</v>
      </c>
      <c r="AO64" t="s">
        <v>50</v>
      </c>
      <c r="AP64">
        <v>2020</v>
      </c>
      <c r="AQ64">
        <v>1173</v>
      </c>
      <c r="AR64" t="s">
        <v>170</v>
      </c>
      <c r="AS64">
        <v>30</v>
      </c>
      <c r="AT64">
        <v>30</v>
      </c>
      <c r="AU64">
        <v>54</v>
      </c>
      <c r="AV64">
        <v>55</v>
      </c>
      <c r="AW64" s="2" t="s">
        <v>49</v>
      </c>
      <c r="AX64">
        <v>419427</v>
      </c>
      <c r="AY64" t="s">
        <v>50</v>
      </c>
      <c r="AZ64">
        <v>2020</v>
      </c>
      <c r="BA64">
        <v>1173</v>
      </c>
      <c r="BB64" t="s">
        <v>170</v>
      </c>
      <c r="BC64">
        <v>30</v>
      </c>
      <c r="BD64">
        <v>30</v>
      </c>
      <c r="BE64">
        <v>59</v>
      </c>
      <c r="BF64">
        <v>59</v>
      </c>
      <c r="BG64" s="2" t="s">
        <v>49</v>
      </c>
      <c r="BH64">
        <v>22856</v>
      </c>
      <c r="BI64">
        <v>1275</v>
      </c>
      <c r="BJ64">
        <v>2020</v>
      </c>
      <c r="BM64" s="2" t="s">
        <v>49</v>
      </c>
      <c r="BN64">
        <v>22560</v>
      </c>
      <c r="BO64">
        <v>1275</v>
      </c>
      <c r="BP64">
        <v>2020</v>
      </c>
      <c r="BS64" s="2" t="s">
        <v>49</v>
      </c>
      <c r="BT64">
        <v>43361</v>
      </c>
      <c r="BU64">
        <v>1275</v>
      </c>
      <c r="BV64">
        <v>2020</v>
      </c>
      <c r="BY64" s="2" t="s">
        <v>49</v>
      </c>
      <c r="BZ64">
        <v>43721</v>
      </c>
      <c r="CA64">
        <v>1275</v>
      </c>
      <c r="CB64">
        <v>2020</v>
      </c>
      <c r="CE64" s="2" t="s">
        <v>49</v>
      </c>
      <c r="CF64">
        <v>43172</v>
      </c>
      <c r="CG64">
        <v>1275</v>
      </c>
      <c r="CH64">
        <v>2020</v>
      </c>
      <c r="CK64" s="2" t="s">
        <v>49</v>
      </c>
      <c r="CL64">
        <v>43786</v>
      </c>
      <c r="CM64">
        <v>1275</v>
      </c>
      <c r="CN64">
        <v>2020</v>
      </c>
    </row>
    <row r="65" spans="1:92" x14ac:dyDescent="0.25">
      <c r="A65">
        <v>75164392</v>
      </c>
      <c r="B65" s="3" t="s">
        <v>37</v>
      </c>
      <c r="C65" t="s">
        <v>144</v>
      </c>
      <c r="D65" t="s">
        <v>200</v>
      </c>
      <c r="E65">
        <v>2020</v>
      </c>
      <c r="F65" t="s">
        <v>201</v>
      </c>
      <c r="G65" t="s">
        <v>264</v>
      </c>
      <c r="H65" t="s">
        <v>148</v>
      </c>
      <c r="K65" t="s">
        <v>45</v>
      </c>
      <c r="L65" t="s">
        <v>265</v>
      </c>
      <c r="M65" t="s">
        <v>47</v>
      </c>
      <c r="N65">
        <v>160000</v>
      </c>
      <c r="O65">
        <v>24113</v>
      </c>
      <c r="P65">
        <v>135887</v>
      </c>
      <c r="Q65" t="s">
        <v>266</v>
      </c>
      <c r="R65" t="s">
        <v>264</v>
      </c>
      <c r="S65" s="2" t="s">
        <v>49</v>
      </c>
      <c r="T65">
        <v>746188</v>
      </c>
      <c r="U65" t="s">
        <v>62</v>
      </c>
      <c r="V65">
        <v>2020</v>
      </c>
      <c r="W65">
        <v>1173</v>
      </c>
      <c r="X65" t="s">
        <v>190</v>
      </c>
      <c r="Y65">
        <v>29</v>
      </c>
      <c r="Z65">
        <v>30</v>
      </c>
      <c r="AA65">
        <v>59</v>
      </c>
      <c r="AB65">
        <v>59</v>
      </c>
      <c r="AC65" s="2" t="s">
        <v>49</v>
      </c>
      <c r="AD65">
        <v>728819</v>
      </c>
      <c r="AE65" t="s">
        <v>62</v>
      </c>
      <c r="AF65">
        <v>2020</v>
      </c>
      <c r="AG65">
        <v>1173</v>
      </c>
      <c r="AH65" t="s">
        <v>190</v>
      </c>
      <c r="AI65">
        <v>30</v>
      </c>
      <c r="AJ65">
        <v>29</v>
      </c>
      <c r="AK65">
        <v>60</v>
      </c>
      <c r="AL65">
        <v>60</v>
      </c>
      <c r="AM65" s="2" t="s">
        <v>49</v>
      </c>
      <c r="AN65">
        <v>444912</v>
      </c>
      <c r="AO65" t="s">
        <v>50</v>
      </c>
      <c r="AP65">
        <v>2020</v>
      </c>
      <c r="AQ65">
        <v>1173</v>
      </c>
      <c r="AR65" t="s">
        <v>190</v>
      </c>
      <c r="AS65">
        <v>30</v>
      </c>
      <c r="AT65">
        <v>29</v>
      </c>
      <c r="AU65">
        <v>56</v>
      </c>
      <c r="AV65">
        <v>56</v>
      </c>
      <c r="AW65" s="2" t="s">
        <v>49</v>
      </c>
      <c r="AX65">
        <v>747213</v>
      </c>
      <c r="AY65" t="s">
        <v>62</v>
      </c>
      <c r="AZ65">
        <v>2020</v>
      </c>
      <c r="BA65">
        <v>1173</v>
      </c>
      <c r="BB65" t="s">
        <v>190</v>
      </c>
      <c r="BC65">
        <v>30</v>
      </c>
      <c r="BD65">
        <v>30</v>
      </c>
      <c r="BE65">
        <v>57</v>
      </c>
      <c r="BF65">
        <v>57</v>
      </c>
      <c r="BG65" s="2" t="s">
        <v>49</v>
      </c>
      <c r="BH65">
        <v>25993</v>
      </c>
      <c r="BI65">
        <v>1275</v>
      </c>
      <c r="BJ65">
        <v>2020</v>
      </c>
      <c r="BM65" s="2" t="s">
        <v>49</v>
      </c>
      <c r="BN65">
        <v>24731</v>
      </c>
      <c r="BO65">
        <v>1275</v>
      </c>
      <c r="BP65">
        <v>2020</v>
      </c>
      <c r="BS65" s="2" t="s">
        <v>49</v>
      </c>
      <c r="BT65">
        <v>42740</v>
      </c>
      <c r="BU65">
        <v>1275</v>
      </c>
      <c r="BV65">
        <v>2020</v>
      </c>
      <c r="BY65" s="2" t="s">
        <v>49</v>
      </c>
      <c r="BZ65">
        <v>43658</v>
      </c>
      <c r="CA65">
        <v>1275</v>
      </c>
      <c r="CB65">
        <v>2020</v>
      </c>
      <c r="CE65" s="2" t="s">
        <v>49</v>
      </c>
      <c r="CF65">
        <v>43451</v>
      </c>
      <c r="CG65">
        <v>1275</v>
      </c>
      <c r="CH65">
        <v>2020</v>
      </c>
      <c r="CK65" s="2" t="s">
        <v>49</v>
      </c>
      <c r="CL65">
        <v>43204</v>
      </c>
      <c r="CM65">
        <v>1275</v>
      </c>
      <c r="CN65">
        <v>2020</v>
      </c>
    </row>
    <row r="66" spans="1:92" x14ac:dyDescent="0.25">
      <c r="A66">
        <v>77221786</v>
      </c>
      <c r="B66" s="3" t="s">
        <v>37</v>
      </c>
      <c r="C66" t="s">
        <v>38</v>
      </c>
      <c r="D66" t="s">
        <v>267</v>
      </c>
      <c r="E66">
        <v>2011</v>
      </c>
      <c r="F66" t="s">
        <v>268</v>
      </c>
      <c r="G66" t="s">
        <v>269</v>
      </c>
      <c r="H66" t="s">
        <v>42</v>
      </c>
      <c r="I66" t="s">
        <v>270</v>
      </c>
      <c r="J66" t="s">
        <v>99</v>
      </c>
      <c r="K66" t="s">
        <v>45</v>
      </c>
      <c r="L66" t="s">
        <v>271</v>
      </c>
      <c r="M66" t="s">
        <v>47</v>
      </c>
      <c r="N66">
        <v>160000</v>
      </c>
      <c r="O66">
        <v>32538</v>
      </c>
      <c r="P66">
        <v>127462</v>
      </c>
      <c r="Q66" t="s">
        <v>272</v>
      </c>
      <c r="R66" t="s">
        <v>270</v>
      </c>
      <c r="S66" s="2" t="s">
        <v>49</v>
      </c>
      <c r="T66">
        <v>89405</v>
      </c>
      <c r="U66">
        <v>1175</v>
      </c>
      <c r="V66">
        <v>2010</v>
      </c>
      <c r="W66">
        <v>600</v>
      </c>
      <c r="X66" t="s">
        <v>93</v>
      </c>
      <c r="Y66">
        <v>30</v>
      </c>
      <c r="Z66">
        <v>30</v>
      </c>
      <c r="AA66">
        <v>68</v>
      </c>
      <c r="AB66">
        <v>69</v>
      </c>
      <c r="AC66" s="2" t="s">
        <v>49</v>
      </c>
      <c r="AD66">
        <v>285203</v>
      </c>
      <c r="AE66" t="s">
        <v>50</v>
      </c>
      <c r="AF66">
        <v>2011</v>
      </c>
      <c r="AG66">
        <v>600</v>
      </c>
      <c r="AH66" t="s">
        <v>93</v>
      </c>
      <c r="AI66">
        <v>30</v>
      </c>
      <c r="AJ66">
        <v>30</v>
      </c>
      <c r="AK66">
        <v>68</v>
      </c>
      <c r="AL66">
        <v>68</v>
      </c>
      <c r="AM66" s="2" t="s">
        <v>49</v>
      </c>
      <c r="AN66">
        <v>8283</v>
      </c>
      <c r="AO66">
        <v>1175</v>
      </c>
      <c r="AP66">
        <v>2001</v>
      </c>
      <c r="AQ66">
        <v>600</v>
      </c>
      <c r="AR66" t="s">
        <v>93</v>
      </c>
      <c r="AS66">
        <v>30</v>
      </c>
      <c r="AT66">
        <v>30</v>
      </c>
      <c r="AU66">
        <v>69</v>
      </c>
      <c r="AV66">
        <v>68</v>
      </c>
      <c r="AW66" s="2" t="s">
        <v>49</v>
      </c>
      <c r="AX66">
        <v>277301</v>
      </c>
      <c r="AY66" t="s">
        <v>50</v>
      </c>
      <c r="AZ66">
        <v>2011</v>
      </c>
      <c r="BA66">
        <v>600</v>
      </c>
      <c r="BB66" t="s">
        <v>93</v>
      </c>
      <c r="BC66">
        <v>30</v>
      </c>
      <c r="BD66">
        <v>30</v>
      </c>
      <c r="BE66">
        <v>68</v>
      </c>
      <c r="BF66">
        <v>68</v>
      </c>
      <c r="BG66" s="2" t="s">
        <v>49</v>
      </c>
      <c r="BH66">
        <v>36619</v>
      </c>
      <c r="BI66" t="s">
        <v>50</v>
      </c>
      <c r="BJ66">
        <v>2011</v>
      </c>
      <c r="BM66" s="2" t="s">
        <v>49</v>
      </c>
      <c r="BN66">
        <v>36921</v>
      </c>
      <c r="BO66" t="s">
        <v>50</v>
      </c>
      <c r="BP66">
        <v>2011</v>
      </c>
      <c r="BS66" s="2" t="s">
        <v>49</v>
      </c>
      <c r="BT66">
        <v>64381</v>
      </c>
      <c r="BU66" t="s">
        <v>50</v>
      </c>
      <c r="BV66">
        <v>2011</v>
      </c>
      <c r="BY66" s="2" t="s">
        <v>49</v>
      </c>
      <c r="BZ66">
        <v>64614</v>
      </c>
      <c r="CA66" t="s">
        <v>50</v>
      </c>
      <c r="CB66">
        <v>2011</v>
      </c>
      <c r="CE66" s="2" t="s">
        <v>49</v>
      </c>
      <c r="CF66">
        <v>65006</v>
      </c>
      <c r="CG66" t="s">
        <v>50</v>
      </c>
      <c r="CH66">
        <v>2011</v>
      </c>
      <c r="CK66" s="2" t="s">
        <v>49</v>
      </c>
      <c r="CL66">
        <v>62393</v>
      </c>
      <c r="CM66" t="s">
        <v>50</v>
      </c>
      <c r="CN66">
        <v>2011</v>
      </c>
    </row>
    <row r="67" spans="1:92" x14ac:dyDescent="0.25">
      <c r="A67">
        <v>77205748</v>
      </c>
      <c r="B67" s="3" t="s">
        <v>37</v>
      </c>
      <c r="C67" t="s">
        <v>53</v>
      </c>
      <c r="D67" t="s">
        <v>54</v>
      </c>
      <c r="E67">
        <v>2013</v>
      </c>
      <c r="F67" t="s">
        <v>55</v>
      </c>
      <c r="G67" t="s">
        <v>88</v>
      </c>
      <c r="H67" t="s">
        <v>89</v>
      </c>
      <c r="I67" t="s">
        <v>273</v>
      </c>
      <c r="J67" t="s">
        <v>58</v>
      </c>
      <c r="K67" t="s">
        <v>45</v>
      </c>
      <c r="L67" t="s">
        <v>274</v>
      </c>
      <c r="M67" t="s">
        <v>47</v>
      </c>
      <c r="N67">
        <v>160000</v>
      </c>
      <c r="O67">
        <v>37765</v>
      </c>
      <c r="P67">
        <v>122235</v>
      </c>
      <c r="Q67" t="s">
        <v>275</v>
      </c>
      <c r="R67" t="s">
        <v>88</v>
      </c>
      <c r="S67" s="2" t="s">
        <v>49</v>
      </c>
      <c r="T67">
        <v>443241</v>
      </c>
      <c r="U67" t="s">
        <v>62</v>
      </c>
      <c r="V67">
        <v>2013</v>
      </c>
      <c r="W67">
        <v>2348</v>
      </c>
      <c r="X67" t="s">
        <v>93</v>
      </c>
      <c r="Y67">
        <v>30</v>
      </c>
      <c r="Z67">
        <v>30</v>
      </c>
      <c r="AA67">
        <v>60</v>
      </c>
      <c r="AB67">
        <v>60</v>
      </c>
      <c r="AC67" s="2" t="s">
        <v>49</v>
      </c>
      <c r="AD67">
        <v>370515</v>
      </c>
      <c r="AE67" t="s">
        <v>62</v>
      </c>
      <c r="AF67">
        <v>2012</v>
      </c>
      <c r="AG67">
        <v>2348</v>
      </c>
      <c r="AH67" t="s">
        <v>93</v>
      </c>
      <c r="AI67">
        <v>30</v>
      </c>
      <c r="AJ67">
        <v>30</v>
      </c>
      <c r="AK67">
        <v>61</v>
      </c>
      <c r="AL67">
        <v>61</v>
      </c>
      <c r="AM67" s="2" t="s">
        <v>49</v>
      </c>
      <c r="AN67">
        <v>447128</v>
      </c>
      <c r="AO67" t="s">
        <v>62</v>
      </c>
      <c r="AP67">
        <v>2013</v>
      </c>
      <c r="AQ67">
        <v>2348</v>
      </c>
      <c r="AR67" t="s">
        <v>93</v>
      </c>
      <c r="AS67">
        <v>30</v>
      </c>
      <c r="AT67">
        <v>30</v>
      </c>
      <c r="AU67">
        <v>62</v>
      </c>
      <c r="AV67">
        <v>62</v>
      </c>
      <c r="AW67" s="2" t="s">
        <v>49</v>
      </c>
      <c r="AX67">
        <v>381216</v>
      </c>
      <c r="AY67" t="s">
        <v>62</v>
      </c>
      <c r="AZ67">
        <v>2012</v>
      </c>
      <c r="BA67">
        <v>2348</v>
      </c>
      <c r="BB67" t="s">
        <v>93</v>
      </c>
      <c r="BC67">
        <v>30</v>
      </c>
      <c r="BD67">
        <v>30</v>
      </c>
      <c r="BE67">
        <v>64</v>
      </c>
      <c r="BF67">
        <v>64</v>
      </c>
      <c r="BG67" s="2" t="s">
        <v>49</v>
      </c>
      <c r="BH67">
        <v>14087</v>
      </c>
      <c r="BI67">
        <v>1291</v>
      </c>
      <c r="BJ67">
        <v>2013</v>
      </c>
      <c r="BM67" s="2" t="s">
        <v>49</v>
      </c>
      <c r="BN67">
        <v>15433</v>
      </c>
      <c r="BO67">
        <v>1291</v>
      </c>
      <c r="BP67">
        <v>2013</v>
      </c>
      <c r="BS67" s="2" t="s">
        <v>49</v>
      </c>
      <c r="BT67">
        <v>39407</v>
      </c>
      <c r="BU67">
        <v>1291</v>
      </c>
      <c r="BV67">
        <v>2013</v>
      </c>
      <c r="BY67" s="2" t="s">
        <v>49</v>
      </c>
      <c r="BZ67">
        <v>43956</v>
      </c>
      <c r="CA67">
        <v>1291</v>
      </c>
      <c r="CB67">
        <v>2013</v>
      </c>
      <c r="CE67" s="2" t="s">
        <v>49</v>
      </c>
      <c r="CF67">
        <v>203132</v>
      </c>
      <c r="CG67">
        <v>1291</v>
      </c>
      <c r="CH67">
        <v>2013</v>
      </c>
      <c r="CK67" s="2" t="s">
        <v>49</v>
      </c>
      <c r="CL67">
        <v>44589</v>
      </c>
      <c r="CM67">
        <v>1291</v>
      </c>
      <c r="CN67">
        <v>2013</v>
      </c>
    </row>
    <row r="68" spans="1:92" x14ac:dyDescent="0.25">
      <c r="A68">
        <v>77205847</v>
      </c>
      <c r="B68" s="3" t="s">
        <v>37</v>
      </c>
      <c r="C68" t="s">
        <v>53</v>
      </c>
      <c r="D68" t="s">
        <v>54</v>
      </c>
      <c r="E68">
        <v>2013</v>
      </c>
      <c r="F68" t="s">
        <v>55</v>
      </c>
      <c r="G68" t="s">
        <v>276</v>
      </c>
      <c r="H68" t="s">
        <v>42</v>
      </c>
      <c r="I68" t="s">
        <v>277</v>
      </c>
      <c r="J68" t="s">
        <v>58</v>
      </c>
      <c r="K68" t="s">
        <v>45</v>
      </c>
      <c r="L68" t="s">
        <v>278</v>
      </c>
      <c r="M68" t="s">
        <v>47</v>
      </c>
      <c r="N68">
        <v>160000</v>
      </c>
      <c r="O68">
        <v>41004</v>
      </c>
      <c r="P68">
        <v>118996</v>
      </c>
      <c r="Q68" t="s">
        <v>279</v>
      </c>
      <c r="R68" t="s">
        <v>276</v>
      </c>
      <c r="S68" s="2" t="s">
        <v>49</v>
      </c>
      <c r="T68">
        <v>447270</v>
      </c>
      <c r="U68" t="s">
        <v>62</v>
      </c>
      <c r="V68">
        <v>2013</v>
      </c>
      <c r="W68">
        <v>301</v>
      </c>
      <c r="X68" t="s">
        <v>280</v>
      </c>
      <c r="Y68">
        <v>32</v>
      </c>
      <c r="Z68">
        <v>33</v>
      </c>
      <c r="AA68">
        <v>69</v>
      </c>
      <c r="AB68">
        <v>69</v>
      </c>
      <c r="AC68" s="2" t="s">
        <v>49</v>
      </c>
      <c r="AD68">
        <v>434206</v>
      </c>
      <c r="AE68" t="s">
        <v>62</v>
      </c>
      <c r="AF68">
        <v>2013</v>
      </c>
      <c r="AG68">
        <v>301</v>
      </c>
      <c r="AH68" t="s">
        <v>280</v>
      </c>
      <c r="AI68">
        <v>33</v>
      </c>
      <c r="AJ68">
        <v>33</v>
      </c>
      <c r="AK68">
        <v>69</v>
      </c>
      <c r="AL68">
        <v>69</v>
      </c>
      <c r="AM68" s="2" t="s">
        <v>49</v>
      </c>
      <c r="AN68">
        <v>447274</v>
      </c>
      <c r="AO68" t="s">
        <v>62</v>
      </c>
      <c r="AP68">
        <v>2013</v>
      </c>
      <c r="AQ68">
        <v>301</v>
      </c>
      <c r="AR68" t="s">
        <v>280</v>
      </c>
      <c r="AS68">
        <v>33</v>
      </c>
      <c r="AT68">
        <v>33</v>
      </c>
      <c r="AU68">
        <v>68</v>
      </c>
      <c r="AV68">
        <v>68</v>
      </c>
      <c r="AW68" s="2" t="s">
        <v>49</v>
      </c>
      <c r="AX68">
        <v>442764</v>
      </c>
      <c r="AY68" t="s">
        <v>62</v>
      </c>
      <c r="AZ68">
        <v>2013</v>
      </c>
      <c r="BA68">
        <v>301</v>
      </c>
      <c r="BB68" t="s">
        <v>280</v>
      </c>
      <c r="BC68">
        <v>33</v>
      </c>
      <c r="BD68">
        <v>33</v>
      </c>
      <c r="BE68">
        <v>67</v>
      </c>
      <c r="BF68">
        <v>67</v>
      </c>
      <c r="BG68" s="2" t="s">
        <v>49</v>
      </c>
      <c r="BH68">
        <v>15855</v>
      </c>
      <c r="BI68">
        <v>1291</v>
      </c>
      <c r="BJ68">
        <v>2013</v>
      </c>
      <c r="BM68" s="2" t="s">
        <v>49</v>
      </c>
      <c r="BN68">
        <v>15865</v>
      </c>
      <c r="BO68">
        <v>1291</v>
      </c>
      <c r="BP68">
        <v>2013</v>
      </c>
      <c r="BS68" s="2" t="s">
        <v>49</v>
      </c>
      <c r="BT68">
        <v>45714</v>
      </c>
      <c r="BU68">
        <v>1291</v>
      </c>
      <c r="BV68">
        <v>2013</v>
      </c>
      <c r="BY68" s="2" t="s">
        <v>49</v>
      </c>
      <c r="BZ68">
        <v>45439</v>
      </c>
      <c r="CA68">
        <v>1291</v>
      </c>
      <c r="CB68">
        <v>2013</v>
      </c>
      <c r="CE68" s="2" t="s">
        <v>49</v>
      </c>
      <c r="CF68">
        <v>44848</v>
      </c>
      <c r="CG68">
        <v>1291</v>
      </c>
      <c r="CH68">
        <v>2013</v>
      </c>
      <c r="CK68" s="2" t="s">
        <v>49</v>
      </c>
      <c r="CL68">
        <v>203125</v>
      </c>
      <c r="CM68">
        <v>1291</v>
      </c>
      <c r="CN68">
        <v>2013</v>
      </c>
    </row>
    <row r="69" spans="1:92" x14ac:dyDescent="0.25">
      <c r="A69">
        <v>77205946</v>
      </c>
      <c r="B69" s="3" t="s">
        <v>37</v>
      </c>
      <c r="C69" t="s">
        <v>53</v>
      </c>
      <c r="D69" t="s">
        <v>54</v>
      </c>
      <c r="E69">
        <v>2013</v>
      </c>
      <c r="F69" t="s">
        <v>55</v>
      </c>
      <c r="G69" t="s">
        <v>281</v>
      </c>
      <c r="H69" t="s">
        <v>44</v>
      </c>
      <c r="I69" t="s">
        <v>282</v>
      </c>
      <c r="J69" t="s">
        <v>42</v>
      </c>
      <c r="K69" t="s">
        <v>45</v>
      </c>
      <c r="L69" t="s">
        <v>283</v>
      </c>
      <c r="M69" t="s">
        <v>47</v>
      </c>
      <c r="N69">
        <v>160000</v>
      </c>
      <c r="O69">
        <v>15306</v>
      </c>
      <c r="P69">
        <v>144694</v>
      </c>
      <c r="Q69" t="s">
        <v>284</v>
      </c>
      <c r="R69" t="s">
        <v>285</v>
      </c>
      <c r="S69" s="2" t="s">
        <v>49</v>
      </c>
      <c r="T69">
        <v>75030</v>
      </c>
      <c r="U69" t="s">
        <v>85</v>
      </c>
      <c r="V69">
        <v>1995</v>
      </c>
      <c r="W69">
        <v>4045</v>
      </c>
      <c r="X69" t="s">
        <v>51</v>
      </c>
      <c r="Y69">
        <v>0</v>
      </c>
      <c r="Z69">
        <v>0</v>
      </c>
      <c r="AA69">
        <v>76</v>
      </c>
      <c r="AB69">
        <v>76</v>
      </c>
      <c r="AC69" s="2" t="s">
        <v>49</v>
      </c>
      <c r="AD69">
        <v>271454</v>
      </c>
      <c r="AE69" t="s">
        <v>50</v>
      </c>
      <c r="AF69">
        <v>2008</v>
      </c>
      <c r="AG69">
        <v>4045</v>
      </c>
      <c r="AH69" t="s">
        <v>51</v>
      </c>
      <c r="AI69">
        <v>0</v>
      </c>
      <c r="AJ69">
        <v>0</v>
      </c>
      <c r="AK69">
        <v>72</v>
      </c>
      <c r="AL69">
        <v>72</v>
      </c>
      <c r="AM69" s="2" t="s">
        <v>49</v>
      </c>
      <c r="AN69">
        <v>36390</v>
      </c>
      <c r="AO69">
        <v>1175</v>
      </c>
      <c r="AP69">
        <v>2009</v>
      </c>
      <c r="AQ69">
        <v>4045</v>
      </c>
      <c r="AR69" t="s">
        <v>51</v>
      </c>
      <c r="AS69">
        <v>0</v>
      </c>
      <c r="AT69">
        <v>0</v>
      </c>
      <c r="AU69">
        <v>72</v>
      </c>
      <c r="AV69">
        <v>72</v>
      </c>
      <c r="AW69" s="2" t="s">
        <v>49</v>
      </c>
      <c r="AX69">
        <v>319365</v>
      </c>
      <c r="AY69" t="s">
        <v>85</v>
      </c>
      <c r="AZ69">
        <v>1983</v>
      </c>
      <c r="BA69">
        <v>4045</v>
      </c>
      <c r="BB69" t="s">
        <v>51</v>
      </c>
      <c r="BC69">
        <v>0</v>
      </c>
      <c r="BD69">
        <v>0</v>
      </c>
      <c r="BE69">
        <v>72</v>
      </c>
      <c r="BF69">
        <v>72</v>
      </c>
      <c r="BG69" s="2" t="s">
        <v>49</v>
      </c>
      <c r="BH69">
        <v>15332</v>
      </c>
      <c r="BI69">
        <v>1291</v>
      </c>
      <c r="BJ69">
        <v>2013</v>
      </c>
      <c r="BM69" s="2" t="s">
        <v>49</v>
      </c>
      <c r="BN69">
        <v>52255</v>
      </c>
      <c r="BO69">
        <v>1291</v>
      </c>
      <c r="BP69">
        <v>2013</v>
      </c>
      <c r="BS69" s="2" t="s">
        <v>49</v>
      </c>
      <c r="BT69">
        <v>44028</v>
      </c>
      <c r="BU69">
        <v>1291</v>
      </c>
      <c r="BV69">
        <v>2013</v>
      </c>
      <c r="BY69" s="2" t="s">
        <v>49</v>
      </c>
      <c r="BZ69">
        <v>42873</v>
      </c>
      <c r="CA69">
        <v>1291</v>
      </c>
      <c r="CB69">
        <v>2013</v>
      </c>
      <c r="CE69" s="2" t="s">
        <v>49</v>
      </c>
      <c r="CF69">
        <v>40770</v>
      </c>
      <c r="CG69">
        <v>1291</v>
      </c>
      <c r="CH69">
        <v>2013</v>
      </c>
      <c r="CK69" s="2" t="s">
        <v>49</v>
      </c>
      <c r="CL69">
        <v>41754</v>
      </c>
      <c r="CM69">
        <v>1291</v>
      </c>
      <c r="CN69">
        <v>2013</v>
      </c>
    </row>
    <row r="70" spans="1:92" x14ac:dyDescent="0.25">
      <c r="A70">
        <v>77221976</v>
      </c>
      <c r="B70" s="3" t="s">
        <v>37</v>
      </c>
      <c r="C70" t="s">
        <v>103</v>
      </c>
      <c r="D70" t="s">
        <v>94</v>
      </c>
      <c r="E70">
        <v>2011</v>
      </c>
      <c r="F70" t="s">
        <v>95</v>
      </c>
      <c r="G70" t="s">
        <v>286</v>
      </c>
      <c r="H70" t="s">
        <v>42</v>
      </c>
      <c r="I70" t="s">
        <v>287</v>
      </c>
      <c r="J70" t="s">
        <v>44</v>
      </c>
      <c r="K70" t="s">
        <v>45</v>
      </c>
      <c r="L70" t="s">
        <v>288</v>
      </c>
      <c r="M70" t="s">
        <v>47</v>
      </c>
      <c r="N70">
        <v>160000</v>
      </c>
      <c r="O70">
        <v>7525</v>
      </c>
      <c r="P70">
        <v>152475</v>
      </c>
      <c r="Q70" t="s">
        <v>289</v>
      </c>
      <c r="R70" t="s">
        <v>287</v>
      </c>
      <c r="S70" s="2" t="s">
        <v>49</v>
      </c>
      <c r="T70">
        <v>285001</v>
      </c>
      <c r="U70" t="s">
        <v>50</v>
      </c>
      <c r="V70">
        <v>2011</v>
      </c>
      <c r="W70">
        <v>745</v>
      </c>
      <c r="X70" t="s">
        <v>230</v>
      </c>
      <c r="Y70">
        <v>0</v>
      </c>
      <c r="Z70">
        <v>0</v>
      </c>
      <c r="AA70">
        <v>67</v>
      </c>
      <c r="AB70">
        <v>67</v>
      </c>
      <c r="AC70" s="2" t="s">
        <v>49</v>
      </c>
      <c r="AD70">
        <v>7445</v>
      </c>
      <c r="AE70">
        <v>1226</v>
      </c>
      <c r="AF70">
        <v>2013</v>
      </c>
      <c r="AG70">
        <v>745</v>
      </c>
      <c r="AH70" t="s">
        <v>230</v>
      </c>
      <c r="AI70">
        <v>0</v>
      </c>
      <c r="AJ70">
        <v>0</v>
      </c>
      <c r="AK70">
        <v>67</v>
      </c>
      <c r="AL70">
        <v>67</v>
      </c>
      <c r="AM70" s="2" t="s">
        <v>49</v>
      </c>
      <c r="AN70">
        <v>523372</v>
      </c>
      <c r="AO70" t="s">
        <v>62</v>
      </c>
      <c r="AP70">
        <v>2014</v>
      </c>
      <c r="AQ70">
        <v>745</v>
      </c>
      <c r="AR70" t="s">
        <v>230</v>
      </c>
      <c r="AS70">
        <v>0</v>
      </c>
      <c r="AT70">
        <v>0</v>
      </c>
      <c r="AU70">
        <v>66</v>
      </c>
      <c r="AV70">
        <v>66</v>
      </c>
      <c r="AW70" s="2" t="s">
        <v>49</v>
      </c>
      <c r="AX70">
        <v>277426</v>
      </c>
      <c r="AY70" t="s">
        <v>50</v>
      </c>
      <c r="AZ70">
        <v>2011</v>
      </c>
      <c r="BA70">
        <v>745</v>
      </c>
      <c r="BB70" t="s">
        <v>230</v>
      </c>
      <c r="BC70">
        <v>0</v>
      </c>
      <c r="BD70">
        <v>0</v>
      </c>
      <c r="BE70">
        <v>65</v>
      </c>
      <c r="BF70">
        <v>65</v>
      </c>
      <c r="BG70" s="2" t="s">
        <v>49</v>
      </c>
      <c r="BH70">
        <v>69798</v>
      </c>
      <c r="BI70" t="s">
        <v>52</v>
      </c>
      <c r="BJ70">
        <v>2011</v>
      </c>
      <c r="BM70" s="2" t="s">
        <v>49</v>
      </c>
      <c r="BN70">
        <v>70344</v>
      </c>
      <c r="BO70" t="s">
        <v>52</v>
      </c>
      <c r="BP70">
        <v>2011</v>
      </c>
      <c r="BS70" s="2" t="s">
        <v>49</v>
      </c>
      <c r="BT70">
        <v>117177</v>
      </c>
      <c r="BU70" t="s">
        <v>52</v>
      </c>
      <c r="BV70">
        <v>2011</v>
      </c>
      <c r="BY70" s="2" t="s">
        <v>49</v>
      </c>
      <c r="BZ70">
        <v>117000</v>
      </c>
      <c r="CA70" t="s">
        <v>52</v>
      </c>
      <c r="CB70">
        <v>2011</v>
      </c>
      <c r="CE70" s="2" t="s">
        <v>49</v>
      </c>
      <c r="CF70">
        <v>116555</v>
      </c>
      <c r="CG70" t="s">
        <v>52</v>
      </c>
      <c r="CH70">
        <v>2011</v>
      </c>
      <c r="CK70" s="2" t="s">
        <v>49</v>
      </c>
      <c r="CL70">
        <v>115931</v>
      </c>
      <c r="CM70" t="s">
        <v>52</v>
      </c>
      <c r="CN70">
        <v>2011</v>
      </c>
    </row>
    <row r="71" spans="1:92" x14ac:dyDescent="0.25">
      <c r="A71">
        <v>77224475</v>
      </c>
      <c r="B71" s="3" t="s">
        <v>37</v>
      </c>
      <c r="C71" t="s">
        <v>38</v>
      </c>
      <c r="D71" t="s">
        <v>267</v>
      </c>
      <c r="E71">
        <v>2011</v>
      </c>
      <c r="F71" t="s">
        <v>268</v>
      </c>
      <c r="G71" t="s">
        <v>290</v>
      </c>
      <c r="H71" t="s">
        <v>58</v>
      </c>
      <c r="I71" t="s">
        <v>291</v>
      </c>
      <c r="J71" t="s">
        <v>89</v>
      </c>
      <c r="K71" t="s">
        <v>45</v>
      </c>
      <c r="L71" t="s">
        <v>115</v>
      </c>
      <c r="M71" t="s">
        <v>47</v>
      </c>
      <c r="N71">
        <v>160000</v>
      </c>
      <c r="O71">
        <v>21645</v>
      </c>
      <c r="P71">
        <v>138355</v>
      </c>
      <c r="Q71" t="s">
        <v>292</v>
      </c>
      <c r="R71" t="s">
        <v>291</v>
      </c>
      <c r="S71" s="2" t="s">
        <v>49</v>
      </c>
      <c r="T71">
        <v>284490</v>
      </c>
      <c r="U71" t="s">
        <v>50</v>
      </c>
      <c r="V71">
        <v>2011</v>
      </c>
      <c r="W71">
        <v>2348</v>
      </c>
      <c r="X71" t="s">
        <v>151</v>
      </c>
      <c r="Y71">
        <v>33</v>
      </c>
      <c r="Z71">
        <v>33</v>
      </c>
      <c r="AA71">
        <v>74</v>
      </c>
      <c r="AB71">
        <v>74</v>
      </c>
      <c r="AC71" s="2" t="s">
        <v>49</v>
      </c>
      <c r="AD71">
        <v>284930</v>
      </c>
      <c r="AE71" t="s">
        <v>50</v>
      </c>
      <c r="AF71">
        <v>2011</v>
      </c>
      <c r="AG71">
        <v>2348</v>
      </c>
      <c r="AH71" t="s">
        <v>151</v>
      </c>
      <c r="AI71">
        <v>33</v>
      </c>
      <c r="AJ71">
        <v>33</v>
      </c>
      <c r="AK71">
        <v>74</v>
      </c>
      <c r="AL71">
        <v>74</v>
      </c>
      <c r="AM71" s="2" t="s">
        <v>49</v>
      </c>
      <c r="AN71">
        <v>283015</v>
      </c>
      <c r="AO71" t="s">
        <v>50</v>
      </c>
      <c r="AP71">
        <v>2011</v>
      </c>
      <c r="AQ71">
        <v>2348</v>
      </c>
      <c r="AR71" t="s">
        <v>151</v>
      </c>
      <c r="AS71">
        <v>33</v>
      </c>
      <c r="AT71">
        <v>33</v>
      </c>
      <c r="AU71">
        <v>74</v>
      </c>
      <c r="AV71">
        <v>74</v>
      </c>
      <c r="AW71" s="2" t="s">
        <v>49</v>
      </c>
      <c r="AX71">
        <v>284278</v>
      </c>
      <c r="AY71" t="s">
        <v>50</v>
      </c>
      <c r="AZ71">
        <v>2011</v>
      </c>
      <c r="BA71">
        <v>2348</v>
      </c>
      <c r="BB71" t="s">
        <v>151</v>
      </c>
      <c r="BC71">
        <v>33</v>
      </c>
      <c r="BD71">
        <v>33</v>
      </c>
      <c r="BE71">
        <v>74</v>
      </c>
      <c r="BF71">
        <v>74</v>
      </c>
      <c r="BG71" s="2" t="s">
        <v>49</v>
      </c>
      <c r="BH71">
        <v>37397</v>
      </c>
      <c r="BI71" t="s">
        <v>50</v>
      </c>
      <c r="BJ71">
        <v>2011</v>
      </c>
      <c r="BM71" s="2" t="s">
        <v>49</v>
      </c>
      <c r="BN71">
        <v>37414</v>
      </c>
      <c r="BO71" t="s">
        <v>50</v>
      </c>
      <c r="BP71">
        <v>2011</v>
      </c>
      <c r="BS71" s="2" t="s">
        <v>49</v>
      </c>
      <c r="BT71">
        <v>66129</v>
      </c>
      <c r="BU71" t="s">
        <v>50</v>
      </c>
      <c r="BV71">
        <v>2011</v>
      </c>
      <c r="BY71" s="2" t="s">
        <v>49</v>
      </c>
      <c r="BZ71">
        <v>63808</v>
      </c>
      <c r="CA71" t="s">
        <v>50</v>
      </c>
      <c r="CB71">
        <v>2011</v>
      </c>
      <c r="CE71" s="2" t="s">
        <v>49</v>
      </c>
      <c r="CF71">
        <v>65158</v>
      </c>
      <c r="CG71" t="s">
        <v>50</v>
      </c>
      <c r="CH71">
        <v>2011</v>
      </c>
      <c r="CK71" s="2" t="s">
        <v>49</v>
      </c>
      <c r="CL71">
        <v>65694</v>
      </c>
      <c r="CM71" t="s">
        <v>50</v>
      </c>
      <c r="CN71">
        <v>2011</v>
      </c>
    </row>
    <row r="72" spans="1:92" x14ac:dyDescent="0.25">
      <c r="A72">
        <v>77221778</v>
      </c>
      <c r="B72" s="3" t="s">
        <v>37</v>
      </c>
      <c r="C72" t="s">
        <v>103</v>
      </c>
      <c r="D72" t="s">
        <v>94</v>
      </c>
      <c r="E72">
        <v>2011</v>
      </c>
      <c r="F72" t="s">
        <v>95</v>
      </c>
      <c r="G72" t="s">
        <v>293</v>
      </c>
      <c r="H72" t="s">
        <v>294</v>
      </c>
      <c r="I72" t="s">
        <v>295</v>
      </c>
      <c r="J72" t="s">
        <v>44</v>
      </c>
      <c r="K72" t="s">
        <v>45</v>
      </c>
      <c r="L72" t="s">
        <v>296</v>
      </c>
      <c r="M72" t="s">
        <v>47</v>
      </c>
      <c r="N72">
        <v>160000</v>
      </c>
      <c r="O72">
        <v>7855</v>
      </c>
      <c r="P72">
        <v>152145</v>
      </c>
      <c r="Q72" t="s">
        <v>297</v>
      </c>
      <c r="R72" t="s">
        <v>295</v>
      </c>
      <c r="S72" s="2" t="s">
        <v>49</v>
      </c>
      <c r="T72">
        <v>302187</v>
      </c>
      <c r="U72" t="s">
        <v>50</v>
      </c>
      <c r="V72">
        <v>2013</v>
      </c>
      <c r="W72">
        <v>745</v>
      </c>
      <c r="X72" t="s">
        <v>51</v>
      </c>
      <c r="Y72">
        <v>0</v>
      </c>
      <c r="Z72">
        <v>0</v>
      </c>
      <c r="AA72">
        <v>74</v>
      </c>
      <c r="AB72">
        <v>74</v>
      </c>
      <c r="AC72" s="2" t="s">
        <v>49</v>
      </c>
      <c r="AD72">
        <v>320181</v>
      </c>
      <c r="AE72" t="s">
        <v>50</v>
      </c>
      <c r="AF72">
        <v>2013</v>
      </c>
      <c r="AG72">
        <v>745</v>
      </c>
      <c r="AH72" t="s">
        <v>51</v>
      </c>
      <c r="AI72">
        <v>0</v>
      </c>
      <c r="AJ72">
        <v>0</v>
      </c>
      <c r="AK72">
        <v>73</v>
      </c>
      <c r="AL72">
        <v>73</v>
      </c>
      <c r="AM72" s="2" t="s">
        <v>49</v>
      </c>
      <c r="AN72">
        <v>308672</v>
      </c>
      <c r="AO72" t="s">
        <v>50</v>
      </c>
      <c r="AP72">
        <v>2013</v>
      </c>
      <c r="AQ72">
        <v>745</v>
      </c>
      <c r="AR72" t="s">
        <v>51</v>
      </c>
      <c r="AS72">
        <v>0</v>
      </c>
      <c r="AT72">
        <v>0</v>
      </c>
      <c r="AU72">
        <v>72</v>
      </c>
      <c r="AV72">
        <v>72</v>
      </c>
      <c r="AW72" s="2" t="s">
        <v>49</v>
      </c>
      <c r="AX72">
        <v>122255</v>
      </c>
      <c r="AY72" t="s">
        <v>50</v>
      </c>
      <c r="AZ72">
        <v>2012</v>
      </c>
      <c r="BA72">
        <v>745</v>
      </c>
      <c r="BB72" t="s">
        <v>51</v>
      </c>
      <c r="BC72">
        <v>0</v>
      </c>
      <c r="BD72">
        <v>0</v>
      </c>
      <c r="BE72">
        <v>72</v>
      </c>
      <c r="BF72">
        <v>72</v>
      </c>
      <c r="BG72" s="2" t="s">
        <v>49</v>
      </c>
      <c r="BH72">
        <v>38418</v>
      </c>
      <c r="BI72" t="s">
        <v>50</v>
      </c>
      <c r="BJ72">
        <v>2011</v>
      </c>
      <c r="BM72" s="2" t="s">
        <v>49</v>
      </c>
      <c r="BN72">
        <v>38450</v>
      </c>
      <c r="BO72" t="s">
        <v>50</v>
      </c>
      <c r="BP72">
        <v>2011</v>
      </c>
      <c r="BS72" s="2" t="s">
        <v>49</v>
      </c>
      <c r="BT72">
        <v>64262</v>
      </c>
      <c r="BU72" t="s">
        <v>50</v>
      </c>
      <c r="BV72">
        <v>2011</v>
      </c>
      <c r="BY72" s="2" t="s">
        <v>49</v>
      </c>
      <c r="BZ72">
        <v>64504</v>
      </c>
      <c r="CA72" t="s">
        <v>50</v>
      </c>
      <c r="CB72">
        <v>2011</v>
      </c>
      <c r="CE72" s="2" t="s">
        <v>49</v>
      </c>
      <c r="CF72">
        <v>67103</v>
      </c>
      <c r="CG72" t="s">
        <v>50</v>
      </c>
      <c r="CH72">
        <v>2011</v>
      </c>
      <c r="CK72" s="2" t="s">
        <v>49</v>
      </c>
      <c r="CL72">
        <v>66097</v>
      </c>
      <c r="CM72" t="s">
        <v>50</v>
      </c>
      <c r="CN72">
        <v>2011</v>
      </c>
    </row>
    <row r="73" spans="1:92" x14ac:dyDescent="0.25">
      <c r="A73">
        <v>77206183</v>
      </c>
      <c r="B73" s="3" t="s">
        <v>37</v>
      </c>
      <c r="C73" t="s">
        <v>53</v>
      </c>
      <c r="D73" t="s">
        <v>54</v>
      </c>
      <c r="E73">
        <v>2013</v>
      </c>
      <c r="F73" t="s">
        <v>55</v>
      </c>
      <c r="G73" t="s">
        <v>298</v>
      </c>
      <c r="H73" t="s">
        <v>299</v>
      </c>
      <c r="I73" t="s">
        <v>300</v>
      </c>
      <c r="J73" t="s">
        <v>42</v>
      </c>
      <c r="K73" t="s">
        <v>45</v>
      </c>
      <c r="L73" t="s">
        <v>301</v>
      </c>
      <c r="M73" t="s">
        <v>47</v>
      </c>
      <c r="N73">
        <v>160000</v>
      </c>
      <c r="O73">
        <v>16514</v>
      </c>
      <c r="P73">
        <v>143486</v>
      </c>
      <c r="Q73" t="s">
        <v>302</v>
      </c>
      <c r="R73" t="s">
        <v>298</v>
      </c>
      <c r="S73" s="2" t="s">
        <v>49</v>
      </c>
      <c r="T73">
        <v>155694</v>
      </c>
      <c r="U73">
        <v>1175</v>
      </c>
      <c r="V73">
        <v>2019</v>
      </c>
      <c r="W73">
        <v>2080</v>
      </c>
      <c r="X73" t="s">
        <v>151</v>
      </c>
      <c r="Y73">
        <v>32</v>
      </c>
      <c r="Z73">
        <v>32</v>
      </c>
      <c r="AA73">
        <v>59</v>
      </c>
      <c r="AB73">
        <v>59</v>
      </c>
      <c r="AC73" s="2" t="s">
        <v>49</v>
      </c>
      <c r="AD73">
        <v>434190</v>
      </c>
      <c r="AE73" t="s">
        <v>62</v>
      </c>
      <c r="AF73">
        <v>2013</v>
      </c>
      <c r="AG73">
        <v>2080</v>
      </c>
      <c r="AH73" t="s">
        <v>151</v>
      </c>
      <c r="AI73">
        <v>33</v>
      </c>
      <c r="AJ73">
        <v>33</v>
      </c>
      <c r="AK73">
        <v>60</v>
      </c>
      <c r="AL73">
        <v>60</v>
      </c>
      <c r="AM73" s="2" t="s">
        <v>49</v>
      </c>
      <c r="AN73">
        <v>381004</v>
      </c>
      <c r="AO73" t="s">
        <v>62</v>
      </c>
      <c r="AP73">
        <v>2012</v>
      </c>
      <c r="AQ73">
        <v>2080</v>
      </c>
      <c r="AR73" t="s">
        <v>151</v>
      </c>
      <c r="AS73">
        <v>29</v>
      </c>
      <c r="AT73">
        <v>29</v>
      </c>
      <c r="AU73">
        <v>61</v>
      </c>
      <c r="AV73">
        <v>61</v>
      </c>
      <c r="AW73" s="2" t="s">
        <v>49</v>
      </c>
      <c r="AX73">
        <v>442566</v>
      </c>
      <c r="AY73" t="s">
        <v>62</v>
      </c>
      <c r="AZ73">
        <v>2013</v>
      </c>
      <c r="BA73">
        <v>2080</v>
      </c>
      <c r="BB73" t="s">
        <v>151</v>
      </c>
      <c r="BC73">
        <v>29</v>
      </c>
      <c r="BD73">
        <v>29</v>
      </c>
      <c r="BE73">
        <v>58</v>
      </c>
      <c r="BF73">
        <v>58</v>
      </c>
      <c r="BG73" s="2" t="s">
        <v>49</v>
      </c>
      <c r="BH73">
        <v>15252</v>
      </c>
      <c r="BI73">
        <v>1291</v>
      </c>
      <c r="BJ73">
        <v>2013</v>
      </c>
      <c r="BM73" s="2" t="s">
        <v>49</v>
      </c>
      <c r="BN73">
        <v>52449</v>
      </c>
      <c r="BO73">
        <v>1291</v>
      </c>
      <c r="BP73">
        <v>2013</v>
      </c>
      <c r="BS73" s="2" t="s">
        <v>49</v>
      </c>
      <c r="BT73">
        <v>42235</v>
      </c>
      <c r="BU73">
        <v>1291</v>
      </c>
      <c r="BV73">
        <v>2013</v>
      </c>
      <c r="BY73" s="2" t="s">
        <v>49</v>
      </c>
      <c r="BZ73">
        <v>46300</v>
      </c>
      <c r="CA73">
        <v>1291</v>
      </c>
      <c r="CB73">
        <v>2013</v>
      </c>
      <c r="CE73" s="2" t="s">
        <v>49</v>
      </c>
      <c r="CF73">
        <v>46310</v>
      </c>
      <c r="CG73">
        <v>1291</v>
      </c>
      <c r="CH73">
        <v>2013</v>
      </c>
      <c r="CK73" s="2" t="s">
        <v>49</v>
      </c>
      <c r="CL73">
        <v>11391</v>
      </c>
      <c r="CM73" t="s">
        <v>303</v>
      </c>
      <c r="CN73">
        <v>2014</v>
      </c>
    </row>
    <row r="74" spans="1:92" x14ac:dyDescent="0.25">
      <c r="A74">
        <v>77206001</v>
      </c>
      <c r="B74" s="3" t="s">
        <v>37</v>
      </c>
      <c r="C74" t="s">
        <v>53</v>
      </c>
      <c r="D74" t="s">
        <v>54</v>
      </c>
      <c r="E74">
        <v>2013</v>
      </c>
      <c r="F74" t="s">
        <v>55</v>
      </c>
      <c r="G74" t="s">
        <v>298</v>
      </c>
      <c r="H74" t="s">
        <v>299</v>
      </c>
      <c r="I74" t="s">
        <v>304</v>
      </c>
      <c r="J74" t="s">
        <v>42</v>
      </c>
      <c r="K74" t="s">
        <v>45</v>
      </c>
      <c r="L74" t="s">
        <v>301</v>
      </c>
      <c r="M74" t="s">
        <v>47</v>
      </c>
      <c r="N74">
        <v>160000</v>
      </c>
      <c r="O74">
        <v>16514</v>
      </c>
      <c r="P74">
        <v>143486</v>
      </c>
      <c r="Q74" t="s">
        <v>302</v>
      </c>
      <c r="R74" t="s">
        <v>298</v>
      </c>
      <c r="S74" s="2" t="s">
        <v>49</v>
      </c>
      <c r="T74">
        <v>447139</v>
      </c>
      <c r="U74" t="s">
        <v>62</v>
      </c>
      <c r="V74">
        <v>2013</v>
      </c>
      <c r="W74">
        <v>2080</v>
      </c>
      <c r="X74" t="s">
        <v>151</v>
      </c>
      <c r="Y74">
        <v>33</v>
      </c>
      <c r="Z74">
        <v>33</v>
      </c>
      <c r="AA74">
        <v>74</v>
      </c>
      <c r="AB74">
        <v>74</v>
      </c>
      <c r="AC74" s="2" t="s">
        <v>49</v>
      </c>
      <c r="AD74">
        <v>434222</v>
      </c>
      <c r="AE74" t="s">
        <v>62</v>
      </c>
      <c r="AF74">
        <v>2013</v>
      </c>
      <c r="AG74">
        <v>2080</v>
      </c>
      <c r="AH74" t="s">
        <v>151</v>
      </c>
      <c r="AI74">
        <v>33</v>
      </c>
      <c r="AJ74">
        <v>33</v>
      </c>
      <c r="AK74">
        <v>74</v>
      </c>
      <c r="AL74">
        <v>74</v>
      </c>
      <c r="AM74" s="2" t="s">
        <v>49</v>
      </c>
      <c r="AN74">
        <v>455965</v>
      </c>
      <c r="AO74" t="s">
        <v>62</v>
      </c>
      <c r="AP74">
        <v>2013</v>
      </c>
      <c r="AQ74">
        <v>2080</v>
      </c>
      <c r="AR74" t="s">
        <v>151</v>
      </c>
      <c r="AS74">
        <v>33</v>
      </c>
      <c r="AT74">
        <v>33</v>
      </c>
      <c r="AU74">
        <v>74</v>
      </c>
      <c r="AV74">
        <v>74</v>
      </c>
      <c r="AW74" s="2" t="s">
        <v>49</v>
      </c>
      <c r="AX74">
        <v>18198</v>
      </c>
      <c r="AY74">
        <v>1226</v>
      </c>
      <c r="AZ74">
        <v>2012</v>
      </c>
      <c r="BA74">
        <v>2080</v>
      </c>
      <c r="BB74" t="s">
        <v>151</v>
      </c>
      <c r="BC74">
        <v>33</v>
      </c>
      <c r="BD74">
        <v>33</v>
      </c>
      <c r="BE74">
        <v>74</v>
      </c>
      <c r="BF74">
        <v>74</v>
      </c>
      <c r="BG74" s="2" t="s">
        <v>49</v>
      </c>
      <c r="BH74">
        <v>13950</v>
      </c>
      <c r="BI74">
        <v>1291</v>
      </c>
      <c r="BJ74">
        <v>2013</v>
      </c>
      <c r="BM74" s="2" t="s">
        <v>49</v>
      </c>
      <c r="BN74">
        <v>13855</v>
      </c>
      <c r="BO74">
        <v>1291</v>
      </c>
      <c r="BP74">
        <v>2013</v>
      </c>
      <c r="BS74" s="2" t="s">
        <v>49</v>
      </c>
      <c r="BT74">
        <v>40962</v>
      </c>
      <c r="BU74">
        <v>1291</v>
      </c>
      <c r="BV74">
        <v>2013</v>
      </c>
      <c r="BY74" s="2" t="s">
        <v>49</v>
      </c>
      <c r="BZ74">
        <v>39313</v>
      </c>
      <c r="CA74">
        <v>1291</v>
      </c>
      <c r="CB74">
        <v>2013</v>
      </c>
      <c r="CE74" s="2" t="s">
        <v>49</v>
      </c>
      <c r="CF74">
        <v>40081</v>
      </c>
      <c r="CG74">
        <v>1291</v>
      </c>
      <c r="CH74">
        <v>2013</v>
      </c>
      <c r="CK74" s="2" t="s">
        <v>49</v>
      </c>
      <c r="CL74">
        <v>39031</v>
      </c>
      <c r="CM74">
        <v>1291</v>
      </c>
      <c r="CN74">
        <v>2013</v>
      </c>
    </row>
    <row r="75" spans="1:92" x14ac:dyDescent="0.25">
      <c r="A75">
        <v>77206175</v>
      </c>
      <c r="B75" s="3" t="s">
        <v>37</v>
      </c>
      <c r="C75" t="s">
        <v>53</v>
      </c>
      <c r="D75" t="s">
        <v>54</v>
      </c>
      <c r="E75">
        <v>2013</v>
      </c>
      <c r="F75" t="s">
        <v>55</v>
      </c>
      <c r="G75" t="s">
        <v>298</v>
      </c>
      <c r="H75" t="s">
        <v>299</v>
      </c>
      <c r="I75" t="s">
        <v>125</v>
      </c>
      <c r="J75" t="s">
        <v>99</v>
      </c>
      <c r="K75" t="s">
        <v>45</v>
      </c>
      <c r="L75" t="s">
        <v>301</v>
      </c>
      <c r="M75" t="s">
        <v>47</v>
      </c>
      <c r="N75">
        <v>160000</v>
      </c>
      <c r="O75">
        <v>16514</v>
      </c>
      <c r="P75">
        <v>143486</v>
      </c>
      <c r="Q75" t="s">
        <v>302</v>
      </c>
      <c r="R75" t="s">
        <v>298</v>
      </c>
      <c r="S75" s="2" t="s">
        <v>49</v>
      </c>
      <c r="T75">
        <v>459234</v>
      </c>
      <c r="U75" t="s">
        <v>62</v>
      </c>
      <c r="V75">
        <v>2013</v>
      </c>
      <c r="W75">
        <v>2080</v>
      </c>
      <c r="X75" t="s">
        <v>151</v>
      </c>
      <c r="Y75">
        <v>30</v>
      </c>
      <c r="Z75">
        <v>30</v>
      </c>
      <c r="AA75">
        <v>70</v>
      </c>
      <c r="AB75">
        <v>70</v>
      </c>
      <c r="AC75" s="2" t="s">
        <v>49</v>
      </c>
      <c r="AD75">
        <v>459174</v>
      </c>
      <c r="AE75" t="s">
        <v>62</v>
      </c>
      <c r="AF75">
        <v>2013</v>
      </c>
      <c r="AG75">
        <v>2080</v>
      </c>
      <c r="AH75" t="s">
        <v>151</v>
      </c>
      <c r="AI75">
        <v>33</v>
      </c>
      <c r="AJ75">
        <v>33</v>
      </c>
      <c r="AK75">
        <v>66</v>
      </c>
      <c r="AL75">
        <v>66</v>
      </c>
      <c r="AM75" s="2" t="s">
        <v>49</v>
      </c>
      <c r="AN75">
        <v>459342</v>
      </c>
      <c r="AO75" t="s">
        <v>62</v>
      </c>
      <c r="AP75">
        <v>2013</v>
      </c>
      <c r="AQ75">
        <v>2080</v>
      </c>
      <c r="AR75" t="s">
        <v>151</v>
      </c>
      <c r="AS75">
        <v>33</v>
      </c>
      <c r="AT75">
        <v>33</v>
      </c>
      <c r="AU75">
        <v>68</v>
      </c>
      <c r="AV75">
        <v>68</v>
      </c>
      <c r="AW75" s="2" t="s">
        <v>49</v>
      </c>
      <c r="AX75">
        <v>443938</v>
      </c>
      <c r="AY75" t="s">
        <v>62</v>
      </c>
      <c r="AZ75">
        <v>2013</v>
      </c>
      <c r="BA75">
        <v>2080</v>
      </c>
      <c r="BB75" t="s">
        <v>151</v>
      </c>
      <c r="BC75">
        <v>30</v>
      </c>
      <c r="BD75">
        <v>30</v>
      </c>
      <c r="BE75">
        <v>68</v>
      </c>
      <c r="BF75">
        <v>68</v>
      </c>
      <c r="BG75" s="2" t="s">
        <v>49</v>
      </c>
      <c r="BH75">
        <v>14431</v>
      </c>
      <c r="BI75">
        <v>1291</v>
      </c>
      <c r="BJ75">
        <v>2013</v>
      </c>
      <c r="BM75" s="2" t="s">
        <v>49</v>
      </c>
      <c r="BN75">
        <v>13706</v>
      </c>
      <c r="BO75">
        <v>1291</v>
      </c>
      <c r="BP75">
        <v>2013</v>
      </c>
      <c r="BS75" s="2" t="s">
        <v>49</v>
      </c>
      <c r="BT75">
        <v>40811</v>
      </c>
      <c r="BU75">
        <v>1291</v>
      </c>
      <c r="BV75">
        <v>2013</v>
      </c>
      <c r="BY75" s="2" t="s">
        <v>49</v>
      </c>
      <c r="BZ75">
        <v>41478</v>
      </c>
      <c r="CA75">
        <v>1291</v>
      </c>
      <c r="CB75">
        <v>2013</v>
      </c>
      <c r="CE75" s="2" t="s">
        <v>49</v>
      </c>
      <c r="CF75">
        <v>42410</v>
      </c>
      <c r="CG75">
        <v>1291</v>
      </c>
      <c r="CH75">
        <v>2013</v>
      </c>
      <c r="CK75" s="2" t="s">
        <v>49</v>
      </c>
      <c r="CL75">
        <v>41806</v>
      </c>
      <c r="CM75">
        <v>1291</v>
      </c>
      <c r="CN75">
        <v>2013</v>
      </c>
    </row>
    <row r="76" spans="1:92" x14ac:dyDescent="0.25">
      <c r="A76">
        <v>77205763</v>
      </c>
      <c r="B76" s="3" t="s">
        <v>37</v>
      </c>
      <c r="C76" t="s">
        <v>53</v>
      </c>
      <c r="D76" t="s">
        <v>54</v>
      </c>
      <c r="E76">
        <v>2013</v>
      </c>
      <c r="F76" t="s">
        <v>55</v>
      </c>
      <c r="G76" t="s">
        <v>305</v>
      </c>
      <c r="H76" t="s">
        <v>42</v>
      </c>
      <c r="I76" t="s">
        <v>306</v>
      </c>
      <c r="J76" t="s">
        <v>42</v>
      </c>
      <c r="K76" t="s">
        <v>45</v>
      </c>
      <c r="L76" t="s">
        <v>307</v>
      </c>
      <c r="M76" t="s">
        <v>47</v>
      </c>
      <c r="N76">
        <v>160000</v>
      </c>
      <c r="O76">
        <v>40035</v>
      </c>
      <c r="P76">
        <v>119965</v>
      </c>
      <c r="Q76" t="s">
        <v>308</v>
      </c>
      <c r="R76" t="s">
        <v>305</v>
      </c>
      <c r="S76" s="2" t="s">
        <v>49</v>
      </c>
      <c r="T76">
        <v>444243</v>
      </c>
      <c r="U76" t="s">
        <v>62</v>
      </c>
      <c r="V76">
        <v>2013</v>
      </c>
      <c r="W76">
        <v>301</v>
      </c>
      <c r="X76" t="s">
        <v>309</v>
      </c>
      <c r="Y76">
        <v>33</v>
      </c>
      <c r="Z76">
        <v>32</v>
      </c>
      <c r="AA76">
        <v>64</v>
      </c>
      <c r="AB76">
        <v>64</v>
      </c>
      <c r="AC76" s="2" t="s">
        <v>49</v>
      </c>
      <c r="AD76">
        <v>442967</v>
      </c>
      <c r="AE76" t="s">
        <v>62</v>
      </c>
      <c r="AF76">
        <v>2013</v>
      </c>
      <c r="AG76">
        <v>301</v>
      </c>
      <c r="AH76" t="s">
        <v>309</v>
      </c>
      <c r="AI76">
        <v>33</v>
      </c>
      <c r="AJ76">
        <v>32</v>
      </c>
      <c r="AK76">
        <v>57</v>
      </c>
      <c r="AL76">
        <v>57</v>
      </c>
      <c r="AM76" s="2" t="s">
        <v>49</v>
      </c>
      <c r="AN76">
        <v>711939</v>
      </c>
      <c r="AO76" t="s">
        <v>85</v>
      </c>
      <c r="AP76">
        <v>1990</v>
      </c>
      <c r="AQ76">
        <v>301</v>
      </c>
      <c r="AR76" t="s">
        <v>309</v>
      </c>
      <c r="AS76">
        <v>30</v>
      </c>
      <c r="AT76">
        <v>29</v>
      </c>
      <c r="AU76">
        <v>65</v>
      </c>
      <c r="AV76">
        <v>65</v>
      </c>
      <c r="AW76" s="2" t="s">
        <v>49</v>
      </c>
      <c r="AX76">
        <v>444375</v>
      </c>
      <c r="AY76" t="s">
        <v>62</v>
      </c>
      <c r="AZ76">
        <v>2013</v>
      </c>
      <c r="BA76">
        <v>301</v>
      </c>
      <c r="BB76" t="s">
        <v>309</v>
      </c>
      <c r="BC76">
        <v>30</v>
      </c>
      <c r="BD76">
        <v>31</v>
      </c>
      <c r="BE76">
        <v>65</v>
      </c>
      <c r="BF76">
        <v>65</v>
      </c>
      <c r="BG76" s="2" t="s">
        <v>49</v>
      </c>
      <c r="BH76">
        <v>1574</v>
      </c>
      <c r="BI76">
        <v>1291</v>
      </c>
      <c r="BJ76">
        <v>2013</v>
      </c>
      <c r="BM76" s="2" t="s">
        <v>49</v>
      </c>
      <c r="BN76">
        <v>15778</v>
      </c>
      <c r="BO76">
        <v>1291</v>
      </c>
      <c r="BP76">
        <v>2013</v>
      </c>
      <c r="BS76" s="2" t="s">
        <v>49</v>
      </c>
      <c r="BT76">
        <v>38833</v>
      </c>
      <c r="BU76">
        <v>1291</v>
      </c>
      <c r="BV76">
        <v>2013</v>
      </c>
      <c r="BY76" s="2" t="s">
        <v>49</v>
      </c>
      <c r="BZ76">
        <v>38799</v>
      </c>
      <c r="CA76">
        <v>1291</v>
      </c>
      <c r="CB76">
        <v>2013</v>
      </c>
      <c r="CE76" s="2" t="s">
        <v>49</v>
      </c>
      <c r="CF76">
        <v>38561</v>
      </c>
      <c r="CG76">
        <v>1291</v>
      </c>
      <c r="CH76">
        <v>2013</v>
      </c>
      <c r="CK76" s="2" t="s">
        <v>49</v>
      </c>
      <c r="CL76">
        <v>38236</v>
      </c>
      <c r="CM76">
        <v>1291</v>
      </c>
      <c r="CN76">
        <v>2013</v>
      </c>
    </row>
    <row r="77" spans="1:92" x14ac:dyDescent="0.25">
      <c r="A77">
        <v>77205920</v>
      </c>
      <c r="B77" s="3" t="s">
        <v>37</v>
      </c>
      <c r="C77" t="s">
        <v>53</v>
      </c>
      <c r="D77" t="s">
        <v>54</v>
      </c>
      <c r="E77">
        <v>2013</v>
      </c>
      <c r="F77" t="s">
        <v>55</v>
      </c>
      <c r="G77" t="s">
        <v>81</v>
      </c>
      <c r="H77" t="s">
        <v>44</v>
      </c>
      <c r="I77" t="s">
        <v>310</v>
      </c>
      <c r="J77" t="s">
        <v>68</v>
      </c>
      <c r="K77" t="s">
        <v>45</v>
      </c>
      <c r="L77" t="s">
        <v>83</v>
      </c>
      <c r="M77" t="s">
        <v>47</v>
      </c>
      <c r="N77">
        <v>160000</v>
      </c>
      <c r="O77">
        <v>14375</v>
      </c>
      <c r="P77">
        <v>145625</v>
      </c>
      <c r="Q77" t="s">
        <v>311</v>
      </c>
      <c r="R77" t="s">
        <v>81</v>
      </c>
      <c r="S77" s="2" t="s">
        <v>49</v>
      </c>
      <c r="T77">
        <v>62581</v>
      </c>
      <c r="U77">
        <v>1175</v>
      </c>
      <c r="V77">
        <v>2013</v>
      </c>
      <c r="W77">
        <v>745</v>
      </c>
      <c r="X77" t="s">
        <v>61</v>
      </c>
      <c r="Y77">
        <v>0</v>
      </c>
      <c r="Z77">
        <v>0</v>
      </c>
      <c r="AA77">
        <v>74</v>
      </c>
      <c r="AB77">
        <v>74</v>
      </c>
      <c r="AC77" s="2" t="s">
        <v>49</v>
      </c>
      <c r="AD77">
        <v>777116</v>
      </c>
      <c r="AE77" t="s">
        <v>50</v>
      </c>
      <c r="AF77">
        <v>2017</v>
      </c>
      <c r="AG77">
        <v>745</v>
      </c>
      <c r="AH77" t="s">
        <v>61</v>
      </c>
      <c r="AI77">
        <v>0</v>
      </c>
      <c r="AJ77">
        <v>0</v>
      </c>
      <c r="AK77">
        <v>75</v>
      </c>
      <c r="AL77">
        <v>75</v>
      </c>
      <c r="AM77" s="2" t="s">
        <v>49</v>
      </c>
      <c r="AN77">
        <v>67833</v>
      </c>
      <c r="AO77" t="s">
        <v>50</v>
      </c>
      <c r="AP77">
        <v>2004</v>
      </c>
      <c r="AQ77">
        <v>745</v>
      </c>
      <c r="AR77" t="s">
        <v>61</v>
      </c>
      <c r="AS77">
        <v>0</v>
      </c>
      <c r="AT77">
        <v>0</v>
      </c>
      <c r="AU77">
        <v>72</v>
      </c>
      <c r="AV77">
        <v>72</v>
      </c>
      <c r="AW77" s="2" t="s">
        <v>49</v>
      </c>
      <c r="AX77">
        <v>51464</v>
      </c>
      <c r="AY77">
        <v>1175</v>
      </c>
      <c r="AZ77">
        <v>2005</v>
      </c>
      <c r="BA77">
        <v>745</v>
      </c>
      <c r="BB77" t="s">
        <v>61</v>
      </c>
      <c r="BC77">
        <v>0</v>
      </c>
      <c r="BD77">
        <v>0</v>
      </c>
      <c r="BE77">
        <v>71</v>
      </c>
      <c r="BF77">
        <v>71</v>
      </c>
      <c r="BG77" s="2" t="s">
        <v>49</v>
      </c>
      <c r="BH77">
        <v>52345</v>
      </c>
      <c r="BI77">
        <v>1291</v>
      </c>
      <c r="BJ77">
        <v>2013</v>
      </c>
      <c r="BM77" s="2" t="s">
        <v>49</v>
      </c>
      <c r="BN77">
        <v>15827</v>
      </c>
      <c r="BO77">
        <v>1291</v>
      </c>
      <c r="BP77">
        <v>2013</v>
      </c>
      <c r="BS77" s="2" t="s">
        <v>49</v>
      </c>
      <c r="BT77">
        <v>45743</v>
      </c>
      <c r="BU77">
        <v>1291</v>
      </c>
      <c r="BV77">
        <v>2013</v>
      </c>
      <c r="BY77" s="2" t="s">
        <v>49</v>
      </c>
      <c r="BZ77">
        <v>45956</v>
      </c>
      <c r="CA77">
        <v>1291</v>
      </c>
      <c r="CB77">
        <v>2013</v>
      </c>
      <c r="CE77" s="2" t="s">
        <v>49</v>
      </c>
      <c r="CF77">
        <v>45943</v>
      </c>
      <c r="CG77">
        <v>1291</v>
      </c>
      <c r="CH77">
        <v>2013</v>
      </c>
      <c r="CK77" s="2" t="s">
        <v>49</v>
      </c>
      <c r="CL77">
        <v>46299</v>
      </c>
      <c r="CM77">
        <v>1291</v>
      </c>
      <c r="CN77">
        <v>2013</v>
      </c>
    </row>
    <row r="78" spans="1:92" x14ac:dyDescent="0.25">
      <c r="A78">
        <v>75187997</v>
      </c>
      <c r="B78" s="3" t="s">
        <v>37</v>
      </c>
      <c r="C78" t="s">
        <v>144</v>
      </c>
      <c r="D78" t="s">
        <v>158</v>
      </c>
      <c r="E78">
        <v>2020</v>
      </c>
      <c r="F78" t="s">
        <v>159</v>
      </c>
      <c r="G78" t="s">
        <v>197</v>
      </c>
      <c r="H78" t="s">
        <v>148</v>
      </c>
      <c r="K78" t="s">
        <v>45</v>
      </c>
      <c r="L78" t="s">
        <v>198</v>
      </c>
      <c r="M78" t="s">
        <v>47</v>
      </c>
      <c r="N78">
        <v>160000</v>
      </c>
      <c r="O78">
        <v>25105</v>
      </c>
      <c r="P78">
        <v>134895</v>
      </c>
      <c r="Q78" t="s">
        <v>312</v>
      </c>
      <c r="R78" t="s">
        <v>197</v>
      </c>
      <c r="S78" s="2" t="s">
        <v>49</v>
      </c>
      <c r="T78">
        <v>748888</v>
      </c>
      <c r="U78" t="s">
        <v>62</v>
      </c>
      <c r="V78">
        <v>2020</v>
      </c>
      <c r="W78">
        <v>1173</v>
      </c>
      <c r="X78" t="s">
        <v>151</v>
      </c>
      <c r="Y78">
        <v>30</v>
      </c>
      <c r="Z78">
        <v>30</v>
      </c>
      <c r="AA78">
        <v>59</v>
      </c>
      <c r="AB78">
        <v>58</v>
      </c>
      <c r="AC78" s="2" t="s">
        <v>49</v>
      </c>
      <c r="AD78">
        <v>749344</v>
      </c>
      <c r="AE78" t="s">
        <v>62</v>
      </c>
      <c r="AF78">
        <v>2020</v>
      </c>
      <c r="AG78">
        <v>1173</v>
      </c>
      <c r="AH78" t="s">
        <v>151</v>
      </c>
      <c r="AI78">
        <v>29</v>
      </c>
      <c r="AJ78">
        <v>30</v>
      </c>
      <c r="AK78">
        <v>63</v>
      </c>
      <c r="AL78">
        <v>62</v>
      </c>
      <c r="AM78" s="2" t="s">
        <v>49</v>
      </c>
      <c r="AN78">
        <v>9727</v>
      </c>
      <c r="AO78">
        <v>2002</v>
      </c>
      <c r="AP78">
        <v>2020</v>
      </c>
      <c r="AQ78">
        <v>1173</v>
      </c>
      <c r="AR78" t="s">
        <v>151</v>
      </c>
      <c r="AS78">
        <v>30</v>
      </c>
      <c r="AT78">
        <v>30</v>
      </c>
      <c r="AU78">
        <v>60</v>
      </c>
      <c r="AV78">
        <v>58</v>
      </c>
      <c r="AW78" s="2" t="s">
        <v>49</v>
      </c>
      <c r="AX78">
        <v>749335</v>
      </c>
      <c r="AY78" t="s">
        <v>62</v>
      </c>
      <c r="AZ78">
        <v>2020</v>
      </c>
      <c r="BA78">
        <v>1173</v>
      </c>
      <c r="BB78" t="s">
        <v>151</v>
      </c>
      <c r="BC78">
        <v>29</v>
      </c>
      <c r="BD78">
        <v>30</v>
      </c>
      <c r="BE78">
        <v>61</v>
      </c>
      <c r="BF78">
        <v>61</v>
      </c>
      <c r="BG78" s="2" t="s">
        <v>49</v>
      </c>
      <c r="BH78">
        <v>27723</v>
      </c>
      <c r="BI78">
        <v>1275</v>
      </c>
      <c r="BJ78">
        <v>2020</v>
      </c>
      <c r="BM78" s="2" t="s">
        <v>49</v>
      </c>
      <c r="BN78">
        <v>27749</v>
      </c>
      <c r="BO78">
        <v>1275</v>
      </c>
      <c r="BP78">
        <v>2020</v>
      </c>
      <c r="BS78" s="2" t="s">
        <v>49</v>
      </c>
      <c r="BT78">
        <v>46168</v>
      </c>
      <c r="BU78">
        <v>1275</v>
      </c>
      <c r="BV78">
        <v>2020</v>
      </c>
      <c r="BY78" s="2" t="s">
        <v>49</v>
      </c>
      <c r="BZ78">
        <v>46473</v>
      </c>
      <c r="CA78">
        <v>1275</v>
      </c>
      <c r="CB78">
        <v>2020</v>
      </c>
      <c r="CE78" s="2" t="s">
        <v>49</v>
      </c>
      <c r="CF78">
        <v>46281</v>
      </c>
      <c r="CG78">
        <v>1275</v>
      </c>
      <c r="CH78">
        <v>2020</v>
      </c>
      <c r="CK78" s="2" t="s">
        <v>49</v>
      </c>
      <c r="CL78">
        <v>46507</v>
      </c>
      <c r="CM78">
        <v>1275</v>
      </c>
      <c r="CN78">
        <v>2020</v>
      </c>
    </row>
    <row r="79" spans="1:92" x14ac:dyDescent="0.25">
      <c r="A79">
        <v>75184291</v>
      </c>
      <c r="B79" s="3" t="s">
        <v>37</v>
      </c>
      <c r="C79" t="s">
        <v>144</v>
      </c>
      <c r="D79" t="s">
        <v>145</v>
      </c>
      <c r="E79">
        <v>2020</v>
      </c>
      <c r="F79" t="s">
        <v>146</v>
      </c>
      <c r="G79" t="s">
        <v>313</v>
      </c>
      <c r="H79" t="s">
        <v>148</v>
      </c>
      <c r="K79" t="s">
        <v>45</v>
      </c>
      <c r="L79" t="s">
        <v>314</v>
      </c>
      <c r="M79" t="s">
        <v>47</v>
      </c>
      <c r="N79">
        <v>160000</v>
      </c>
      <c r="O79">
        <v>24544</v>
      </c>
      <c r="P79">
        <v>135456</v>
      </c>
      <c r="Q79" t="s">
        <v>315</v>
      </c>
      <c r="R79" t="s">
        <v>313</v>
      </c>
      <c r="S79" s="2" t="s">
        <v>49</v>
      </c>
      <c r="T79">
        <v>446221</v>
      </c>
      <c r="U79" t="s">
        <v>50</v>
      </c>
      <c r="V79">
        <v>2020</v>
      </c>
      <c r="W79">
        <v>1173</v>
      </c>
      <c r="X79" t="s">
        <v>163</v>
      </c>
      <c r="Y79">
        <v>30</v>
      </c>
      <c r="Z79">
        <v>29</v>
      </c>
      <c r="AA79">
        <v>58</v>
      </c>
      <c r="AB79">
        <v>58</v>
      </c>
      <c r="AC79" s="2" t="s">
        <v>49</v>
      </c>
      <c r="AD79">
        <v>448518</v>
      </c>
      <c r="AE79" t="s">
        <v>50</v>
      </c>
      <c r="AF79">
        <v>2020</v>
      </c>
      <c r="AG79">
        <v>1173</v>
      </c>
      <c r="AH79" t="s">
        <v>163</v>
      </c>
      <c r="AI79">
        <v>30</v>
      </c>
      <c r="AJ79">
        <v>29</v>
      </c>
      <c r="AK79">
        <v>61</v>
      </c>
      <c r="AL79">
        <v>60</v>
      </c>
      <c r="AM79" s="2" t="s">
        <v>49</v>
      </c>
      <c r="AN79">
        <v>753582</v>
      </c>
      <c r="AO79" t="s">
        <v>62</v>
      </c>
      <c r="AP79">
        <v>2020</v>
      </c>
      <c r="AQ79">
        <v>1173</v>
      </c>
      <c r="AR79" t="s">
        <v>163</v>
      </c>
      <c r="AS79">
        <v>30</v>
      </c>
      <c r="AT79">
        <v>30</v>
      </c>
      <c r="AU79">
        <v>59</v>
      </c>
      <c r="AV79">
        <v>58</v>
      </c>
      <c r="AW79" s="2" t="s">
        <v>49</v>
      </c>
      <c r="AX79">
        <v>753596</v>
      </c>
      <c r="AY79" t="s">
        <v>62</v>
      </c>
      <c r="AZ79">
        <v>2020</v>
      </c>
      <c r="BA79">
        <v>1173</v>
      </c>
      <c r="BB79" t="s">
        <v>163</v>
      </c>
      <c r="BC79">
        <v>30</v>
      </c>
      <c r="BD79">
        <v>30</v>
      </c>
      <c r="BE79">
        <v>60</v>
      </c>
      <c r="BF79">
        <v>61</v>
      </c>
      <c r="BG79" s="2" t="s">
        <v>49</v>
      </c>
      <c r="BH79">
        <v>27588</v>
      </c>
      <c r="BI79">
        <v>1275</v>
      </c>
      <c r="BJ79">
        <v>2020</v>
      </c>
      <c r="BM79" s="2" t="s">
        <v>49</v>
      </c>
      <c r="BN79">
        <v>27253</v>
      </c>
      <c r="BO79">
        <v>1275</v>
      </c>
      <c r="BP79">
        <v>2020</v>
      </c>
      <c r="BS79" s="2" t="s">
        <v>49</v>
      </c>
      <c r="BT79">
        <v>45674</v>
      </c>
      <c r="BU79">
        <v>1275</v>
      </c>
      <c r="BV79">
        <v>2020</v>
      </c>
      <c r="BY79" s="2" t="s">
        <v>49</v>
      </c>
      <c r="BZ79">
        <v>46141</v>
      </c>
      <c r="CA79">
        <v>1275</v>
      </c>
      <c r="CB79">
        <v>2020</v>
      </c>
      <c r="CE79" s="2" t="s">
        <v>49</v>
      </c>
      <c r="CF79">
        <v>45961</v>
      </c>
      <c r="CG79">
        <v>1275</v>
      </c>
      <c r="CH79">
        <v>2020</v>
      </c>
      <c r="CK79" s="2" t="s">
        <v>49</v>
      </c>
      <c r="CL79">
        <v>46162</v>
      </c>
      <c r="CM79">
        <v>1275</v>
      </c>
      <c r="CN79">
        <v>2020</v>
      </c>
    </row>
    <row r="80" spans="1:92" x14ac:dyDescent="0.25">
      <c r="A80">
        <v>75188193</v>
      </c>
      <c r="B80" s="3" t="s">
        <v>37</v>
      </c>
      <c r="C80" t="s">
        <v>144</v>
      </c>
      <c r="D80" t="s">
        <v>158</v>
      </c>
      <c r="E80">
        <v>2020</v>
      </c>
      <c r="F80" t="s">
        <v>159</v>
      </c>
      <c r="G80" t="s">
        <v>313</v>
      </c>
      <c r="H80" t="s">
        <v>148</v>
      </c>
      <c r="K80" t="s">
        <v>45</v>
      </c>
      <c r="L80" t="s">
        <v>314</v>
      </c>
      <c r="M80" t="s">
        <v>47</v>
      </c>
      <c r="N80">
        <v>160000</v>
      </c>
      <c r="O80">
        <v>26017</v>
      </c>
      <c r="P80">
        <v>133983</v>
      </c>
      <c r="Q80" t="s">
        <v>316</v>
      </c>
      <c r="R80" t="s">
        <v>313</v>
      </c>
      <c r="S80" s="2" t="s">
        <v>49</v>
      </c>
      <c r="T80">
        <v>749419</v>
      </c>
      <c r="U80" t="s">
        <v>62</v>
      </c>
      <c r="V80">
        <v>2020</v>
      </c>
      <c r="W80">
        <v>1173</v>
      </c>
      <c r="X80" t="s">
        <v>163</v>
      </c>
      <c r="Y80">
        <v>30</v>
      </c>
      <c r="Z80">
        <v>30</v>
      </c>
      <c r="AA80">
        <v>62</v>
      </c>
      <c r="AB80">
        <v>62</v>
      </c>
      <c r="AC80" s="2" t="s">
        <v>49</v>
      </c>
      <c r="AD80">
        <v>447885</v>
      </c>
      <c r="AE80" t="s">
        <v>50</v>
      </c>
      <c r="AF80">
        <v>2020</v>
      </c>
      <c r="AG80">
        <v>1173</v>
      </c>
      <c r="AH80" t="s">
        <v>163</v>
      </c>
      <c r="AI80">
        <v>30</v>
      </c>
      <c r="AJ80">
        <v>30</v>
      </c>
      <c r="AK80">
        <v>61</v>
      </c>
      <c r="AL80">
        <v>62</v>
      </c>
      <c r="AM80" s="2" t="s">
        <v>49</v>
      </c>
      <c r="AN80">
        <v>749409</v>
      </c>
      <c r="AO80" t="s">
        <v>62</v>
      </c>
      <c r="AP80">
        <v>2020</v>
      </c>
      <c r="AQ80">
        <v>1173</v>
      </c>
      <c r="AR80" t="s">
        <v>163</v>
      </c>
      <c r="AS80">
        <v>30</v>
      </c>
      <c r="AT80">
        <v>30</v>
      </c>
      <c r="AU80">
        <v>58</v>
      </c>
      <c r="AV80">
        <v>58</v>
      </c>
      <c r="AW80" s="2" t="s">
        <v>49</v>
      </c>
      <c r="AX80">
        <v>445922</v>
      </c>
      <c r="AY80" t="s">
        <v>50</v>
      </c>
      <c r="AZ80">
        <v>2020</v>
      </c>
      <c r="BA80">
        <v>1173</v>
      </c>
      <c r="BB80" t="s">
        <v>163</v>
      </c>
      <c r="BC80">
        <v>30</v>
      </c>
      <c r="BD80">
        <v>30</v>
      </c>
      <c r="BE80">
        <v>61</v>
      </c>
      <c r="BF80">
        <v>61</v>
      </c>
      <c r="BG80" s="2" t="s">
        <v>49</v>
      </c>
      <c r="BH80">
        <v>27752</v>
      </c>
      <c r="BI80">
        <v>1275</v>
      </c>
      <c r="BJ80">
        <v>2020</v>
      </c>
      <c r="BM80" s="2" t="s">
        <v>49</v>
      </c>
      <c r="BN80">
        <v>27715</v>
      </c>
      <c r="BO80">
        <v>1275</v>
      </c>
      <c r="BP80">
        <v>2020</v>
      </c>
      <c r="BS80" s="2" t="s">
        <v>49</v>
      </c>
      <c r="BT80">
        <v>45937</v>
      </c>
      <c r="BU80">
        <v>1275</v>
      </c>
      <c r="BV80">
        <v>2020</v>
      </c>
      <c r="BY80" s="2" t="s">
        <v>49</v>
      </c>
      <c r="BZ80">
        <v>45884</v>
      </c>
      <c r="CA80">
        <v>1275</v>
      </c>
      <c r="CB80">
        <v>2020</v>
      </c>
      <c r="CE80" s="2" t="s">
        <v>49</v>
      </c>
      <c r="CF80">
        <v>46082</v>
      </c>
      <c r="CG80">
        <v>1275</v>
      </c>
      <c r="CH80">
        <v>2020</v>
      </c>
      <c r="CK80" s="2" t="s">
        <v>49</v>
      </c>
      <c r="CL80">
        <v>46186</v>
      </c>
      <c r="CM80">
        <v>1275</v>
      </c>
      <c r="CN80">
        <v>2020</v>
      </c>
    </row>
    <row r="81" spans="1:92" x14ac:dyDescent="0.25">
      <c r="A81">
        <v>77228856</v>
      </c>
      <c r="B81" s="3" t="s">
        <v>37</v>
      </c>
      <c r="C81" t="s">
        <v>103</v>
      </c>
      <c r="D81" t="s">
        <v>317</v>
      </c>
      <c r="E81">
        <v>2015</v>
      </c>
      <c r="F81" t="s">
        <v>318</v>
      </c>
      <c r="G81" t="s">
        <v>107</v>
      </c>
      <c r="H81" t="s">
        <v>89</v>
      </c>
      <c r="K81" t="s">
        <v>90</v>
      </c>
      <c r="L81" t="s">
        <v>108</v>
      </c>
      <c r="M81" t="s">
        <v>47</v>
      </c>
      <c r="N81">
        <v>160000</v>
      </c>
      <c r="O81">
        <v>37803</v>
      </c>
      <c r="P81">
        <v>122197</v>
      </c>
      <c r="Q81" t="s">
        <v>319</v>
      </c>
      <c r="R81" t="s">
        <v>107</v>
      </c>
      <c r="S81" s="2" t="s">
        <v>49</v>
      </c>
      <c r="T81">
        <v>212330</v>
      </c>
      <c r="U81" t="s">
        <v>50</v>
      </c>
      <c r="V81">
        <v>2014</v>
      </c>
      <c r="W81">
        <v>2348</v>
      </c>
      <c r="X81" t="s">
        <v>93</v>
      </c>
      <c r="Y81">
        <v>33</v>
      </c>
      <c r="Z81">
        <v>33</v>
      </c>
      <c r="AA81">
        <v>73</v>
      </c>
      <c r="AB81">
        <v>74</v>
      </c>
      <c r="AC81" s="2" t="s">
        <v>49</v>
      </c>
      <c r="AD81">
        <v>301445</v>
      </c>
      <c r="AE81" t="s">
        <v>50</v>
      </c>
      <c r="AF81">
        <v>2015</v>
      </c>
      <c r="AG81">
        <v>2348</v>
      </c>
      <c r="AH81" t="s">
        <v>93</v>
      </c>
      <c r="AI81">
        <v>33</v>
      </c>
      <c r="AJ81">
        <v>33</v>
      </c>
      <c r="AK81">
        <v>74</v>
      </c>
      <c r="AL81">
        <v>74</v>
      </c>
      <c r="AM81" s="2" t="s">
        <v>49</v>
      </c>
      <c r="AN81">
        <v>301382</v>
      </c>
      <c r="AO81" t="s">
        <v>50</v>
      </c>
      <c r="AP81">
        <v>2015</v>
      </c>
      <c r="AQ81">
        <v>2348</v>
      </c>
      <c r="AR81" t="s">
        <v>93</v>
      </c>
      <c r="AS81">
        <v>33</v>
      </c>
      <c r="AT81">
        <v>33</v>
      </c>
      <c r="AU81">
        <v>74</v>
      </c>
      <c r="AV81">
        <v>74</v>
      </c>
      <c r="AW81" s="2" t="s">
        <v>49</v>
      </c>
      <c r="AX81">
        <v>301003</v>
      </c>
      <c r="AY81" t="s">
        <v>50</v>
      </c>
      <c r="AZ81">
        <v>2015</v>
      </c>
      <c r="BA81">
        <v>2348</v>
      </c>
      <c r="BB81" t="s">
        <v>93</v>
      </c>
      <c r="BC81">
        <v>33</v>
      </c>
      <c r="BD81">
        <v>33</v>
      </c>
      <c r="BE81">
        <v>74</v>
      </c>
      <c r="BF81">
        <v>74</v>
      </c>
      <c r="BG81" s="2" t="s">
        <v>49</v>
      </c>
      <c r="BH81">
        <v>412</v>
      </c>
      <c r="BI81" t="s">
        <v>50</v>
      </c>
      <c r="BJ81">
        <v>2015</v>
      </c>
      <c r="BM81" s="2" t="s">
        <v>49</v>
      </c>
      <c r="BN81">
        <v>480</v>
      </c>
      <c r="BO81" t="s">
        <v>50</v>
      </c>
      <c r="BP81">
        <v>2015</v>
      </c>
      <c r="BS81" s="2" t="s">
        <v>49</v>
      </c>
      <c r="BT81">
        <v>1004</v>
      </c>
      <c r="BU81" t="s">
        <v>50</v>
      </c>
      <c r="BV81">
        <v>2015</v>
      </c>
      <c r="BY81" s="2" t="s">
        <v>49</v>
      </c>
      <c r="BZ81">
        <v>1887</v>
      </c>
      <c r="CA81" t="s">
        <v>50</v>
      </c>
      <c r="CB81">
        <v>2015</v>
      </c>
      <c r="CE81" s="2" t="s">
        <v>49</v>
      </c>
      <c r="CF81">
        <v>2576</v>
      </c>
      <c r="CG81" t="s">
        <v>50</v>
      </c>
      <c r="CH81">
        <v>2015</v>
      </c>
      <c r="CK81" s="2" t="s">
        <v>49</v>
      </c>
      <c r="CL81">
        <v>2313</v>
      </c>
      <c r="CM81" t="s">
        <v>50</v>
      </c>
      <c r="CN81">
        <v>2015</v>
      </c>
    </row>
    <row r="82" spans="1:92" x14ac:dyDescent="0.25">
      <c r="A82">
        <v>77228757</v>
      </c>
      <c r="B82" s="3" t="s">
        <v>37</v>
      </c>
      <c r="C82" t="s">
        <v>38</v>
      </c>
      <c r="D82" t="s">
        <v>86</v>
      </c>
      <c r="E82">
        <v>2015</v>
      </c>
      <c r="F82" t="s">
        <v>87</v>
      </c>
      <c r="G82" t="s">
        <v>117</v>
      </c>
      <c r="H82" t="s">
        <v>89</v>
      </c>
      <c r="K82" t="s">
        <v>90</v>
      </c>
      <c r="L82" t="s">
        <v>118</v>
      </c>
      <c r="M82" t="s">
        <v>47</v>
      </c>
      <c r="N82">
        <v>160000</v>
      </c>
      <c r="O82">
        <v>37272</v>
      </c>
      <c r="P82">
        <v>122728</v>
      </c>
      <c r="Q82" t="s">
        <v>320</v>
      </c>
      <c r="R82" t="s">
        <v>117</v>
      </c>
      <c r="S82" s="2" t="s">
        <v>49</v>
      </c>
      <c r="T82">
        <v>4473</v>
      </c>
      <c r="U82">
        <v>1557</v>
      </c>
      <c r="V82">
        <v>2018</v>
      </c>
      <c r="W82">
        <v>2348</v>
      </c>
      <c r="X82" t="s">
        <v>93</v>
      </c>
      <c r="Y82">
        <v>30</v>
      </c>
      <c r="Z82">
        <v>30</v>
      </c>
      <c r="AA82">
        <v>60</v>
      </c>
      <c r="AB82">
        <v>60</v>
      </c>
      <c r="AC82" s="2" t="s">
        <v>49</v>
      </c>
      <c r="AD82">
        <v>4469</v>
      </c>
      <c r="AE82">
        <v>1557</v>
      </c>
      <c r="AF82">
        <v>2018</v>
      </c>
      <c r="AG82">
        <v>2348</v>
      </c>
      <c r="AH82" t="s">
        <v>93</v>
      </c>
      <c r="AI82">
        <v>30</v>
      </c>
      <c r="AJ82">
        <v>30</v>
      </c>
      <c r="AK82">
        <v>57</v>
      </c>
      <c r="AL82">
        <v>56</v>
      </c>
      <c r="AM82" s="2" t="s">
        <v>49</v>
      </c>
      <c r="AN82">
        <v>5766</v>
      </c>
      <c r="AO82">
        <v>1557</v>
      </c>
      <c r="AP82">
        <v>2018</v>
      </c>
      <c r="AQ82">
        <v>2348</v>
      </c>
      <c r="AR82" t="s">
        <v>93</v>
      </c>
      <c r="AS82">
        <v>30</v>
      </c>
      <c r="AT82">
        <v>30</v>
      </c>
      <c r="AU82">
        <v>53</v>
      </c>
      <c r="AV82">
        <v>52</v>
      </c>
      <c r="AW82" s="2" t="s">
        <v>49</v>
      </c>
      <c r="AX82">
        <v>4376</v>
      </c>
      <c r="AY82">
        <v>1557</v>
      </c>
      <c r="AZ82">
        <v>2018</v>
      </c>
      <c r="BA82">
        <v>2348</v>
      </c>
      <c r="BB82" t="s">
        <v>93</v>
      </c>
      <c r="BC82">
        <v>30</v>
      </c>
      <c r="BD82">
        <v>30</v>
      </c>
      <c r="BE82">
        <v>48</v>
      </c>
      <c r="BF82">
        <v>48</v>
      </c>
      <c r="BG82" s="2" t="s">
        <v>49</v>
      </c>
      <c r="BH82">
        <v>35388</v>
      </c>
      <c r="BI82" t="s">
        <v>50</v>
      </c>
      <c r="BJ82">
        <v>2014</v>
      </c>
      <c r="BM82" s="2" t="s">
        <v>49</v>
      </c>
      <c r="BN82">
        <v>33949</v>
      </c>
      <c r="BO82" t="s">
        <v>50</v>
      </c>
      <c r="BP82">
        <v>2014</v>
      </c>
      <c r="BS82" s="2" t="s">
        <v>49</v>
      </c>
      <c r="BT82">
        <v>864</v>
      </c>
      <c r="BU82" t="s">
        <v>50</v>
      </c>
      <c r="BV82">
        <v>2015</v>
      </c>
      <c r="BY82" s="2" t="s">
        <v>49</v>
      </c>
      <c r="BZ82">
        <v>2521</v>
      </c>
      <c r="CA82" t="s">
        <v>50</v>
      </c>
      <c r="CB82">
        <v>2015</v>
      </c>
      <c r="CE82" s="2" t="s">
        <v>49</v>
      </c>
      <c r="CF82">
        <v>627</v>
      </c>
      <c r="CG82" t="s">
        <v>50</v>
      </c>
      <c r="CH82">
        <v>2015</v>
      </c>
      <c r="CK82" s="2" t="s">
        <v>49</v>
      </c>
      <c r="CL82">
        <v>268</v>
      </c>
      <c r="CM82" t="s">
        <v>50</v>
      </c>
      <c r="CN82">
        <v>2015</v>
      </c>
    </row>
    <row r="83" spans="1:92" x14ac:dyDescent="0.25">
      <c r="A83">
        <v>77228823</v>
      </c>
      <c r="B83" s="3" t="s">
        <v>37</v>
      </c>
      <c r="C83" t="s">
        <v>103</v>
      </c>
      <c r="D83" t="s">
        <v>317</v>
      </c>
      <c r="E83">
        <v>2015</v>
      </c>
      <c r="F83" t="s">
        <v>318</v>
      </c>
      <c r="G83" t="s">
        <v>98</v>
      </c>
      <c r="H83" t="s">
        <v>42</v>
      </c>
      <c r="K83" t="s">
        <v>90</v>
      </c>
      <c r="L83" t="s">
        <v>100</v>
      </c>
      <c r="M83" t="s">
        <v>47</v>
      </c>
      <c r="N83">
        <v>160000</v>
      </c>
      <c r="O83">
        <v>30800</v>
      </c>
      <c r="P83">
        <v>129200</v>
      </c>
      <c r="Q83" t="s">
        <v>321</v>
      </c>
      <c r="R83" t="s">
        <v>98</v>
      </c>
      <c r="S83" s="2" t="s">
        <v>49</v>
      </c>
      <c r="T83">
        <v>302726</v>
      </c>
      <c r="U83" t="s">
        <v>50</v>
      </c>
      <c r="V83">
        <v>2015</v>
      </c>
      <c r="W83">
        <v>301</v>
      </c>
      <c r="X83" t="s">
        <v>93</v>
      </c>
      <c r="Y83">
        <v>30</v>
      </c>
      <c r="Z83">
        <v>30</v>
      </c>
      <c r="AA83">
        <v>37</v>
      </c>
      <c r="AB83">
        <v>37</v>
      </c>
      <c r="AC83" s="2" t="s">
        <v>49</v>
      </c>
      <c r="AD83">
        <v>285960</v>
      </c>
      <c r="AE83" t="s">
        <v>50</v>
      </c>
      <c r="AF83">
        <v>2011</v>
      </c>
      <c r="AG83">
        <v>301</v>
      </c>
      <c r="AH83" t="s">
        <v>93</v>
      </c>
      <c r="AI83">
        <v>30</v>
      </c>
      <c r="AJ83">
        <v>30</v>
      </c>
      <c r="AK83">
        <v>39</v>
      </c>
      <c r="AL83">
        <v>39</v>
      </c>
      <c r="AM83" s="2" t="s">
        <v>49</v>
      </c>
      <c r="AN83">
        <v>517186</v>
      </c>
      <c r="AO83" t="s">
        <v>62</v>
      </c>
      <c r="AP83">
        <v>2013</v>
      </c>
      <c r="AQ83">
        <v>301</v>
      </c>
      <c r="AR83" t="s">
        <v>93</v>
      </c>
      <c r="AS83">
        <v>30</v>
      </c>
      <c r="AT83">
        <v>30</v>
      </c>
      <c r="AU83">
        <v>38</v>
      </c>
      <c r="AV83">
        <v>38</v>
      </c>
      <c r="AW83" s="2" t="s">
        <v>49</v>
      </c>
      <c r="AX83">
        <v>24325</v>
      </c>
      <c r="AY83" t="s">
        <v>85</v>
      </c>
      <c r="AZ83">
        <v>2004</v>
      </c>
      <c r="BA83">
        <v>301</v>
      </c>
      <c r="BB83" t="s">
        <v>93</v>
      </c>
      <c r="BC83">
        <v>30</v>
      </c>
      <c r="BD83">
        <v>30</v>
      </c>
      <c r="BE83">
        <v>39</v>
      </c>
      <c r="BF83">
        <v>38</v>
      </c>
      <c r="BG83" s="2" t="s">
        <v>49</v>
      </c>
      <c r="BH83">
        <v>35621</v>
      </c>
      <c r="BI83" t="s">
        <v>50</v>
      </c>
      <c r="BJ83">
        <v>2014</v>
      </c>
      <c r="BM83" s="2" t="s">
        <v>49</v>
      </c>
      <c r="BN83">
        <v>34894</v>
      </c>
      <c r="BO83" t="s">
        <v>50</v>
      </c>
      <c r="BP83">
        <v>2014</v>
      </c>
      <c r="BS83" s="2" t="s">
        <v>49</v>
      </c>
      <c r="BT83">
        <v>1069</v>
      </c>
      <c r="BU83" t="s">
        <v>50</v>
      </c>
      <c r="BV83">
        <v>2015</v>
      </c>
      <c r="BY83" s="2" t="s">
        <v>49</v>
      </c>
      <c r="BZ83">
        <v>1997</v>
      </c>
      <c r="CA83" t="s">
        <v>50</v>
      </c>
      <c r="CB83">
        <v>2015</v>
      </c>
      <c r="CE83" s="2" t="s">
        <v>49</v>
      </c>
      <c r="CF83">
        <v>451</v>
      </c>
      <c r="CG83" t="s">
        <v>50</v>
      </c>
      <c r="CH83">
        <v>2015</v>
      </c>
      <c r="CK83" s="2" t="s">
        <v>49</v>
      </c>
      <c r="CL83">
        <v>247</v>
      </c>
      <c r="CM83" t="s">
        <v>50</v>
      </c>
      <c r="CN83">
        <v>2015</v>
      </c>
    </row>
    <row r="84" spans="1:92" x14ac:dyDescent="0.25">
      <c r="A84">
        <v>77224582</v>
      </c>
      <c r="B84" s="3" t="s">
        <v>37</v>
      </c>
      <c r="C84" t="s">
        <v>38</v>
      </c>
      <c r="D84" t="s">
        <v>322</v>
      </c>
      <c r="E84">
        <v>2012</v>
      </c>
      <c r="F84" t="s">
        <v>323</v>
      </c>
      <c r="G84" t="s">
        <v>112</v>
      </c>
      <c r="H84" t="s">
        <v>58</v>
      </c>
      <c r="I84" t="s">
        <v>147</v>
      </c>
      <c r="J84" t="s">
        <v>89</v>
      </c>
      <c r="K84" t="s">
        <v>45</v>
      </c>
      <c r="L84" t="s">
        <v>324</v>
      </c>
      <c r="M84" t="s">
        <v>47</v>
      </c>
      <c r="N84">
        <v>160000</v>
      </c>
      <c r="O84">
        <v>16955</v>
      </c>
      <c r="P84">
        <v>143045</v>
      </c>
      <c r="Q84" t="s">
        <v>325</v>
      </c>
      <c r="R84" t="s">
        <v>147</v>
      </c>
      <c r="S84" s="2" t="s">
        <v>49</v>
      </c>
      <c r="T84">
        <v>284927</v>
      </c>
      <c r="U84" t="s">
        <v>50</v>
      </c>
      <c r="V84">
        <v>2011</v>
      </c>
      <c r="W84">
        <v>2348</v>
      </c>
      <c r="X84" t="s">
        <v>151</v>
      </c>
      <c r="Y84">
        <v>33</v>
      </c>
      <c r="Z84">
        <v>33</v>
      </c>
      <c r="AA84">
        <v>74</v>
      </c>
      <c r="AB84">
        <v>74</v>
      </c>
      <c r="AC84" s="2" t="s">
        <v>49</v>
      </c>
      <c r="AD84">
        <v>284920</v>
      </c>
      <c r="AE84" t="s">
        <v>50</v>
      </c>
      <c r="AF84">
        <v>2011</v>
      </c>
      <c r="AG84">
        <v>2348</v>
      </c>
      <c r="AH84" t="s">
        <v>151</v>
      </c>
      <c r="AI84">
        <v>33</v>
      </c>
      <c r="AJ84">
        <v>33</v>
      </c>
      <c r="AK84">
        <v>74</v>
      </c>
      <c r="AL84">
        <v>74</v>
      </c>
      <c r="AM84" s="2" t="s">
        <v>49</v>
      </c>
      <c r="AN84">
        <v>276353</v>
      </c>
      <c r="AO84" t="s">
        <v>50</v>
      </c>
      <c r="AP84">
        <v>2011</v>
      </c>
      <c r="AQ84">
        <v>2348</v>
      </c>
      <c r="AR84" t="s">
        <v>151</v>
      </c>
      <c r="AS84">
        <v>33</v>
      </c>
      <c r="AT84">
        <v>33</v>
      </c>
      <c r="AU84">
        <v>74</v>
      </c>
      <c r="AV84">
        <v>74</v>
      </c>
      <c r="AW84" s="2" t="s">
        <v>49</v>
      </c>
      <c r="AX84">
        <v>122142</v>
      </c>
      <c r="AY84" t="s">
        <v>50</v>
      </c>
      <c r="AZ84">
        <v>2012</v>
      </c>
      <c r="BA84">
        <v>2348</v>
      </c>
      <c r="BB84" t="s">
        <v>151</v>
      </c>
      <c r="BC84">
        <v>33</v>
      </c>
      <c r="BD84">
        <v>33</v>
      </c>
      <c r="BE84">
        <v>74</v>
      </c>
      <c r="BF84">
        <v>74</v>
      </c>
      <c r="BG84" s="2" t="s">
        <v>49</v>
      </c>
      <c r="BH84">
        <v>10500</v>
      </c>
      <c r="BI84" t="s">
        <v>50</v>
      </c>
      <c r="BJ84">
        <v>2012</v>
      </c>
      <c r="BM84" s="2" t="s">
        <v>49</v>
      </c>
      <c r="BN84">
        <v>10307</v>
      </c>
      <c r="BO84" t="s">
        <v>50</v>
      </c>
      <c r="BP84">
        <v>2012</v>
      </c>
      <c r="BS84" s="2" t="s">
        <v>49</v>
      </c>
      <c r="BT84">
        <v>1277</v>
      </c>
      <c r="BU84" t="s">
        <v>50</v>
      </c>
      <c r="BV84">
        <v>2012</v>
      </c>
      <c r="BY84" s="2" t="s">
        <v>49</v>
      </c>
      <c r="BZ84">
        <v>2699</v>
      </c>
      <c r="CA84" t="s">
        <v>50</v>
      </c>
      <c r="CB84">
        <v>2012</v>
      </c>
      <c r="CE84" s="2" t="s">
        <v>49</v>
      </c>
      <c r="CF84">
        <v>18254</v>
      </c>
      <c r="CG84" t="s">
        <v>50</v>
      </c>
      <c r="CH84">
        <v>2012</v>
      </c>
      <c r="CK84" s="2" t="s">
        <v>49</v>
      </c>
      <c r="CL84">
        <v>18142</v>
      </c>
      <c r="CM84" t="s">
        <v>50</v>
      </c>
      <c r="CN84">
        <v>2012</v>
      </c>
    </row>
    <row r="85" spans="1:92" x14ac:dyDescent="0.25">
      <c r="A85">
        <v>77228971</v>
      </c>
      <c r="B85" s="3" t="s">
        <v>37</v>
      </c>
      <c r="C85" t="s">
        <v>103</v>
      </c>
      <c r="D85" t="s">
        <v>326</v>
      </c>
      <c r="E85">
        <v>2015</v>
      </c>
      <c r="F85" t="s">
        <v>327</v>
      </c>
      <c r="G85" t="s">
        <v>57</v>
      </c>
      <c r="H85" t="s">
        <v>42</v>
      </c>
      <c r="K85" t="s">
        <v>45</v>
      </c>
      <c r="L85" t="s">
        <v>328</v>
      </c>
      <c r="M85" t="s">
        <v>47</v>
      </c>
      <c r="N85">
        <v>160000</v>
      </c>
      <c r="O85">
        <v>101271</v>
      </c>
      <c r="P85">
        <v>58729</v>
      </c>
      <c r="Q85" t="s">
        <v>329</v>
      </c>
      <c r="R85" t="s">
        <v>57</v>
      </c>
      <c r="S85" s="2" t="s">
        <v>49</v>
      </c>
      <c r="T85">
        <v>186384</v>
      </c>
      <c r="U85" t="s">
        <v>50</v>
      </c>
      <c r="V85">
        <v>2014</v>
      </c>
      <c r="W85">
        <v>301</v>
      </c>
      <c r="X85" t="s">
        <v>330</v>
      </c>
      <c r="Y85">
        <v>30</v>
      </c>
      <c r="Z85">
        <v>30</v>
      </c>
      <c r="AA85">
        <v>46</v>
      </c>
      <c r="AB85">
        <v>46</v>
      </c>
      <c r="AC85" s="2" t="s">
        <v>49</v>
      </c>
      <c r="AD85">
        <v>303269</v>
      </c>
      <c r="AE85" t="s">
        <v>50</v>
      </c>
      <c r="AF85">
        <v>2015</v>
      </c>
      <c r="AG85">
        <v>301</v>
      </c>
      <c r="AH85" t="s">
        <v>330</v>
      </c>
      <c r="AI85">
        <v>30</v>
      </c>
      <c r="AJ85">
        <v>30</v>
      </c>
      <c r="AK85">
        <v>50</v>
      </c>
      <c r="AL85">
        <v>50</v>
      </c>
      <c r="AM85" s="2" t="s">
        <v>49</v>
      </c>
      <c r="AN85">
        <v>301389</v>
      </c>
      <c r="AO85" t="s">
        <v>50</v>
      </c>
      <c r="AP85">
        <v>2015</v>
      </c>
      <c r="AQ85">
        <v>301</v>
      </c>
      <c r="AR85" t="s">
        <v>330</v>
      </c>
      <c r="AS85">
        <v>28</v>
      </c>
      <c r="AT85">
        <v>30</v>
      </c>
      <c r="AU85">
        <v>48</v>
      </c>
      <c r="AV85">
        <v>48</v>
      </c>
      <c r="AW85" s="2" t="s">
        <v>49</v>
      </c>
      <c r="AX85">
        <v>301207</v>
      </c>
      <c r="AY85" t="s">
        <v>50</v>
      </c>
      <c r="AZ85">
        <v>2015</v>
      </c>
      <c r="BA85">
        <v>301</v>
      </c>
      <c r="BB85" t="s">
        <v>330</v>
      </c>
      <c r="BC85">
        <v>30</v>
      </c>
      <c r="BD85">
        <v>30</v>
      </c>
      <c r="BE85">
        <v>50</v>
      </c>
      <c r="BF85">
        <v>50</v>
      </c>
      <c r="BG85" s="2" t="s">
        <v>49</v>
      </c>
      <c r="BH85">
        <v>35127</v>
      </c>
      <c r="BI85" t="s">
        <v>50</v>
      </c>
      <c r="BJ85">
        <v>2014</v>
      </c>
      <c r="BM85" s="2" t="s">
        <v>49</v>
      </c>
      <c r="BN85">
        <v>35382</v>
      </c>
      <c r="BO85" t="s">
        <v>50</v>
      </c>
      <c r="BP85">
        <v>2014</v>
      </c>
      <c r="BS85" s="2" t="s">
        <v>49</v>
      </c>
      <c r="BT85">
        <v>1627</v>
      </c>
      <c r="BU85" t="s">
        <v>50</v>
      </c>
      <c r="BV85">
        <v>2015</v>
      </c>
      <c r="BY85" s="2" t="s">
        <v>49</v>
      </c>
      <c r="BZ85">
        <v>619</v>
      </c>
      <c r="CA85" t="s">
        <v>50</v>
      </c>
      <c r="CB85">
        <v>2015</v>
      </c>
      <c r="CE85" s="2" t="s">
        <v>49</v>
      </c>
      <c r="CF85">
        <v>1459</v>
      </c>
      <c r="CG85" t="s">
        <v>50</v>
      </c>
      <c r="CH85">
        <v>2015</v>
      </c>
      <c r="CK85" s="2" t="s">
        <v>49</v>
      </c>
      <c r="CL85">
        <v>2190</v>
      </c>
      <c r="CM85" t="s">
        <v>50</v>
      </c>
      <c r="CN85">
        <v>2015</v>
      </c>
    </row>
    <row r="86" spans="1:92" x14ac:dyDescent="0.25">
      <c r="A86">
        <v>77222073</v>
      </c>
      <c r="B86" s="3" t="s">
        <v>37</v>
      </c>
      <c r="C86" t="s">
        <v>38</v>
      </c>
      <c r="D86" t="s">
        <v>267</v>
      </c>
      <c r="E86">
        <v>2011</v>
      </c>
      <c r="F86" t="s">
        <v>268</v>
      </c>
      <c r="G86" t="s">
        <v>41</v>
      </c>
      <c r="H86" t="s">
        <v>42</v>
      </c>
      <c r="I86" t="s">
        <v>331</v>
      </c>
      <c r="J86" t="s">
        <v>42</v>
      </c>
      <c r="K86" t="s">
        <v>45</v>
      </c>
      <c r="L86" t="s">
        <v>332</v>
      </c>
      <c r="M86" t="s">
        <v>47</v>
      </c>
      <c r="N86">
        <v>160000</v>
      </c>
      <c r="O86">
        <v>29541</v>
      </c>
      <c r="P86">
        <v>130459</v>
      </c>
      <c r="Q86" t="s">
        <v>333</v>
      </c>
      <c r="R86" t="s">
        <v>331</v>
      </c>
      <c r="S86" s="2" t="s">
        <v>49</v>
      </c>
      <c r="T86">
        <v>277359</v>
      </c>
      <c r="U86" t="s">
        <v>50</v>
      </c>
      <c r="V86">
        <v>2011</v>
      </c>
      <c r="W86">
        <v>301</v>
      </c>
      <c r="X86" t="s">
        <v>334</v>
      </c>
      <c r="Y86">
        <v>33</v>
      </c>
      <c r="Z86">
        <v>33</v>
      </c>
      <c r="AA86">
        <v>75</v>
      </c>
      <c r="AB86">
        <v>75</v>
      </c>
      <c r="AC86" s="2" t="s">
        <v>49</v>
      </c>
      <c r="AD86">
        <v>15693</v>
      </c>
      <c r="AE86" t="s">
        <v>62</v>
      </c>
      <c r="AF86">
        <v>2011</v>
      </c>
      <c r="AG86">
        <v>301</v>
      </c>
      <c r="AH86" t="s">
        <v>334</v>
      </c>
      <c r="AI86">
        <v>33</v>
      </c>
      <c r="AJ86">
        <v>33</v>
      </c>
      <c r="AK86">
        <v>75</v>
      </c>
      <c r="AL86">
        <v>75</v>
      </c>
      <c r="AM86" s="2" t="s">
        <v>49</v>
      </c>
      <c r="AN86">
        <v>556901</v>
      </c>
      <c r="AO86" t="s">
        <v>62</v>
      </c>
      <c r="AP86">
        <v>2007</v>
      </c>
      <c r="AQ86">
        <v>301</v>
      </c>
      <c r="AR86" t="s">
        <v>334</v>
      </c>
      <c r="AS86">
        <v>33</v>
      </c>
      <c r="AT86">
        <v>33</v>
      </c>
      <c r="AU86">
        <v>75</v>
      </c>
      <c r="AV86">
        <v>75</v>
      </c>
      <c r="AW86" s="2" t="s">
        <v>49</v>
      </c>
      <c r="AX86">
        <v>285166</v>
      </c>
      <c r="AY86" t="s">
        <v>50</v>
      </c>
      <c r="AZ86">
        <v>2011</v>
      </c>
      <c r="BA86">
        <v>301</v>
      </c>
      <c r="BB86" t="s">
        <v>334</v>
      </c>
      <c r="BC86">
        <v>33</v>
      </c>
      <c r="BD86">
        <v>33</v>
      </c>
      <c r="BE86">
        <v>75</v>
      </c>
      <c r="BF86">
        <v>75</v>
      </c>
      <c r="BG86" s="2" t="s">
        <v>49</v>
      </c>
      <c r="BH86">
        <v>36980</v>
      </c>
      <c r="BI86" t="s">
        <v>50</v>
      </c>
      <c r="BJ86">
        <v>2011</v>
      </c>
      <c r="BM86" s="2" t="s">
        <v>49</v>
      </c>
      <c r="BN86">
        <v>37538</v>
      </c>
      <c r="BO86" t="s">
        <v>50</v>
      </c>
      <c r="BP86">
        <v>2011</v>
      </c>
      <c r="BS86" s="2" t="s">
        <v>49</v>
      </c>
      <c r="BT86">
        <v>64325</v>
      </c>
      <c r="BU86" t="s">
        <v>50</v>
      </c>
      <c r="BV86">
        <v>2011</v>
      </c>
      <c r="BY86" s="2" t="s">
        <v>49</v>
      </c>
      <c r="BZ86">
        <v>65324</v>
      </c>
      <c r="CA86" t="s">
        <v>50</v>
      </c>
      <c r="CB86">
        <v>2011</v>
      </c>
      <c r="CE86" s="2" t="s">
        <v>49</v>
      </c>
      <c r="CF86">
        <v>65761</v>
      </c>
      <c r="CG86" t="s">
        <v>50</v>
      </c>
      <c r="CH86">
        <v>2011</v>
      </c>
      <c r="CK86" s="2" t="s">
        <v>49</v>
      </c>
      <c r="CL86">
        <v>66112</v>
      </c>
      <c r="CM86" t="s">
        <v>50</v>
      </c>
      <c r="CN86">
        <v>2011</v>
      </c>
    </row>
    <row r="87" spans="1:92" x14ac:dyDescent="0.25">
      <c r="A87">
        <v>77222230</v>
      </c>
      <c r="B87" s="3" t="s">
        <v>37</v>
      </c>
      <c r="C87" t="s">
        <v>53</v>
      </c>
      <c r="D87" t="s">
        <v>69</v>
      </c>
      <c r="E87">
        <v>2014</v>
      </c>
      <c r="F87" t="s">
        <v>70</v>
      </c>
      <c r="G87" t="s">
        <v>286</v>
      </c>
      <c r="H87" t="s">
        <v>42</v>
      </c>
      <c r="I87" t="s">
        <v>335</v>
      </c>
      <c r="J87" t="s">
        <v>42</v>
      </c>
      <c r="K87" t="s">
        <v>45</v>
      </c>
      <c r="L87" t="s">
        <v>336</v>
      </c>
      <c r="M87" t="s">
        <v>47</v>
      </c>
      <c r="N87">
        <v>160000</v>
      </c>
      <c r="O87">
        <v>43721</v>
      </c>
      <c r="P87">
        <v>116279</v>
      </c>
      <c r="Q87" t="s">
        <v>337</v>
      </c>
      <c r="R87" t="s">
        <v>335</v>
      </c>
      <c r="S87" s="2" t="s">
        <v>49</v>
      </c>
      <c r="T87">
        <v>368154</v>
      </c>
      <c r="U87" t="s">
        <v>62</v>
      </c>
      <c r="V87">
        <v>2012</v>
      </c>
      <c r="W87">
        <v>301</v>
      </c>
      <c r="X87" t="s">
        <v>75</v>
      </c>
      <c r="Y87">
        <v>32</v>
      </c>
      <c r="Z87">
        <v>32</v>
      </c>
      <c r="AA87">
        <v>55</v>
      </c>
      <c r="AB87">
        <v>55</v>
      </c>
      <c r="AC87" s="2" t="s">
        <v>49</v>
      </c>
      <c r="AD87">
        <v>69556</v>
      </c>
      <c r="AE87">
        <v>1175</v>
      </c>
      <c r="AF87">
        <v>2013</v>
      </c>
      <c r="AG87">
        <v>301</v>
      </c>
      <c r="AH87" t="s">
        <v>75</v>
      </c>
      <c r="AI87">
        <v>32</v>
      </c>
      <c r="AJ87">
        <v>32</v>
      </c>
      <c r="AK87">
        <v>64</v>
      </c>
      <c r="AL87">
        <v>64</v>
      </c>
      <c r="AM87" s="2" t="s">
        <v>49</v>
      </c>
      <c r="AN87">
        <v>340062</v>
      </c>
      <c r="AO87" t="s">
        <v>62</v>
      </c>
      <c r="AP87">
        <v>2012</v>
      </c>
      <c r="AQ87">
        <v>301</v>
      </c>
      <c r="AR87" t="s">
        <v>75</v>
      </c>
      <c r="AS87">
        <v>32</v>
      </c>
      <c r="AT87">
        <v>32</v>
      </c>
      <c r="AU87">
        <v>67</v>
      </c>
      <c r="AV87">
        <v>67</v>
      </c>
      <c r="AW87" s="2" t="s">
        <v>49</v>
      </c>
      <c r="AX87">
        <v>123239</v>
      </c>
      <c r="AY87" t="s">
        <v>50</v>
      </c>
      <c r="AZ87">
        <v>2012</v>
      </c>
      <c r="BA87">
        <v>301</v>
      </c>
      <c r="BB87" t="s">
        <v>75</v>
      </c>
      <c r="BC87">
        <v>32</v>
      </c>
      <c r="BD87">
        <v>32</v>
      </c>
      <c r="BE87">
        <v>67</v>
      </c>
      <c r="BF87">
        <v>67</v>
      </c>
      <c r="BG87" s="2" t="s">
        <v>49</v>
      </c>
      <c r="BH87">
        <v>50922</v>
      </c>
      <c r="BI87">
        <v>1291</v>
      </c>
      <c r="BJ87">
        <v>2014</v>
      </c>
      <c r="BM87" s="2" t="s">
        <v>49</v>
      </c>
      <c r="BN87">
        <v>50734</v>
      </c>
      <c r="BO87">
        <v>1291</v>
      </c>
      <c r="BP87">
        <v>2014</v>
      </c>
      <c r="BS87" s="2" t="s">
        <v>49</v>
      </c>
      <c r="BT87">
        <v>4355</v>
      </c>
      <c r="BU87">
        <v>1291</v>
      </c>
      <c r="BV87">
        <v>2014</v>
      </c>
      <c r="BY87" s="2" t="s">
        <v>49</v>
      </c>
      <c r="BZ87">
        <v>5241</v>
      </c>
      <c r="CA87">
        <v>1291</v>
      </c>
      <c r="CB87">
        <v>2014</v>
      </c>
      <c r="CE87" s="2" t="s">
        <v>49</v>
      </c>
      <c r="CF87">
        <v>3790</v>
      </c>
      <c r="CG87">
        <v>1291</v>
      </c>
      <c r="CH87">
        <v>2014</v>
      </c>
      <c r="CK87" s="2" t="s">
        <v>49</v>
      </c>
      <c r="CL87">
        <v>3960</v>
      </c>
      <c r="CM87">
        <v>1291</v>
      </c>
      <c r="CN87">
        <v>2014</v>
      </c>
    </row>
    <row r="88" spans="1:92" x14ac:dyDescent="0.25">
      <c r="A88">
        <v>77205755</v>
      </c>
      <c r="B88" s="3" t="s">
        <v>37</v>
      </c>
      <c r="C88" t="s">
        <v>53</v>
      </c>
      <c r="D88" t="s">
        <v>54</v>
      </c>
      <c r="E88">
        <v>2013</v>
      </c>
      <c r="F88" t="s">
        <v>55</v>
      </c>
      <c r="G88" t="s">
        <v>338</v>
      </c>
      <c r="H88" t="s">
        <v>339</v>
      </c>
      <c r="I88" t="s">
        <v>282</v>
      </c>
      <c r="J88" t="s">
        <v>42</v>
      </c>
      <c r="K88" t="s">
        <v>45</v>
      </c>
      <c r="L88" t="s">
        <v>340</v>
      </c>
      <c r="M88" t="s">
        <v>47</v>
      </c>
      <c r="N88">
        <v>160000</v>
      </c>
      <c r="O88">
        <v>5895</v>
      </c>
      <c r="P88">
        <v>154105</v>
      </c>
      <c r="Q88" t="s">
        <v>341</v>
      </c>
      <c r="R88" t="s">
        <v>338</v>
      </c>
      <c r="S88" s="2" t="s">
        <v>49</v>
      </c>
      <c r="T88">
        <v>123374</v>
      </c>
      <c r="U88" t="s">
        <v>50</v>
      </c>
      <c r="V88">
        <v>2012</v>
      </c>
      <c r="W88">
        <v>698</v>
      </c>
      <c r="X88" t="s">
        <v>51</v>
      </c>
      <c r="Y88">
        <v>0</v>
      </c>
      <c r="Z88">
        <v>0</v>
      </c>
      <c r="AA88">
        <v>66</v>
      </c>
      <c r="AB88">
        <v>68</v>
      </c>
      <c r="AC88" s="2" t="s">
        <v>49</v>
      </c>
      <c r="AD88">
        <v>122769</v>
      </c>
      <c r="AE88" t="s">
        <v>50</v>
      </c>
      <c r="AF88">
        <v>2012</v>
      </c>
      <c r="AG88">
        <v>698</v>
      </c>
      <c r="AH88" t="s">
        <v>51</v>
      </c>
      <c r="AI88">
        <v>0</v>
      </c>
      <c r="AJ88">
        <v>0</v>
      </c>
      <c r="AK88">
        <v>68</v>
      </c>
      <c r="AL88">
        <v>68</v>
      </c>
      <c r="AM88" s="2" t="s">
        <v>49</v>
      </c>
      <c r="AN88">
        <v>73335</v>
      </c>
      <c r="AO88">
        <v>1175</v>
      </c>
      <c r="AP88">
        <v>2012</v>
      </c>
      <c r="AQ88">
        <v>698</v>
      </c>
      <c r="AR88" t="s">
        <v>51</v>
      </c>
      <c r="AS88">
        <v>0</v>
      </c>
      <c r="AT88">
        <v>0</v>
      </c>
      <c r="AU88">
        <v>67</v>
      </c>
      <c r="AV88">
        <v>71</v>
      </c>
      <c r="AW88" s="2" t="s">
        <v>49</v>
      </c>
      <c r="AX88">
        <v>444011</v>
      </c>
      <c r="AY88" t="s">
        <v>62</v>
      </c>
      <c r="AZ88">
        <v>2013</v>
      </c>
      <c r="BA88">
        <v>698</v>
      </c>
      <c r="BB88" t="s">
        <v>51</v>
      </c>
      <c r="BC88">
        <v>0</v>
      </c>
      <c r="BD88">
        <v>0</v>
      </c>
      <c r="BE88">
        <v>67</v>
      </c>
      <c r="BF88">
        <v>69</v>
      </c>
      <c r="BG88" s="2" t="s">
        <v>49</v>
      </c>
      <c r="BH88">
        <v>13958</v>
      </c>
      <c r="BI88">
        <v>1291</v>
      </c>
      <c r="BJ88">
        <v>2013</v>
      </c>
      <c r="BM88" s="2" t="s">
        <v>49</v>
      </c>
      <c r="BN88">
        <v>15621</v>
      </c>
      <c r="BO88">
        <v>1291</v>
      </c>
      <c r="BP88">
        <v>2013</v>
      </c>
      <c r="BS88" s="2" t="s">
        <v>49</v>
      </c>
      <c r="BT88">
        <v>39577</v>
      </c>
      <c r="BU88">
        <v>1291</v>
      </c>
      <c r="BV88">
        <v>2013</v>
      </c>
      <c r="BY88" s="2" t="s">
        <v>49</v>
      </c>
      <c r="BZ88">
        <v>39399</v>
      </c>
      <c r="CA88">
        <v>1291</v>
      </c>
      <c r="CB88">
        <v>2013</v>
      </c>
      <c r="CE88" s="2" t="s">
        <v>49</v>
      </c>
      <c r="CF88">
        <v>40699</v>
      </c>
      <c r="CG88">
        <v>1291</v>
      </c>
      <c r="CH88">
        <v>2013</v>
      </c>
      <c r="CK88" s="2" t="s">
        <v>49</v>
      </c>
      <c r="CL88">
        <v>44644</v>
      </c>
      <c r="CM88">
        <v>1291</v>
      </c>
      <c r="CN88">
        <v>2013</v>
      </c>
    </row>
    <row r="89" spans="1:92" x14ac:dyDescent="0.25">
      <c r="A89">
        <v>77205805</v>
      </c>
      <c r="B89" s="3" t="s">
        <v>37</v>
      </c>
      <c r="C89" t="s">
        <v>53</v>
      </c>
      <c r="D89" t="s">
        <v>54</v>
      </c>
      <c r="E89">
        <v>2013</v>
      </c>
      <c r="F89" t="s">
        <v>55</v>
      </c>
      <c r="G89" t="s">
        <v>338</v>
      </c>
      <c r="H89" t="s">
        <v>339</v>
      </c>
      <c r="I89" t="s">
        <v>342</v>
      </c>
      <c r="J89" t="s">
        <v>89</v>
      </c>
      <c r="K89" t="s">
        <v>45</v>
      </c>
      <c r="L89" t="s">
        <v>340</v>
      </c>
      <c r="M89" t="s">
        <v>47</v>
      </c>
      <c r="N89">
        <v>160000</v>
      </c>
      <c r="O89">
        <v>5895</v>
      </c>
      <c r="P89">
        <v>154105</v>
      </c>
      <c r="Q89" t="s">
        <v>341</v>
      </c>
      <c r="R89" t="s">
        <v>338</v>
      </c>
      <c r="S89" s="2" t="s">
        <v>49</v>
      </c>
      <c r="T89">
        <v>456628</v>
      </c>
      <c r="U89" t="s">
        <v>62</v>
      </c>
      <c r="V89">
        <v>2013</v>
      </c>
      <c r="W89">
        <v>698</v>
      </c>
      <c r="X89" t="s">
        <v>51</v>
      </c>
      <c r="Y89">
        <v>0</v>
      </c>
      <c r="Z89">
        <v>0</v>
      </c>
      <c r="AA89">
        <v>68</v>
      </c>
      <c r="AB89">
        <v>68</v>
      </c>
      <c r="AC89" s="2" t="s">
        <v>49</v>
      </c>
      <c r="AD89">
        <v>447125</v>
      </c>
      <c r="AE89" t="s">
        <v>62</v>
      </c>
      <c r="AF89">
        <v>2013</v>
      </c>
      <c r="AG89">
        <v>698</v>
      </c>
      <c r="AH89" t="s">
        <v>51</v>
      </c>
      <c r="AI89">
        <v>0</v>
      </c>
      <c r="AJ89">
        <v>0</v>
      </c>
      <c r="AK89">
        <v>66</v>
      </c>
      <c r="AL89">
        <v>67</v>
      </c>
      <c r="AM89" s="2" t="s">
        <v>49</v>
      </c>
      <c r="AN89">
        <v>434247</v>
      </c>
      <c r="AO89" t="s">
        <v>62</v>
      </c>
      <c r="AP89">
        <v>2013</v>
      </c>
      <c r="AQ89">
        <v>698</v>
      </c>
      <c r="AR89" t="s">
        <v>51</v>
      </c>
      <c r="AS89">
        <v>0</v>
      </c>
      <c r="AT89">
        <v>0</v>
      </c>
      <c r="AU89">
        <v>64</v>
      </c>
      <c r="AV89">
        <v>65</v>
      </c>
      <c r="AW89" s="2" t="s">
        <v>49</v>
      </c>
      <c r="AX89">
        <v>444321</v>
      </c>
      <c r="AY89" t="s">
        <v>62</v>
      </c>
      <c r="AZ89">
        <v>2013</v>
      </c>
      <c r="BA89">
        <v>698</v>
      </c>
      <c r="BB89" t="s">
        <v>51</v>
      </c>
      <c r="BC89">
        <v>0</v>
      </c>
      <c r="BD89">
        <v>0</v>
      </c>
      <c r="BE89">
        <v>64</v>
      </c>
      <c r="BF89">
        <v>66</v>
      </c>
      <c r="BG89" s="2" t="s">
        <v>49</v>
      </c>
      <c r="BH89">
        <v>15739</v>
      </c>
      <c r="BI89">
        <v>1291</v>
      </c>
      <c r="BJ89">
        <v>2013</v>
      </c>
      <c r="BM89" s="2" t="s">
        <v>49</v>
      </c>
      <c r="BN89">
        <v>15693</v>
      </c>
      <c r="BO89">
        <v>1291</v>
      </c>
      <c r="BP89">
        <v>2013</v>
      </c>
      <c r="BS89" s="2" t="s">
        <v>49</v>
      </c>
      <c r="BT89">
        <v>44593</v>
      </c>
      <c r="BU89">
        <v>1291</v>
      </c>
      <c r="BV89">
        <v>2013</v>
      </c>
      <c r="BY89" s="2" t="s">
        <v>49</v>
      </c>
      <c r="BZ89">
        <v>203200</v>
      </c>
      <c r="CA89">
        <v>1291</v>
      </c>
      <c r="CB89">
        <v>2013</v>
      </c>
      <c r="CE89" s="2" t="s">
        <v>49</v>
      </c>
      <c r="CF89">
        <v>43516</v>
      </c>
      <c r="CG89">
        <v>1291</v>
      </c>
      <c r="CH89">
        <v>2013</v>
      </c>
      <c r="CK89" s="2" t="s">
        <v>49</v>
      </c>
      <c r="CL89">
        <v>45037</v>
      </c>
      <c r="CM89">
        <v>1291</v>
      </c>
      <c r="CN89">
        <v>2013</v>
      </c>
    </row>
    <row r="90" spans="1:92" x14ac:dyDescent="0.25">
      <c r="A90">
        <v>77206019</v>
      </c>
      <c r="B90" s="3" t="s">
        <v>37</v>
      </c>
      <c r="C90" t="s">
        <v>53</v>
      </c>
      <c r="D90" t="s">
        <v>54</v>
      </c>
      <c r="E90">
        <v>2013</v>
      </c>
      <c r="F90" t="s">
        <v>55</v>
      </c>
      <c r="G90" t="s">
        <v>343</v>
      </c>
      <c r="H90" t="s">
        <v>44</v>
      </c>
      <c r="I90" t="s">
        <v>344</v>
      </c>
      <c r="J90" t="s">
        <v>42</v>
      </c>
      <c r="K90" t="s">
        <v>45</v>
      </c>
      <c r="L90" t="s">
        <v>345</v>
      </c>
      <c r="M90" t="s">
        <v>47</v>
      </c>
      <c r="N90">
        <v>110000</v>
      </c>
      <c r="O90">
        <v>5531</v>
      </c>
      <c r="P90">
        <v>104469</v>
      </c>
      <c r="Q90" t="s">
        <v>346</v>
      </c>
      <c r="R90" t="s">
        <v>343</v>
      </c>
      <c r="S90" s="2" t="s">
        <v>49</v>
      </c>
      <c r="T90">
        <v>370093</v>
      </c>
      <c r="U90" t="s">
        <v>62</v>
      </c>
      <c r="V90">
        <v>2012</v>
      </c>
      <c r="W90">
        <v>745</v>
      </c>
      <c r="X90" t="s">
        <v>51</v>
      </c>
      <c r="Y90">
        <v>0</v>
      </c>
      <c r="Z90">
        <v>0</v>
      </c>
      <c r="AA90">
        <v>30</v>
      </c>
      <c r="AB90">
        <v>30</v>
      </c>
      <c r="AC90" s="2" t="s">
        <v>49</v>
      </c>
      <c r="AD90">
        <v>443422</v>
      </c>
      <c r="AE90" t="s">
        <v>62</v>
      </c>
      <c r="AF90">
        <v>2013</v>
      </c>
      <c r="AG90">
        <v>745</v>
      </c>
      <c r="AH90" t="s">
        <v>51</v>
      </c>
      <c r="AI90">
        <v>0</v>
      </c>
      <c r="AJ90">
        <v>0</v>
      </c>
      <c r="AK90">
        <v>33</v>
      </c>
      <c r="AL90">
        <v>33</v>
      </c>
      <c r="AM90" s="2" t="s">
        <v>49</v>
      </c>
      <c r="AN90">
        <v>442785</v>
      </c>
      <c r="AO90" t="s">
        <v>62</v>
      </c>
      <c r="AP90">
        <v>2013</v>
      </c>
      <c r="AQ90">
        <v>745</v>
      </c>
      <c r="AR90" t="s">
        <v>51</v>
      </c>
      <c r="AS90">
        <v>0</v>
      </c>
      <c r="AT90">
        <v>0</v>
      </c>
      <c r="AU90">
        <v>32</v>
      </c>
      <c r="AV90">
        <v>32</v>
      </c>
      <c r="AW90" s="2" t="s">
        <v>49</v>
      </c>
      <c r="AX90">
        <v>318853</v>
      </c>
      <c r="AY90" t="s">
        <v>62</v>
      </c>
      <c r="AZ90">
        <v>2012</v>
      </c>
      <c r="BA90">
        <v>745</v>
      </c>
      <c r="BB90" t="s">
        <v>51</v>
      </c>
      <c r="BC90">
        <v>0</v>
      </c>
      <c r="BD90">
        <v>0</v>
      </c>
      <c r="BE90">
        <v>32</v>
      </c>
      <c r="BF90">
        <v>32</v>
      </c>
      <c r="BG90" s="2" t="s">
        <v>49</v>
      </c>
      <c r="BH90">
        <v>15545</v>
      </c>
      <c r="BI90">
        <v>1291</v>
      </c>
      <c r="BJ90">
        <v>2013</v>
      </c>
      <c r="BM90" s="2" t="s">
        <v>49</v>
      </c>
      <c r="BN90">
        <v>15768</v>
      </c>
      <c r="BO90">
        <v>1291</v>
      </c>
      <c r="BP90">
        <v>2013</v>
      </c>
      <c r="BS90" s="2" t="s">
        <v>49</v>
      </c>
      <c r="BT90">
        <v>203111</v>
      </c>
      <c r="BU90">
        <v>1291</v>
      </c>
      <c r="BV90">
        <v>2013</v>
      </c>
      <c r="BY90" s="2" t="s">
        <v>49</v>
      </c>
      <c r="BZ90">
        <v>203202</v>
      </c>
      <c r="CA90">
        <v>1291</v>
      </c>
      <c r="CB90">
        <v>2013</v>
      </c>
      <c r="CE90" s="2" t="s">
        <v>49</v>
      </c>
      <c r="CF90">
        <v>44842</v>
      </c>
      <c r="CG90">
        <v>1291</v>
      </c>
      <c r="CH90">
        <v>2013</v>
      </c>
      <c r="CK90" s="2" t="s">
        <v>49</v>
      </c>
      <c r="CL90">
        <v>44870</v>
      </c>
      <c r="CM90">
        <v>1291</v>
      </c>
      <c r="CN90">
        <v>2013</v>
      </c>
    </row>
    <row r="91" spans="1:92" x14ac:dyDescent="0.25">
      <c r="A91">
        <v>77228880</v>
      </c>
      <c r="B91" s="3" t="s">
        <v>37</v>
      </c>
      <c r="C91" t="s">
        <v>103</v>
      </c>
      <c r="D91" t="s">
        <v>317</v>
      </c>
      <c r="E91">
        <v>2015</v>
      </c>
      <c r="F91" t="s">
        <v>318</v>
      </c>
      <c r="G91" t="s">
        <v>107</v>
      </c>
      <c r="H91" t="s">
        <v>89</v>
      </c>
      <c r="K91" t="s">
        <v>90</v>
      </c>
      <c r="L91" t="s">
        <v>108</v>
      </c>
      <c r="M91" t="s">
        <v>47</v>
      </c>
      <c r="N91">
        <v>160000</v>
      </c>
      <c r="O91">
        <v>43319</v>
      </c>
      <c r="P91">
        <v>116681</v>
      </c>
      <c r="Q91" t="s">
        <v>347</v>
      </c>
      <c r="R91" t="s">
        <v>107</v>
      </c>
      <c r="S91" s="2" t="s">
        <v>49</v>
      </c>
      <c r="T91">
        <v>205478</v>
      </c>
      <c r="U91" t="s">
        <v>50</v>
      </c>
      <c r="V91">
        <v>2014</v>
      </c>
      <c r="W91">
        <v>2348</v>
      </c>
      <c r="X91" t="s">
        <v>93</v>
      </c>
      <c r="Y91">
        <v>30</v>
      </c>
      <c r="Z91">
        <v>30</v>
      </c>
      <c r="AA91">
        <v>42</v>
      </c>
      <c r="AB91">
        <v>41</v>
      </c>
      <c r="AC91" s="2" t="s">
        <v>49</v>
      </c>
      <c r="AD91">
        <v>880609</v>
      </c>
      <c r="AE91" t="s">
        <v>50</v>
      </c>
      <c r="AF91">
        <v>2018</v>
      </c>
      <c r="AG91">
        <v>2348</v>
      </c>
      <c r="AH91" t="s">
        <v>93</v>
      </c>
      <c r="AI91">
        <v>30</v>
      </c>
      <c r="AJ91">
        <v>30</v>
      </c>
      <c r="AK91">
        <v>51</v>
      </c>
      <c r="AL91">
        <v>50</v>
      </c>
      <c r="AM91" s="2" t="s">
        <v>49</v>
      </c>
      <c r="AN91">
        <v>301072</v>
      </c>
      <c r="AO91" t="s">
        <v>50</v>
      </c>
      <c r="AP91">
        <v>2015</v>
      </c>
      <c r="AQ91">
        <v>2348</v>
      </c>
      <c r="AR91" t="s">
        <v>93</v>
      </c>
      <c r="AS91">
        <v>30</v>
      </c>
      <c r="AT91">
        <v>30</v>
      </c>
      <c r="AU91">
        <v>44</v>
      </c>
      <c r="AV91">
        <v>43</v>
      </c>
      <c r="AW91" s="2" t="s">
        <v>49</v>
      </c>
      <c r="AX91">
        <v>814596</v>
      </c>
      <c r="AY91" t="s">
        <v>50</v>
      </c>
      <c r="AZ91">
        <v>2018</v>
      </c>
      <c r="BA91">
        <v>2348</v>
      </c>
      <c r="BB91" t="s">
        <v>93</v>
      </c>
      <c r="BC91">
        <v>30</v>
      </c>
      <c r="BD91">
        <v>30</v>
      </c>
      <c r="BE91">
        <v>43</v>
      </c>
      <c r="BF91">
        <v>43</v>
      </c>
      <c r="BG91" s="2" t="s">
        <v>49</v>
      </c>
      <c r="BH91">
        <v>275</v>
      </c>
      <c r="BI91" t="s">
        <v>50</v>
      </c>
      <c r="BJ91">
        <v>2015</v>
      </c>
      <c r="BM91" s="2" t="s">
        <v>49</v>
      </c>
      <c r="BN91">
        <v>35284</v>
      </c>
      <c r="BO91" t="s">
        <v>50</v>
      </c>
      <c r="BP91">
        <v>2014</v>
      </c>
      <c r="BS91" s="2" t="s">
        <v>49</v>
      </c>
      <c r="BT91">
        <v>67279</v>
      </c>
      <c r="BU91" t="s">
        <v>50</v>
      </c>
      <c r="BV91">
        <v>2014</v>
      </c>
      <c r="BY91" s="2" t="s">
        <v>49</v>
      </c>
      <c r="BZ91">
        <v>1263</v>
      </c>
      <c r="CA91" t="s">
        <v>50</v>
      </c>
      <c r="CB91">
        <v>2015</v>
      </c>
      <c r="CE91" s="2" t="s">
        <v>49</v>
      </c>
      <c r="CF91">
        <v>641</v>
      </c>
      <c r="CG91" t="s">
        <v>50</v>
      </c>
      <c r="CH91">
        <v>2015</v>
      </c>
      <c r="CK91" s="2" t="s">
        <v>49</v>
      </c>
      <c r="CL91">
        <v>2057</v>
      </c>
      <c r="CM91" t="s">
        <v>50</v>
      </c>
      <c r="CN91">
        <v>2015</v>
      </c>
    </row>
    <row r="92" spans="1:92" x14ac:dyDescent="0.25">
      <c r="A92">
        <v>77228955</v>
      </c>
      <c r="B92" s="3" t="s">
        <v>37</v>
      </c>
      <c r="C92" t="s">
        <v>103</v>
      </c>
      <c r="D92" t="s">
        <v>326</v>
      </c>
      <c r="E92">
        <v>2015</v>
      </c>
      <c r="F92" t="s">
        <v>327</v>
      </c>
      <c r="G92" t="s">
        <v>348</v>
      </c>
      <c r="H92" t="s">
        <v>89</v>
      </c>
      <c r="K92" t="s">
        <v>90</v>
      </c>
      <c r="L92" t="s">
        <v>349</v>
      </c>
      <c r="M92" t="s">
        <v>47</v>
      </c>
      <c r="N92">
        <v>160000</v>
      </c>
      <c r="O92">
        <v>39794</v>
      </c>
      <c r="P92">
        <v>120206</v>
      </c>
      <c r="Q92" t="s">
        <v>350</v>
      </c>
      <c r="R92" t="s">
        <v>348</v>
      </c>
      <c r="S92" s="2" t="s">
        <v>49</v>
      </c>
      <c r="T92">
        <v>300048</v>
      </c>
      <c r="U92" t="s">
        <v>50</v>
      </c>
      <c r="V92">
        <v>2015</v>
      </c>
      <c r="W92">
        <v>2348</v>
      </c>
      <c r="X92" t="s">
        <v>93</v>
      </c>
      <c r="Y92">
        <v>33</v>
      </c>
      <c r="Z92">
        <v>33</v>
      </c>
      <c r="AA92">
        <v>75</v>
      </c>
      <c r="AB92">
        <v>75</v>
      </c>
      <c r="AC92" s="2" t="s">
        <v>49</v>
      </c>
      <c r="AD92">
        <v>301224</v>
      </c>
      <c r="AE92" t="s">
        <v>50</v>
      </c>
      <c r="AF92">
        <v>2015</v>
      </c>
      <c r="AG92">
        <v>2348</v>
      </c>
      <c r="AH92" t="s">
        <v>93</v>
      </c>
      <c r="AI92">
        <v>33</v>
      </c>
      <c r="AJ92">
        <v>33</v>
      </c>
      <c r="AK92">
        <v>75</v>
      </c>
      <c r="AL92">
        <v>75</v>
      </c>
      <c r="AM92" s="2" t="s">
        <v>49</v>
      </c>
      <c r="AN92">
        <v>302361</v>
      </c>
      <c r="AO92" t="s">
        <v>50</v>
      </c>
      <c r="AP92">
        <v>2015</v>
      </c>
      <c r="AQ92">
        <v>2348</v>
      </c>
      <c r="AR92" t="s">
        <v>93</v>
      </c>
      <c r="AS92">
        <v>33</v>
      </c>
      <c r="AT92">
        <v>33</v>
      </c>
      <c r="AU92">
        <v>75</v>
      </c>
      <c r="AV92">
        <v>75</v>
      </c>
      <c r="AW92" s="2" t="s">
        <v>49</v>
      </c>
      <c r="AX92">
        <v>301688</v>
      </c>
      <c r="AY92" t="s">
        <v>50</v>
      </c>
      <c r="AZ92">
        <v>2015</v>
      </c>
      <c r="BA92">
        <v>2348</v>
      </c>
      <c r="BB92" t="s">
        <v>93</v>
      </c>
      <c r="BC92">
        <v>33</v>
      </c>
      <c r="BD92">
        <v>33</v>
      </c>
      <c r="BE92">
        <v>75</v>
      </c>
      <c r="BF92">
        <v>75</v>
      </c>
      <c r="BG92" s="2" t="s">
        <v>49</v>
      </c>
      <c r="BH92">
        <v>35252</v>
      </c>
      <c r="BI92" t="s">
        <v>50</v>
      </c>
      <c r="BJ92">
        <v>2014</v>
      </c>
      <c r="BM92" s="2" t="s">
        <v>49</v>
      </c>
      <c r="BN92">
        <v>35305</v>
      </c>
      <c r="BO92" t="s">
        <v>50</v>
      </c>
      <c r="BP92">
        <v>2014</v>
      </c>
      <c r="BS92" s="2" t="s">
        <v>49</v>
      </c>
      <c r="BT92">
        <v>228</v>
      </c>
      <c r="BU92" t="s">
        <v>50</v>
      </c>
      <c r="BV92">
        <v>2015</v>
      </c>
      <c r="BY92" s="2" t="s">
        <v>49</v>
      </c>
      <c r="BZ92">
        <v>1584</v>
      </c>
      <c r="CA92" t="s">
        <v>50</v>
      </c>
      <c r="CB92">
        <v>2015</v>
      </c>
      <c r="CE92" s="2" t="s">
        <v>49</v>
      </c>
      <c r="CF92">
        <v>2609</v>
      </c>
      <c r="CG92" t="s">
        <v>50</v>
      </c>
      <c r="CH92">
        <v>2015</v>
      </c>
      <c r="CK92" s="2" t="s">
        <v>49</v>
      </c>
      <c r="CL92">
        <v>1334</v>
      </c>
      <c r="CM92" t="s">
        <v>50</v>
      </c>
      <c r="CN92">
        <v>2015</v>
      </c>
    </row>
    <row r="93" spans="1:92" x14ac:dyDescent="0.25">
      <c r="A93">
        <v>77228872</v>
      </c>
      <c r="B93" s="3" t="s">
        <v>37</v>
      </c>
      <c r="C93" t="s">
        <v>103</v>
      </c>
      <c r="D93" t="s">
        <v>317</v>
      </c>
      <c r="E93">
        <v>2015</v>
      </c>
      <c r="F93" t="s">
        <v>318</v>
      </c>
      <c r="G93" t="s">
        <v>88</v>
      </c>
      <c r="H93" t="s">
        <v>89</v>
      </c>
      <c r="K93" t="s">
        <v>90</v>
      </c>
      <c r="L93" t="s">
        <v>91</v>
      </c>
      <c r="M93" t="s">
        <v>47</v>
      </c>
      <c r="N93">
        <v>160000</v>
      </c>
      <c r="O93">
        <v>36456</v>
      </c>
      <c r="P93">
        <v>123544</v>
      </c>
      <c r="Q93" t="s">
        <v>351</v>
      </c>
      <c r="R93" t="s">
        <v>88</v>
      </c>
      <c r="S93" s="2" t="s">
        <v>49</v>
      </c>
      <c r="T93">
        <v>302807</v>
      </c>
      <c r="U93" t="s">
        <v>50</v>
      </c>
      <c r="V93">
        <v>2015</v>
      </c>
      <c r="W93">
        <v>2348</v>
      </c>
      <c r="X93" t="s">
        <v>93</v>
      </c>
      <c r="Y93">
        <v>33</v>
      </c>
      <c r="Z93">
        <v>33</v>
      </c>
      <c r="AA93">
        <v>74</v>
      </c>
      <c r="AB93">
        <v>74</v>
      </c>
      <c r="AC93" s="2" t="s">
        <v>49</v>
      </c>
      <c r="AD93">
        <v>302089</v>
      </c>
      <c r="AE93" t="s">
        <v>50</v>
      </c>
      <c r="AF93">
        <v>2015</v>
      </c>
      <c r="AG93">
        <v>2348</v>
      </c>
      <c r="AH93" t="s">
        <v>93</v>
      </c>
      <c r="AI93">
        <v>33</v>
      </c>
      <c r="AJ93">
        <v>33</v>
      </c>
      <c r="AK93">
        <v>74</v>
      </c>
      <c r="AL93">
        <v>74</v>
      </c>
      <c r="AM93" s="2" t="s">
        <v>49</v>
      </c>
      <c r="AN93">
        <v>206198</v>
      </c>
      <c r="AO93" t="s">
        <v>50</v>
      </c>
      <c r="AP93">
        <v>2014</v>
      </c>
      <c r="AQ93">
        <v>2348</v>
      </c>
      <c r="AR93" t="s">
        <v>93</v>
      </c>
      <c r="AS93">
        <v>33</v>
      </c>
      <c r="AT93">
        <v>33</v>
      </c>
      <c r="AU93">
        <v>74</v>
      </c>
      <c r="AV93">
        <v>74</v>
      </c>
      <c r="AW93" s="2" t="s">
        <v>49</v>
      </c>
      <c r="AX93">
        <v>206591</v>
      </c>
      <c r="AY93" t="s">
        <v>50</v>
      </c>
      <c r="AZ93">
        <v>2014</v>
      </c>
      <c r="BA93">
        <v>2348</v>
      </c>
      <c r="BB93" t="s">
        <v>93</v>
      </c>
      <c r="BC93">
        <v>33</v>
      </c>
      <c r="BD93">
        <v>33</v>
      </c>
      <c r="BE93">
        <v>74</v>
      </c>
      <c r="BF93">
        <v>74</v>
      </c>
      <c r="BG93" s="2" t="s">
        <v>49</v>
      </c>
      <c r="BH93">
        <v>35184</v>
      </c>
      <c r="BI93" t="s">
        <v>50</v>
      </c>
      <c r="BJ93">
        <v>2014</v>
      </c>
      <c r="BM93" s="2" t="s">
        <v>49</v>
      </c>
      <c r="BN93">
        <v>634</v>
      </c>
      <c r="BO93" t="s">
        <v>50</v>
      </c>
      <c r="BP93">
        <v>2015</v>
      </c>
      <c r="BS93" s="2" t="s">
        <v>49</v>
      </c>
      <c r="BT93">
        <v>2289</v>
      </c>
      <c r="BU93" t="s">
        <v>50</v>
      </c>
      <c r="BV93">
        <v>2015</v>
      </c>
      <c r="BY93" s="2" t="s">
        <v>49</v>
      </c>
      <c r="BZ93">
        <v>2048</v>
      </c>
      <c r="CA93" t="s">
        <v>50</v>
      </c>
      <c r="CB93">
        <v>2015</v>
      </c>
      <c r="CE93" s="2" t="s">
        <v>49</v>
      </c>
      <c r="CF93">
        <v>434</v>
      </c>
      <c r="CG93" t="s">
        <v>50</v>
      </c>
      <c r="CH93">
        <v>2015</v>
      </c>
      <c r="CK93" s="2" t="s">
        <v>49</v>
      </c>
      <c r="CL93">
        <v>1886</v>
      </c>
      <c r="CM93" t="s">
        <v>50</v>
      </c>
      <c r="CN93">
        <v>2015</v>
      </c>
    </row>
    <row r="94" spans="1:92" x14ac:dyDescent="0.25">
      <c r="A94">
        <v>77228765</v>
      </c>
      <c r="B94" s="3" t="s">
        <v>37</v>
      </c>
      <c r="C94" t="s">
        <v>38</v>
      </c>
      <c r="D94" t="s">
        <v>86</v>
      </c>
      <c r="E94">
        <v>2015</v>
      </c>
      <c r="F94" t="s">
        <v>87</v>
      </c>
      <c r="G94" t="s">
        <v>117</v>
      </c>
      <c r="H94" t="s">
        <v>89</v>
      </c>
      <c r="K94" t="s">
        <v>90</v>
      </c>
      <c r="L94" t="s">
        <v>118</v>
      </c>
      <c r="M94" t="s">
        <v>47</v>
      </c>
      <c r="N94">
        <v>160000</v>
      </c>
      <c r="O94">
        <v>35335</v>
      </c>
      <c r="P94">
        <v>124665</v>
      </c>
      <c r="Q94" t="s">
        <v>352</v>
      </c>
      <c r="R94" t="s">
        <v>117</v>
      </c>
      <c r="S94" s="2" t="s">
        <v>49</v>
      </c>
      <c r="T94">
        <v>303157</v>
      </c>
      <c r="U94" t="s">
        <v>50</v>
      </c>
      <c r="V94">
        <v>2015</v>
      </c>
      <c r="W94">
        <v>2348</v>
      </c>
      <c r="X94" t="s">
        <v>93</v>
      </c>
      <c r="Y94">
        <v>33</v>
      </c>
      <c r="Z94">
        <v>33</v>
      </c>
      <c r="AA94">
        <v>75</v>
      </c>
      <c r="AB94">
        <v>75</v>
      </c>
      <c r="AC94" s="2" t="s">
        <v>49</v>
      </c>
      <c r="AD94">
        <v>205747</v>
      </c>
      <c r="AE94" t="s">
        <v>50</v>
      </c>
      <c r="AF94">
        <v>2014</v>
      </c>
      <c r="AG94">
        <v>2348</v>
      </c>
      <c r="AH94" t="s">
        <v>93</v>
      </c>
      <c r="AI94">
        <v>33</v>
      </c>
      <c r="AJ94">
        <v>33</v>
      </c>
      <c r="AK94">
        <v>75</v>
      </c>
      <c r="AL94">
        <v>75</v>
      </c>
      <c r="AM94" s="2" t="s">
        <v>49</v>
      </c>
      <c r="AN94">
        <v>302086</v>
      </c>
      <c r="AO94" t="s">
        <v>50</v>
      </c>
      <c r="AP94">
        <v>2015</v>
      </c>
      <c r="AQ94">
        <v>2348</v>
      </c>
      <c r="AR94" t="s">
        <v>93</v>
      </c>
      <c r="AS94">
        <v>33</v>
      </c>
      <c r="AT94">
        <v>33</v>
      </c>
      <c r="AU94">
        <v>75</v>
      </c>
      <c r="AV94">
        <v>75</v>
      </c>
      <c r="AW94" s="2" t="s">
        <v>49</v>
      </c>
      <c r="AX94">
        <v>301314</v>
      </c>
      <c r="AY94" t="s">
        <v>50</v>
      </c>
      <c r="AZ94">
        <v>2015</v>
      </c>
      <c r="BA94">
        <v>2348</v>
      </c>
      <c r="BB94" t="s">
        <v>93</v>
      </c>
      <c r="BC94">
        <v>33</v>
      </c>
      <c r="BD94">
        <v>33</v>
      </c>
      <c r="BE94">
        <v>74</v>
      </c>
      <c r="BF94">
        <v>74</v>
      </c>
      <c r="BG94" s="2" t="s">
        <v>49</v>
      </c>
      <c r="BH94">
        <v>28782</v>
      </c>
      <c r="BI94" t="s">
        <v>50</v>
      </c>
      <c r="BJ94">
        <v>2014</v>
      </c>
      <c r="BM94" s="2" t="s">
        <v>49</v>
      </c>
      <c r="BN94">
        <v>33337</v>
      </c>
      <c r="BO94" t="s">
        <v>50</v>
      </c>
      <c r="BP94">
        <v>2014</v>
      </c>
      <c r="BS94" s="2" t="s">
        <v>49</v>
      </c>
      <c r="BT94">
        <v>1078</v>
      </c>
      <c r="BU94" t="s">
        <v>50</v>
      </c>
      <c r="BV94">
        <v>2015</v>
      </c>
      <c r="BY94" s="2" t="s">
        <v>49</v>
      </c>
      <c r="BZ94">
        <v>1203</v>
      </c>
      <c r="CA94" t="s">
        <v>50</v>
      </c>
      <c r="CB94">
        <v>2015</v>
      </c>
      <c r="CE94" s="2" t="s">
        <v>49</v>
      </c>
      <c r="CF94">
        <v>788</v>
      </c>
      <c r="CG94" t="s">
        <v>50</v>
      </c>
      <c r="CH94">
        <v>2015</v>
      </c>
      <c r="CK94" s="2" t="s">
        <v>49</v>
      </c>
      <c r="CL94">
        <v>95068</v>
      </c>
      <c r="CM94" t="s">
        <v>50</v>
      </c>
      <c r="CN94">
        <v>2015</v>
      </c>
    </row>
    <row r="95" spans="1:92" x14ac:dyDescent="0.25">
      <c r="A95">
        <v>77222057</v>
      </c>
      <c r="B95" s="3" t="s">
        <v>37</v>
      </c>
      <c r="C95" t="s">
        <v>103</v>
      </c>
      <c r="D95" t="s">
        <v>104</v>
      </c>
      <c r="E95">
        <v>2011</v>
      </c>
      <c r="F95" t="s">
        <v>105</v>
      </c>
      <c r="G95" t="s">
        <v>353</v>
      </c>
      <c r="H95" t="s">
        <v>99</v>
      </c>
      <c r="I95" t="s">
        <v>354</v>
      </c>
      <c r="J95" t="s">
        <v>44</v>
      </c>
      <c r="K95" t="s">
        <v>45</v>
      </c>
      <c r="L95" t="s">
        <v>355</v>
      </c>
      <c r="M95" t="s">
        <v>47</v>
      </c>
      <c r="N95">
        <v>160000</v>
      </c>
      <c r="O95">
        <v>14069</v>
      </c>
      <c r="P95">
        <v>145931</v>
      </c>
      <c r="Q95" t="s">
        <v>356</v>
      </c>
      <c r="R95" t="s">
        <v>354</v>
      </c>
      <c r="S95" s="2" t="s">
        <v>49</v>
      </c>
      <c r="T95">
        <v>279078</v>
      </c>
      <c r="U95" t="s">
        <v>50</v>
      </c>
      <c r="V95">
        <v>2011</v>
      </c>
      <c r="W95">
        <v>745</v>
      </c>
      <c r="X95" t="s">
        <v>51</v>
      </c>
      <c r="Y95">
        <v>0</v>
      </c>
      <c r="Z95">
        <v>0</v>
      </c>
      <c r="AA95">
        <v>58</v>
      </c>
      <c r="AB95">
        <v>58</v>
      </c>
      <c r="AC95" s="2" t="s">
        <v>49</v>
      </c>
      <c r="AD95">
        <v>403484</v>
      </c>
      <c r="AE95" t="s">
        <v>50</v>
      </c>
      <c r="AF95">
        <v>2013</v>
      </c>
      <c r="AG95">
        <v>745</v>
      </c>
      <c r="AH95" t="s">
        <v>51</v>
      </c>
      <c r="AI95">
        <v>0</v>
      </c>
      <c r="AJ95">
        <v>0</v>
      </c>
      <c r="AK95">
        <v>56</v>
      </c>
      <c r="AL95">
        <v>56</v>
      </c>
      <c r="AM95" s="2" t="s">
        <v>49</v>
      </c>
      <c r="AN95">
        <v>23981</v>
      </c>
      <c r="AO95" t="s">
        <v>85</v>
      </c>
      <c r="AP95">
        <v>2011</v>
      </c>
      <c r="AQ95">
        <v>745</v>
      </c>
      <c r="AR95" t="s">
        <v>51</v>
      </c>
      <c r="AS95">
        <v>0</v>
      </c>
      <c r="AT95">
        <v>0</v>
      </c>
      <c r="AU95">
        <v>67</v>
      </c>
      <c r="AV95">
        <v>67</v>
      </c>
      <c r="AW95" s="2" t="s">
        <v>49</v>
      </c>
      <c r="AX95">
        <v>283920</v>
      </c>
      <c r="AY95" t="s">
        <v>50</v>
      </c>
      <c r="AZ95">
        <v>2011</v>
      </c>
      <c r="BA95">
        <v>745</v>
      </c>
      <c r="BB95" t="s">
        <v>51</v>
      </c>
      <c r="BC95">
        <v>0</v>
      </c>
      <c r="BD95">
        <v>0</v>
      </c>
      <c r="BE95">
        <v>66</v>
      </c>
      <c r="BF95">
        <v>66</v>
      </c>
      <c r="BG95" s="2" t="s">
        <v>49</v>
      </c>
      <c r="BH95">
        <v>37179</v>
      </c>
      <c r="BI95" t="s">
        <v>50</v>
      </c>
      <c r="BJ95">
        <v>2011</v>
      </c>
      <c r="BM95" s="2" t="s">
        <v>49</v>
      </c>
      <c r="BN95">
        <v>37342</v>
      </c>
      <c r="BO95" t="s">
        <v>50</v>
      </c>
      <c r="BP95">
        <v>2011</v>
      </c>
      <c r="BS95" s="2" t="s">
        <v>49</v>
      </c>
      <c r="BT95">
        <v>66199</v>
      </c>
      <c r="BU95" t="s">
        <v>50</v>
      </c>
      <c r="BV95">
        <v>2011</v>
      </c>
      <c r="BY95" s="2" t="s">
        <v>49</v>
      </c>
      <c r="BZ95">
        <v>65306</v>
      </c>
      <c r="CA95" t="s">
        <v>50</v>
      </c>
      <c r="CB95">
        <v>2011</v>
      </c>
      <c r="CE95" s="2" t="s">
        <v>49</v>
      </c>
      <c r="CF95">
        <v>65937</v>
      </c>
      <c r="CG95" t="s">
        <v>50</v>
      </c>
      <c r="CH95">
        <v>2011</v>
      </c>
      <c r="CK95" s="2" t="s">
        <v>49</v>
      </c>
      <c r="CL95">
        <v>65915</v>
      </c>
      <c r="CM95" t="s">
        <v>50</v>
      </c>
      <c r="CN95">
        <v>2011</v>
      </c>
    </row>
    <row r="96" spans="1:92" x14ac:dyDescent="0.25">
      <c r="A96">
        <v>77228948</v>
      </c>
      <c r="B96" s="3" t="s">
        <v>37</v>
      </c>
      <c r="C96" t="s">
        <v>103</v>
      </c>
      <c r="D96" t="s">
        <v>326</v>
      </c>
      <c r="E96">
        <v>2015</v>
      </c>
      <c r="F96" t="s">
        <v>327</v>
      </c>
      <c r="G96" t="s">
        <v>164</v>
      </c>
      <c r="H96" t="s">
        <v>299</v>
      </c>
      <c r="K96" t="s">
        <v>90</v>
      </c>
      <c r="L96" t="s">
        <v>357</v>
      </c>
      <c r="M96" t="s">
        <v>47</v>
      </c>
      <c r="N96">
        <v>160000</v>
      </c>
      <c r="O96">
        <v>24614</v>
      </c>
      <c r="P96">
        <v>135386</v>
      </c>
      <c r="Q96" t="s">
        <v>358</v>
      </c>
      <c r="R96" t="s">
        <v>164</v>
      </c>
      <c r="S96" s="2" t="s">
        <v>49</v>
      </c>
      <c r="T96">
        <v>300901</v>
      </c>
      <c r="U96" t="s">
        <v>50</v>
      </c>
      <c r="V96">
        <v>2015</v>
      </c>
      <c r="W96">
        <v>2080</v>
      </c>
      <c r="X96" t="s">
        <v>151</v>
      </c>
      <c r="Y96">
        <v>30</v>
      </c>
      <c r="Z96">
        <v>30</v>
      </c>
      <c r="AA96">
        <v>42</v>
      </c>
      <c r="AB96">
        <v>42</v>
      </c>
      <c r="AC96" s="2" t="s">
        <v>49</v>
      </c>
      <c r="AD96">
        <v>301909</v>
      </c>
      <c r="AE96" t="s">
        <v>50</v>
      </c>
      <c r="AF96">
        <v>2015</v>
      </c>
      <c r="AG96">
        <v>2080</v>
      </c>
      <c r="AH96" t="s">
        <v>151</v>
      </c>
      <c r="AI96">
        <v>30</v>
      </c>
      <c r="AJ96">
        <v>30</v>
      </c>
      <c r="AK96">
        <v>36</v>
      </c>
      <c r="AL96">
        <v>36</v>
      </c>
      <c r="AM96" s="2" t="s">
        <v>49</v>
      </c>
      <c r="AN96">
        <v>318861</v>
      </c>
      <c r="AO96" t="s">
        <v>62</v>
      </c>
      <c r="AP96">
        <v>2012</v>
      </c>
      <c r="AQ96">
        <v>2080</v>
      </c>
      <c r="AR96" t="s">
        <v>151</v>
      </c>
      <c r="AS96">
        <v>30</v>
      </c>
      <c r="AT96">
        <v>30</v>
      </c>
      <c r="AU96">
        <v>35</v>
      </c>
      <c r="AV96">
        <v>35</v>
      </c>
      <c r="AW96" s="2" t="s">
        <v>49</v>
      </c>
      <c r="AX96">
        <v>443805</v>
      </c>
      <c r="AY96" t="s">
        <v>62</v>
      </c>
      <c r="AZ96">
        <v>2013</v>
      </c>
      <c r="BA96">
        <v>2080</v>
      </c>
      <c r="BB96" t="s">
        <v>151</v>
      </c>
      <c r="BC96">
        <v>30</v>
      </c>
      <c r="BD96">
        <v>30</v>
      </c>
      <c r="BE96">
        <v>35</v>
      </c>
      <c r="BF96">
        <v>35</v>
      </c>
      <c r="BG96" s="2" t="s">
        <v>49</v>
      </c>
      <c r="BH96">
        <v>35599</v>
      </c>
      <c r="BI96" t="s">
        <v>50</v>
      </c>
      <c r="BJ96">
        <v>2014</v>
      </c>
      <c r="BM96" s="2" t="s">
        <v>49</v>
      </c>
      <c r="BN96">
        <v>32757</v>
      </c>
      <c r="BO96" t="s">
        <v>50</v>
      </c>
      <c r="BP96">
        <v>2014</v>
      </c>
      <c r="BS96" s="2" t="s">
        <v>49</v>
      </c>
      <c r="BT96">
        <v>1348</v>
      </c>
      <c r="BU96" t="s">
        <v>50</v>
      </c>
      <c r="BV96">
        <v>2015</v>
      </c>
      <c r="BY96" s="2" t="s">
        <v>49</v>
      </c>
      <c r="BZ96">
        <v>1814</v>
      </c>
      <c r="CA96" t="s">
        <v>50</v>
      </c>
      <c r="CB96">
        <v>2015</v>
      </c>
      <c r="CE96" s="2" t="s">
        <v>49</v>
      </c>
      <c r="CF96">
        <v>1823</v>
      </c>
      <c r="CG96" t="s">
        <v>50</v>
      </c>
      <c r="CH96">
        <v>2015</v>
      </c>
      <c r="CK96" s="2" t="s">
        <v>49</v>
      </c>
      <c r="CL96">
        <v>960</v>
      </c>
      <c r="CM96" t="s">
        <v>50</v>
      </c>
      <c r="CN96">
        <v>2015</v>
      </c>
    </row>
    <row r="97" spans="1:92" x14ac:dyDescent="0.25">
      <c r="A97">
        <v>77228963</v>
      </c>
      <c r="B97" s="3" t="s">
        <v>37</v>
      </c>
      <c r="C97" t="s">
        <v>103</v>
      </c>
      <c r="D97" t="s">
        <v>326</v>
      </c>
      <c r="E97">
        <v>2015</v>
      </c>
      <c r="F97" t="s">
        <v>327</v>
      </c>
      <c r="G97" t="s">
        <v>88</v>
      </c>
      <c r="H97" t="s">
        <v>89</v>
      </c>
      <c r="K97" t="s">
        <v>90</v>
      </c>
      <c r="L97" t="s">
        <v>91</v>
      </c>
      <c r="M97" t="s">
        <v>47</v>
      </c>
      <c r="N97">
        <v>160000</v>
      </c>
      <c r="O97">
        <v>32636</v>
      </c>
      <c r="P97">
        <v>127364</v>
      </c>
      <c r="Q97" t="s">
        <v>359</v>
      </c>
      <c r="R97" t="s">
        <v>88</v>
      </c>
      <c r="S97" s="2" t="s">
        <v>49</v>
      </c>
      <c r="T97">
        <v>212321</v>
      </c>
      <c r="U97" t="s">
        <v>50</v>
      </c>
      <c r="V97">
        <v>2014</v>
      </c>
      <c r="W97">
        <v>2348</v>
      </c>
      <c r="X97" t="s">
        <v>93</v>
      </c>
      <c r="Y97">
        <v>30</v>
      </c>
      <c r="Z97">
        <v>30</v>
      </c>
      <c r="AA97">
        <v>45</v>
      </c>
      <c r="AB97">
        <v>45</v>
      </c>
      <c r="AC97" s="2" t="s">
        <v>49</v>
      </c>
      <c r="AD97">
        <v>300869</v>
      </c>
      <c r="AE97" t="s">
        <v>50</v>
      </c>
      <c r="AF97">
        <v>2015</v>
      </c>
      <c r="AG97">
        <v>2348</v>
      </c>
      <c r="AH97" t="s">
        <v>93</v>
      </c>
      <c r="AI97">
        <v>30</v>
      </c>
      <c r="AJ97">
        <v>30</v>
      </c>
      <c r="AK97">
        <v>45</v>
      </c>
      <c r="AL97">
        <v>45</v>
      </c>
      <c r="AM97" s="2" t="s">
        <v>49</v>
      </c>
      <c r="AN97">
        <v>301127</v>
      </c>
      <c r="AO97" t="s">
        <v>50</v>
      </c>
      <c r="AP97">
        <v>2015</v>
      </c>
      <c r="AQ97">
        <v>2348</v>
      </c>
      <c r="AR97" t="s">
        <v>93</v>
      </c>
      <c r="AS97">
        <v>30</v>
      </c>
      <c r="AT97">
        <v>30</v>
      </c>
      <c r="AU97">
        <v>35</v>
      </c>
      <c r="AV97">
        <v>35</v>
      </c>
      <c r="AW97" s="2" t="s">
        <v>49</v>
      </c>
      <c r="AX97">
        <v>207109</v>
      </c>
      <c r="AY97" t="s">
        <v>50</v>
      </c>
      <c r="AZ97">
        <v>2014</v>
      </c>
      <c r="BA97">
        <v>2348</v>
      </c>
      <c r="BB97" t="s">
        <v>93</v>
      </c>
      <c r="BC97">
        <v>30</v>
      </c>
      <c r="BD97">
        <v>30</v>
      </c>
      <c r="BE97">
        <v>35</v>
      </c>
      <c r="BF97">
        <v>35</v>
      </c>
      <c r="BG97" s="2" t="s">
        <v>49</v>
      </c>
      <c r="BH97">
        <v>35111</v>
      </c>
      <c r="BI97" t="s">
        <v>50</v>
      </c>
      <c r="BJ97">
        <v>2014</v>
      </c>
      <c r="BM97" s="2" t="s">
        <v>49</v>
      </c>
      <c r="BN97">
        <v>34209</v>
      </c>
      <c r="BO97" t="s">
        <v>50</v>
      </c>
      <c r="BP97">
        <v>2014</v>
      </c>
      <c r="BS97" s="2" t="s">
        <v>49</v>
      </c>
      <c r="BT97">
        <v>582</v>
      </c>
      <c r="BU97" t="s">
        <v>50</v>
      </c>
      <c r="BV97">
        <v>2015</v>
      </c>
      <c r="BY97" s="2" t="s">
        <v>49</v>
      </c>
      <c r="BZ97">
        <v>1062</v>
      </c>
      <c r="CA97" t="s">
        <v>50</v>
      </c>
      <c r="CB97">
        <v>2015</v>
      </c>
      <c r="CE97" s="2" t="s">
        <v>49</v>
      </c>
      <c r="CF97">
        <v>1634</v>
      </c>
      <c r="CG97" t="s">
        <v>50</v>
      </c>
      <c r="CH97">
        <v>2015</v>
      </c>
      <c r="CK97" s="2" t="s">
        <v>49</v>
      </c>
      <c r="CL97">
        <v>2447</v>
      </c>
      <c r="CM97" t="s">
        <v>50</v>
      </c>
      <c r="CN97">
        <v>2015</v>
      </c>
    </row>
    <row r="98" spans="1:92" x14ac:dyDescent="0.25">
      <c r="A98">
        <v>77228922</v>
      </c>
      <c r="B98" s="3" t="s">
        <v>37</v>
      </c>
      <c r="C98" t="s">
        <v>103</v>
      </c>
      <c r="D98" t="s">
        <v>317</v>
      </c>
      <c r="E98">
        <v>2015</v>
      </c>
      <c r="F98" t="s">
        <v>318</v>
      </c>
      <c r="G98" t="s">
        <v>360</v>
      </c>
      <c r="H98" t="s">
        <v>58</v>
      </c>
      <c r="K98" t="s">
        <v>45</v>
      </c>
      <c r="L98" t="s">
        <v>361</v>
      </c>
      <c r="M98" t="s">
        <v>47</v>
      </c>
      <c r="N98">
        <v>110000</v>
      </c>
      <c r="O98">
        <v>80291</v>
      </c>
      <c r="P98">
        <v>29709</v>
      </c>
      <c r="Q98" t="s">
        <v>362</v>
      </c>
      <c r="R98" t="s">
        <v>360</v>
      </c>
      <c r="S98" s="2" t="s">
        <v>49</v>
      </c>
      <c r="T98">
        <v>205340</v>
      </c>
      <c r="U98" t="s">
        <v>50</v>
      </c>
      <c r="V98">
        <v>2014</v>
      </c>
      <c r="W98">
        <v>357</v>
      </c>
      <c r="X98" t="s">
        <v>363</v>
      </c>
      <c r="Y98">
        <v>30</v>
      </c>
      <c r="Z98">
        <v>30</v>
      </c>
      <c r="AA98">
        <v>30</v>
      </c>
      <c r="AB98">
        <v>30</v>
      </c>
      <c r="AC98" s="2" t="s">
        <v>49</v>
      </c>
      <c r="AD98">
        <v>301050</v>
      </c>
      <c r="AE98" t="s">
        <v>50</v>
      </c>
      <c r="AF98">
        <v>2015</v>
      </c>
      <c r="AG98">
        <v>357</v>
      </c>
      <c r="AH98" t="s">
        <v>363</v>
      </c>
      <c r="AI98">
        <v>30</v>
      </c>
      <c r="AJ98">
        <v>30</v>
      </c>
      <c r="AK98">
        <v>30</v>
      </c>
      <c r="AL98">
        <v>30</v>
      </c>
      <c r="AM98" s="2" t="s">
        <v>49</v>
      </c>
      <c r="AN98">
        <v>301215</v>
      </c>
      <c r="AO98" t="s">
        <v>50</v>
      </c>
      <c r="AP98">
        <v>2015</v>
      </c>
      <c r="AQ98">
        <v>357</v>
      </c>
      <c r="AR98" t="s">
        <v>363</v>
      </c>
      <c r="AS98">
        <v>30</v>
      </c>
      <c r="AT98">
        <v>30</v>
      </c>
      <c r="AU98">
        <v>36</v>
      </c>
      <c r="AV98">
        <v>36</v>
      </c>
      <c r="AW98" s="2" t="s">
        <v>49</v>
      </c>
      <c r="AX98">
        <v>205465</v>
      </c>
      <c r="AY98" t="s">
        <v>50</v>
      </c>
      <c r="AZ98">
        <v>2014</v>
      </c>
      <c r="BA98">
        <v>357</v>
      </c>
      <c r="BB98" t="s">
        <v>363</v>
      </c>
      <c r="BC98">
        <v>30</v>
      </c>
      <c r="BD98">
        <v>30</v>
      </c>
      <c r="BE98">
        <v>37</v>
      </c>
      <c r="BF98">
        <v>37</v>
      </c>
      <c r="BG98" s="2" t="s">
        <v>49</v>
      </c>
      <c r="BH98">
        <v>35104</v>
      </c>
      <c r="BI98" t="s">
        <v>50</v>
      </c>
      <c r="BJ98">
        <v>2014</v>
      </c>
      <c r="BM98" s="2" t="s">
        <v>49</v>
      </c>
      <c r="BN98">
        <v>334</v>
      </c>
      <c r="BO98" t="s">
        <v>50</v>
      </c>
      <c r="BP98">
        <v>2015</v>
      </c>
      <c r="BS98" s="2" t="s">
        <v>49</v>
      </c>
      <c r="BT98">
        <v>2082</v>
      </c>
      <c r="BU98" t="s">
        <v>50</v>
      </c>
      <c r="BV98">
        <v>2015</v>
      </c>
      <c r="BY98" s="2" t="s">
        <v>49</v>
      </c>
      <c r="BZ98">
        <v>2380</v>
      </c>
      <c r="CA98" t="s">
        <v>50</v>
      </c>
      <c r="CB98">
        <v>2015</v>
      </c>
      <c r="CE98" s="2" t="s">
        <v>49</v>
      </c>
      <c r="CF98">
        <v>1235</v>
      </c>
      <c r="CG98" t="s">
        <v>50</v>
      </c>
      <c r="CH98">
        <v>2015</v>
      </c>
      <c r="CK98" s="2" t="s">
        <v>49</v>
      </c>
      <c r="CL98">
        <v>2672</v>
      </c>
      <c r="CM98" t="s">
        <v>50</v>
      </c>
      <c r="CN98">
        <v>2015</v>
      </c>
    </row>
    <row r="99" spans="1:92" x14ac:dyDescent="0.25">
      <c r="A99">
        <v>77221885</v>
      </c>
      <c r="B99" s="3" t="s">
        <v>37</v>
      </c>
      <c r="C99" t="s">
        <v>38</v>
      </c>
      <c r="D99" t="s">
        <v>94</v>
      </c>
      <c r="E99">
        <v>2011</v>
      </c>
      <c r="F99" t="s">
        <v>95</v>
      </c>
      <c r="G99" t="s">
        <v>364</v>
      </c>
      <c r="H99" t="s">
        <v>42</v>
      </c>
      <c r="I99" t="s">
        <v>343</v>
      </c>
      <c r="J99" t="s">
        <v>44</v>
      </c>
      <c r="K99" t="s">
        <v>45</v>
      </c>
      <c r="L99" t="s">
        <v>365</v>
      </c>
      <c r="M99" t="s">
        <v>47</v>
      </c>
      <c r="N99">
        <v>160000</v>
      </c>
      <c r="O99">
        <v>14079</v>
      </c>
      <c r="P99">
        <v>145921</v>
      </c>
      <c r="Q99" t="s">
        <v>366</v>
      </c>
      <c r="R99" t="s">
        <v>343</v>
      </c>
      <c r="S99" s="2" t="s">
        <v>49</v>
      </c>
      <c r="T99">
        <v>285054</v>
      </c>
      <c r="U99" t="s">
        <v>50</v>
      </c>
      <c r="V99">
        <v>2011</v>
      </c>
      <c r="W99">
        <v>745</v>
      </c>
      <c r="X99" t="s">
        <v>51</v>
      </c>
      <c r="Y99">
        <v>0</v>
      </c>
      <c r="Z99">
        <v>0</v>
      </c>
      <c r="AA99">
        <v>62</v>
      </c>
      <c r="AB99">
        <v>62</v>
      </c>
      <c r="AC99" s="2" t="s">
        <v>49</v>
      </c>
      <c r="AD99">
        <v>284962</v>
      </c>
      <c r="AE99" t="s">
        <v>50</v>
      </c>
      <c r="AF99">
        <v>2011</v>
      </c>
      <c r="AG99">
        <v>745</v>
      </c>
      <c r="AH99" t="s">
        <v>51</v>
      </c>
      <c r="AI99">
        <v>0</v>
      </c>
      <c r="AJ99">
        <v>0</v>
      </c>
      <c r="AK99">
        <v>60</v>
      </c>
      <c r="AL99">
        <v>60</v>
      </c>
      <c r="AM99" s="2" t="s">
        <v>49</v>
      </c>
      <c r="AN99">
        <v>387489</v>
      </c>
      <c r="AO99" t="s">
        <v>50</v>
      </c>
      <c r="AP99">
        <v>2013</v>
      </c>
      <c r="AQ99">
        <v>745</v>
      </c>
      <c r="AR99" t="s">
        <v>51</v>
      </c>
      <c r="AS99">
        <v>0</v>
      </c>
      <c r="AT99">
        <v>0</v>
      </c>
      <c r="AU99">
        <v>66</v>
      </c>
      <c r="AV99">
        <v>66</v>
      </c>
      <c r="AW99" s="2" t="s">
        <v>49</v>
      </c>
      <c r="AX99">
        <v>279750</v>
      </c>
      <c r="AY99" t="s">
        <v>50</v>
      </c>
      <c r="AZ99">
        <v>2011</v>
      </c>
      <c r="BA99">
        <v>745</v>
      </c>
      <c r="BB99" t="s">
        <v>51</v>
      </c>
      <c r="BC99">
        <v>0</v>
      </c>
      <c r="BD99">
        <v>0</v>
      </c>
      <c r="BE99">
        <v>64</v>
      </c>
      <c r="BF99">
        <v>64</v>
      </c>
      <c r="BG99" s="2" t="s">
        <v>49</v>
      </c>
      <c r="BH99">
        <v>37855</v>
      </c>
      <c r="BI99" t="s">
        <v>50</v>
      </c>
      <c r="BJ99">
        <v>2011</v>
      </c>
      <c r="BM99" s="2" t="s">
        <v>49</v>
      </c>
      <c r="BN99">
        <v>37442</v>
      </c>
      <c r="BO99" t="s">
        <v>50</v>
      </c>
      <c r="BP99">
        <v>2011</v>
      </c>
      <c r="BS99" s="2" t="s">
        <v>49</v>
      </c>
      <c r="BT99">
        <v>66604</v>
      </c>
      <c r="BU99" t="s">
        <v>50</v>
      </c>
      <c r="BV99">
        <v>2011</v>
      </c>
      <c r="BY99" s="2" t="s">
        <v>49</v>
      </c>
      <c r="BZ99">
        <v>66235</v>
      </c>
      <c r="CA99" t="s">
        <v>50</v>
      </c>
      <c r="CB99">
        <v>2011</v>
      </c>
      <c r="CE99" s="2" t="s">
        <v>49</v>
      </c>
      <c r="CF99">
        <v>66630</v>
      </c>
      <c r="CG99" t="s">
        <v>50</v>
      </c>
      <c r="CH99">
        <v>2011</v>
      </c>
      <c r="CK99" s="2" t="s">
        <v>49</v>
      </c>
      <c r="CL99">
        <v>66283</v>
      </c>
      <c r="CM99" t="s">
        <v>50</v>
      </c>
      <c r="CN99">
        <v>2011</v>
      </c>
    </row>
    <row r="100" spans="1:92" x14ac:dyDescent="0.25">
      <c r="A100">
        <v>77221802</v>
      </c>
      <c r="B100" s="3" t="s">
        <v>37</v>
      </c>
      <c r="C100" t="s">
        <v>38</v>
      </c>
      <c r="D100" t="s">
        <v>267</v>
      </c>
      <c r="E100">
        <v>2011</v>
      </c>
      <c r="F100" t="s">
        <v>268</v>
      </c>
      <c r="G100" t="s">
        <v>367</v>
      </c>
      <c r="H100" t="s">
        <v>42</v>
      </c>
      <c r="I100" t="s">
        <v>184</v>
      </c>
      <c r="J100" t="s">
        <v>89</v>
      </c>
      <c r="K100" t="s">
        <v>45</v>
      </c>
      <c r="L100" t="s">
        <v>368</v>
      </c>
      <c r="M100" t="s">
        <v>47</v>
      </c>
      <c r="N100">
        <v>160000</v>
      </c>
      <c r="O100">
        <v>22146</v>
      </c>
      <c r="P100">
        <v>137854</v>
      </c>
      <c r="Q100" t="s">
        <v>369</v>
      </c>
      <c r="R100" t="s">
        <v>184</v>
      </c>
      <c r="S100" s="2" t="s">
        <v>49</v>
      </c>
      <c r="T100">
        <v>174585</v>
      </c>
      <c r="U100" t="s">
        <v>50</v>
      </c>
      <c r="V100">
        <v>2012</v>
      </c>
      <c r="W100">
        <v>2348</v>
      </c>
      <c r="X100" t="s">
        <v>151</v>
      </c>
      <c r="Y100">
        <v>30</v>
      </c>
      <c r="Z100">
        <v>30</v>
      </c>
      <c r="AA100">
        <v>65</v>
      </c>
      <c r="AB100">
        <v>65</v>
      </c>
      <c r="AC100" s="2" t="s">
        <v>49</v>
      </c>
      <c r="AD100">
        <v>280880</v>
      </c>
      <c r="AE100" t="s">
        <v>50</v>
      </c>
      <c r="AF100">
        <v>2011</v>
      </c>
      <c r="AG100">
        <v>2348</v>
      </c>
      <c r="AH100" t="s">
        <v>151</v>
      </c>
      <c r="AI100">
        <v>30</v>
      </c>
      <c r="AJ100">
        <v>30</v>
      </c>
      <c r="AK100">
        <v>69</v>
      </c>
      <c r="AL100">
        <v>69</v>
      </c>
      <c r="AM100" s="2" t="s">
        <v>49</v>
      </c>
      <c r="AN100">
        <v>285721</v>
      </c>
      <c r="AO100" t="s">
        <v>50</v>
      </c>
      <c r="AP100">
        <v>2011</v>
      </c>
      <c r="AQ100">
        <v>2348</v>
      </c>
      <c r="AR100" t="s">
        <v>151</v>
      </c>
      <c r="AS100">
        <v>30</v>
      </c>
      <c r="AT100">
        <v>30</v>
      </c>
      <c r="AU100">
        <v>67</v>
      </c>
      <c r="AV100">
        <v>67</v>
      </c>
      <c r="AW100" s="2" t="s">
        <v>49</v>
      </c>
      <c r="AX100">
        <v>279763</v>
      </c>
      <c r="AY100" t="s">
        <v>50</v>
      </c>
      <c r="AZ100">
        <v>2011</v>
      </c>
      <c r="BA100">
        <v>2348</v>
      </c>
      <c r="BB100" t="s">
        <v>151</v>
      </c>
      <c r="BC100">
        <v>30</v>
      </c>
      <c r="BD100">
        <v>30</v>
      </c>
      <c r="BE100">
        <v>68</v>
      </c>
      <c r="BF100">
        <v>68</v>
      </c>
      <c r="BG100" s="2" t="s">
        <v>49</v>
      </c>
      <c r="BH100">
        <v>37629</v>
      </c>
      <c r="BI100" t="s">
        <v>50</v>
      </c>
      <c r="BJ100">
        <v>2011</v>
      </c>
      <c r="BM100" s="2" t="s">
        <v>49</v>
      </c>
      <c r="BN100">
        <v>37546</v>
      </c>
      <c r="BO100" t="s">
        <v>50</v>
      </c>
      <c r="BP100">
        <v>2011</v>
      </c>
      <c r="BS100" s="2" t="s">
        <v>49</v>
      </c>
      <c r="BT100">
        <v>62051</v>
      </c>
      <c r="BU100" t="s">
        <v>50</v>
      </c>
      <c r="BV100">
        <v>2011</v>
      </c>
      <c r="BY100" s="2" t="s">
        <v>49</v>
      </c>
      <c r="BZ100">
        <v>66325</v>
      </c>
      <c r="CA100" t="s">
        <v>50</v>
      </c>
      <c r="CB100">
        <v>2011</v>
      </c>
      <c r="CE100" s="2" t="s">
        <v>49</v>
      </c>
      <c r="CF100">
        <v>65715</v>
      </c>
      <c r="CG100" t="s">
        <v>50</v>
      </c>
      <c r="CH100">
        <v>2011</v>
      </c>
      <c r="CK100" s="2" t="s">
        <v>49</v>
      </c>
      <c r="CL100">
        <v>65069</v>
      </c>
      <c r="CM100" t="s">
        <v>50</v>
      </c>
      <c r="CN100">
        <v>2011</v>
      </c>
    </row>
    <row r="101" spans="1:92" x14ac:dyDescent="0.25">
      <c r="A101">
        <v>77222016</v>
      </c>
      <c r="B101" s="3" t="s">
        <v>37</v>
      </c>
      <c r="C101" t="s">
        <v>38</v>
      </c>
      <c r="D101" t="s">
        <v>39</v>
      </c>
      <c r="E101">
        <v>2011</v>
      </c>
      <c r="F101" t="s">
        <v>40</v>
      </c>
      <c r="G101" t="s">
        <v>370</v>
      </c>
      <c r="H101" t="s">
        <v>42</v>
      </c>
      <c r="I101" t="s">
        <v>371</v>
      </c>
      <c r="J101" t="s">
        <v>99</v>
      </c>
      <c r="K101" t="s">
        <v>45</v>
      </c>
      <c r="L101" t="s">
        <v>372</v>
      </c>
      <c r="M101" t="s">
        <v>47</v>
      </c>
      <c r="N101">
        <v>160000</v>
      </c>
      <c r="O101">
        <v>37096</v>
      </c>
      <c r="P101">
        <v>122904</v>
      </c>
      <c r="Q101" t="s">
        <v>373</v>
      </c>
      <c r="R101" t="s">
        <v>371</v>
      </c>
      <c r="S101" s="2" t="s">
        <v>49</v>
      </c>
      <c r="T101">
        <v>282793</v>
      </c>
      <c r="U101" t="s">
        <v>50</v>
      </c>
      <c r="V101">
        <v>2011</v>
      </c>
      <c r="W101">
        <v>600</v>
      </c>
      <c r="X101" t="s">
        <v>93</v>
      </c>
      <c r="Y101">
        <v>33</v>
      </c>
      <c r="Z101">
        <v>33</v>
      </c>
      <c r="AA101">
        <v>73</v>
      </c>
      <c r="AB101">
        <v>73</v>
      </c>
      <c r="AC101" s="2" t="s">
        <v>49</v>
      </c>
      <c r="AD101">
        <v>283845</v>
      </c>
      <c r="AE101" t="s">
        <v>50</v>
      </c>
      <c r="AF101">
        <v>2011</v>
      </c>
      <c r="AG101">
        <v>600</v>
      </c>
      <c r="AH101" t="s">
        <v>93</v>
      </c>
      <c r="AI101">
        <v>33</v>
      </c>
      <c r="AJ101">
        <v>33</v>
      </c>
      <c r="AK101">
        <v>73</v>
      </c>
      <c r="AL101">
        <v>73</v>
      </c>
      <c r="AM101" s="2" t="s">
        <v>49</v>
      </c>
      <c r="AN101">
        <v>284445</v>
      </c>
      <c r="AO101" t="s">
        <v>50</v>
      </c>
      <c r="AP101">
        <v>2011</v>
      </c>
      <c r="AQ101">
        <v>600</v>
      </c>
      <c r="AR101" t="s">
        <v>93</v>
      </c>
      <c r="AS101">
        <v>33</v>
      </c>
      <c r="AT101">
        <v>33</v>
      </c>
      <c r="AU101">
        <v>75</v>
      </c>
      <c r="AV101">
        <v>75</v>
      </c>
      <c r="AW101" s="2" t="s">
        <v>49</v>
      </c>
      <c r="AX101">
        <v>283448</v>
      </c>
      <c r="AY101" t="s">
        <v>50</v>
      </c>
      <c r="AZ101">
        <v>2011</v>
      </c>
      <c r="BA101">
        <v>600</v>
      </c>
      <c r="BB101" t="s">
        <v>93</v>
      </c>
      <c r="BC101">
        <v>33</v>
      </c>
      <c r="BD101">
        <v>33</v>
      </c>
      <c r="BE101">
        <v>75</v>
      </c>
      <c r="BF101">
        <v>75</v>
      </c>
      <c r="BG101" s="2" t="s">
        <v>49</v>
      </c>
      <c r="BH101">
        <v>36737</v>
      </c>
      <c r="BI101" t="s">
        <v>50</v>
      </c>
      <c r="BJ101">
        <v>2011</v>
      </c>
      <c r="BM101" s="2" t="s">
        <v>49</v>
      </c>
      <c r="BN101">
        <v>37455</v>
      </c>
      <c r="BO101" t="s">
        <v>50</v>
      </c>
      <c r="BP101">
        <v>2011</v>
      </c>
      <c r="BS101" s="2" t="s">
        <v>49</v>
      </c>
      <c r="BT101">
        <v>63109</v>
      </c>
      <c r="BU101" t="s">
        <v>50</v>
      </c>
      <c r="BV101">
        <v>2011</v>
      </c>
      <c r="BY101" s="2" t="s">
        <v>49</v>
      </c>
      <c r="BZ101">
        <v>63193</v>
      </c>
      <c r="CA101" t="s">
        <v>50</v>
      </c>
      <c r="CB101">
        <v>2011</v>
      </c>
      <c r="CE101" s="2" t="s">
        <v>49</v>
      </c>
      <c r="CF101">
        <v>64922</v>
      </c>
      <c r="CG101" t="s">
        <v>50</v>
      </c>
      <c r="CH101">
        <v>2011</v>
      </c>
      <c r="CK101" s="2" t="s">
        <v>49</v>
      </c>
      <c r="CL101">
        <v>64302</v>
      </c>
      <c r="CM101" t="s">
        <v>50</v>
      </c>
      <c r="CN101">
        <v>2011</v>
      </c>
    </row>
    <row r="102" spans="1:92" x14ac:dyDescent="0.25">
      <c r="A102">
        <v>77228807</v>
      </c>
      <c r="B102" s="3" t="s">
        <v>37</v>
      </c>
      <c r="C102" t="s">
        <v>38</v>
      </c>
      <c r="D102" t="s">
        <v>86</v>
      </c>
      <c r="E102">
        <v>2015</v>
      </c>
      <c r="F102" t="s">
        <v>87</v>
      </c>
      <c r="G102" t="s">
        <v>117</v>
      </c>
      <c r="H102" t="s">
        <v>89</v>
      </c>
      <c r="K102" t="s">
        <v>90</v>
      </c>
      <c r="L102" t="s">
        <v>118</v>
      </c>
      <c r="M102" t="s">
        <v>47</v>
      </c>
      <c r="N102">
        <v>160000</v>
      </c>
      <c r="O102">
        <v>39757</v>
      </c>
      <c r="P102">
        <v>120243</v>
      </c>
      <c r="Q102" t="s">
        <v>374</v>
      </c>
      <c r="R102" t="s">
        <v>375</v>
      </c>
      <c r="S102" s="2" t="s">
        <v>49</v>
      </c>
      <c r="T102">
        <v>301258</v>
      </c>
      <c r="U102" t="s">
        <v>50</v>
      </c>
      <c r="V102">
        <v>2015</v>
      </c>
      <c r="W102">
        <v>4046</v>
      </c>
      <c r="X102" t="s">
        <v>170</v>
      </c>
      <c r="Y102">
        <v>0</v>
      </c>
      <c r="Z102">
        <v>0</v>
      </c>
      <c r="AA102">
        <v>48</v>
      </c>
      <c r="AB102">
        <v>48</v>
      </c>
      <c r="AC102" s="2" t="s">
        <v>49</v>
      </c>
      <c r="AD102">
        <v>301723</v>
      </c>
      <c r="AE102" t="s">
        <v>50</v>
      </c>
      <c r="AF102">
        <v>2015</v>
      </c>
      <c r="AG102">
        <v>4046</v>
      </c>
      <c r="AH102" t="s">
        <v>170</v>
      </c>
      <c r="AI102">
        <v>0</v>
      </c>
      <c r="AJ102">
        <v>0</v>
      </c>
      <c r="AK102">
        <v>48</v>
      </c>
      <c r="AL102">
        <v>48</v>
      </c>
      <c r="AM102" s="2" t="s">
        <v>49</v>
      </c>
      <c r="AN102">
        <v>301008</v>
      </c>
      <c r="AO102" t="s">
        <v>50</v>
      </c>
      <c r="AP102">
        <v>2015</v>
      </c>
      <c r="AQ102">
        <v>4046</v>
      </c>
      <c r="AR102" t="s">
        <v>170</v>
      </c>
      <c r="AS102">
        <v>0</v>
      </c>
      <c r="AT102">
        <v>0</v>
      </c>
      <c r="AU102">
        <v>37</v>
      </c>
      <c r="AV102">
        <v>36</v>
      </c>
      <c r="AW102" s="2" t="s">
        <v>49</v>
      </c>
      <c r="AX102">
        <v>301673</v>
      </c>
      <c r="AY102" t="s">
        <v>50</v>
      </c>
      <c r="AZ102">
        <v>2015</v>
      </c>
      <c r="BA102">
        <v>4046</v>
      </c>
      <c r="BB102" t="s">
        <v>170</v>
      </c>
      <c r="BC102">
        <v>0</v>
      </c>
      <c r="BD102">
        <v>0</v>
      </c>
      <c r="BE102">
        <v>45</v>
      </c>
      <c r="BF102">
        <v>45</v>
      </c>
      <c r="BG102" s="2" t="s">
        <v>49</v>
      </c>
      <c r="BH102">
        <v>916</v>
      </c>
      <c r="BI102" t="s">
        <v>50</v>
      </c>
      <c r="BJ102">
        <v>2015</v>
      </c>
      <c r="BM102" s="2" t="s">
        <v>49</v>
      </c>
      <c r="BN102">
        <v>34860</v>
      </c>
      <c r="BO102" t="s">
        <v>50</v>
      </c>
      <c r="BP102">
        <v>2014</v>
      </c>
      <c r="BS102" s="2" t="s">
        <v>49</v>
      </c>
      <c r="BT102">
        <v>702</v>
      </c>
      <c r="BU102" t="s">
        <v>50</v>
      </c>
      <c r="BV102">
        <v>2015</v>
      </c>
      <c r="BY102" s="2" t="s">
        <v>49</v>
      </c>
      <c r="BZ102">
        <v>2510</v>
      </c>
      <c r="CA102" t="s">
        <v>50</v>
      </c>
      <c r="CB102">
        <v>2015</v>
      </c>
      <c r="CE102" s="2" t="s">
        <v>49</v>
      </c>
      <c r="CF102">
        <v>818</v>
      </c>
      <c r="CG102" t="s">
        <v>50</v>
      </c>
      <c r="CH102">
        <v>2015</v>
      </c>
      <c r="CK102" s="2" t="s">
        <v>49</v>
      </c>
      <c r="CL102">
        <v>1524</v>
      </c>
      <c r="CM102" t="s">
        <v>50</v>
      </c>
      <c r="CN102">
        <v>2015</v>
      </c>
    </row>
    <row r="103" spans="1:92" x14ac:dyDescent="0.25">
      <c r="A103">
        <v>77228831</v>
      </c>
      <c r="B103" s="3" t="s">
        <v>37</v>
      </c>
      <c r="C103" t="s">
        <v>103</v>
      </c>
      <c r="D103" t="s">
        <v>317</v>
      </c>
      <c r="E103">
        <v>2015</v>
      </c>
      <c r="F103" t="s">
        <v>318</v>
      </c>
      <c r="G103" t="s">
        <v>376</v>
      </c>
      <c r="H103" t="s">
        <v>42</v>
      </c>
      <c r="K103" t="s">
        <v>45</v>
      </c>
      <c r="L103" t="s">
        <v>377</v>
      </c>
      <c r="M103" t="s">
        <v>47</v>
      </c>
      <c r="N103">
        <v>160000</v>
      </c>
      <c r="O103">
        <v>103736</v>
      </c>
      <c r="P103">
        <v>56264</v>
      </c>
      <c r="Q103" t="s">
        <v>378</v>
      </c>
      <c r="R103" t="s">
        <v>379</v>
      </c>
      <c r="S103" s="2" t="s">
        <v>49</v>
      </c>
      <c r="T103">
        <v>301035</v>
      </c>
      <c r="U103" t="s">
        <v>50</v>
      </c>
      <c r="V103">
        <v>2015</v>
      </c>
      <c r="W103">
        <v>837</v>
      </c>
      <c r="X103" t="s">
        <v>380</v>
      </c>
      <c r="Y103">
        <v>30</v>
      </c>
      <c r="Z103">
        <v>30</v>
      </c>
      <c r="AA103">
        <v>28</v>
      </c>
      <c r="AB103">
        <v>28</v>
      </c>
      <c r="AC103" s="2" t="s">
        <v>49</v>
      </c>
      <c r="AD103">
        <v>868910</v>
      </c>
      <c r="AE103" t="s">
        <v>50</v>
      </c>
      <c r="AF103">
        <v>2018</v>
      </c>
      <c r="AG103">
        <v>837</v>
      </c>
      <c r="AH103" t="s">
        <v>380</v>
      </c>
      <c r="AI103">
        <v>30</v>
      </c>
      <c r="AJ103">
        <v>30</v>
      </c>
      <c r="AK103">
        <v>29</v>
      </c>
      <c r="AL103">
        <v>29</v>
      </c>
      <c r="AM103" s="2" t="s">
        <v>49</v>
      </c>
      <c r="AN103">
        <v>370593</v>
      </c>
      <c r="AO103" t="s">
        <v>62</v>
      </c>
      <c r="AP103">
        <v>2012</v>
      </c>
      <c r="AQ103">
        <v>837</v>
      </c>
      <c r="AR103" t="s">
        <v>380</v>
      </c>
      <c r="AS103">
        <v>30</v>
      </c>
      <c r="AT103">
        <v>30</v>
      </c>
      <c r="AU103">
        <v>37</v>
      </c>
      <c r="AV103">
        <v>37</v>
      </c>
      <c r="AW103" s="2" t="s">
        <v>49</v>
      </c>
      <c r="AX103">
        <v>301036</v>
      </c>
      <c r="AY103" t="s">
        <v>50</v>
      </c>
      <c r="AZ103">
        <v>2015</v>
      </c>
      <c r="BA103">
        <v>837</v>
      </c>
      <c r="BB103" t="s">
        <v>380</v>
      </c>
      <c r="BC103">
        <v>30</v>
      </c>
      <c r="BD103">
        <v>30</v>
      </c>
      <c r="BE103">
        <v>37</v>
      </c>
      <c r="BF103">
        <v>37</v>
      </c>
      <c r="BG103" s="2" t="s">
        <v>49</v>
      </c>
      <c r="BH103">
        <v>33360</v>
      </c>
      <c r="BI103" t="s">
        <v>50</v>
      </c>
      <c r="BJ103">
        <v>2014</v>
      </c>
      <c r="BM103" s="2" t="s">
        <v>49</v>
      </c>
      <c r="BN103">
        <v>35576</v>
      </c>
      <c r="BO103" t="s">
        <v>50</v>
      </c>
      <c r="BP103">
        <v>2014</v>
      </c>
      <c r="BS103" s="2" t="s">
        <v>49</v>
      </c>
      <c r="BT103">
        <v>1172</v>
      </c>
      <c r="BU103" t="s">
        <v>50</v>
      </c>
      <c r="BV103">
        <v>2015</v>
      </c>
      <c r="BY103" s="2" t="s">
        <v>49</v>
      </c>
      <c r="BZ103">
        <v>468</v>
      </c>
      <c r="CA103" t="s">
        <v>50</v>
      </c>
      <c r="CB103">
        <v>2015</v>
      </c>
      <c r="CE103" s="2" t="s">
        <v>49</v>
      </c>
      <c r="CF103">
        <v>1207</v>
      </c>
      <c r="CG103" t="s">
        <v>50</v>
      </c>
      <c r="CH103">
        <v>2015</v>
      </c>
      <c r="CK103" s="2" t="s">
        <v>49</v>
      </c>
      <c r="CL103">
        <v>673</v>
      </c>
      <c r="CM103" t="s">
        <v>50</v>
      </c>
      <c r="CN103">
        <v>2015</v>
      </c>
    </row>
    <row r="104" spans="1:92" x14ac:dyDescent="0.25">
      <c r="A104">
        <v>77221968</v>
      </c>
      <c r="B104" s="3" t="s">
        <v>37</v>
      </c>
      <c r="C104" t="s">
        <v>103</v>
      </c>
      <c r="D104" t="s">
        <v>120</v>
      </c>
      <c r="E104">
        <v>2012</v>
      </c>
      <c r="F104" t="s">
        <v>121</v>
      </c>
      <c r="G104" t="s">
        <v>112</v>
      </c>
      <c r="H104" t="s">
        <v>58</v>
      </c>
      <c r="I104" t="s">
        <v>381</v>
      </c>
      <c r="J104" t="s">
        <v>42</v>
      </c>
      <c r="K104" t="s">
        <v>45</v>
      </c>
      <c r="L104" t="s">
        <v>382</v>
      </c>
      <c r="M104" t="s">
        <v>47</v>
      </c>
      <c r="N104" t="s">
        <v>383</v>
      </c>
      <c r="R104" t="s">
        <v>381</v>
      </c>
      <c r="S104" s="2" t="s">
        <v>49</v>
      </c>
      <c r="T104">
        <v>120396</v>
      </c>
      <c r="U104" t="s">
        <v>50</v>
      </c>
      <c r="V104">
        <v>2012</v>
      </c>
      <c r="W104">
        <v>301</v>
      </c>
      <c r="X104" t="s">
        <v>93</v>
      </c>
      <c r="Y104">
        <v>30</v>
      </c>
      <c r="Z104">
        <v>29</v>
      </c>
      <c r="AA104">
        <v>39</v>
      </c>
      <c r="AB104">
        <v>39</v>
      </c>
      <c r="AC104" s="2" t="s">
        <v>49</v>
      </c>
      <c r="AD104">
        <v>122483</v>
      </c>
      <c r="AE104" t="s">
        <v>50</v>
      </c>
      <c r="AF104">
        <v>2012</v>
      </c>
      <c r="AG104">
        <v>301</v>
      </c>
      <c r="AH104" t="s">
        <v>93</v>
      </c>
      <c r="AI104">
        <v>30</v>
      </c>
      <c r="AJ104">
        <v>31</v>
      </c>
      <c r="AK104">
        <v>36</v>
      </c>
      <c r="AL104">
        <v>36</v>
      </c>
      <c r="AM104" s="2" t="s">
        <v>49</v>
      </c>
      <c r="AN104">
        <v>523308</v>
      </c>
      <c r="AO104" t="s">
        <v>62</v>
      </c>
      <c r="AP104">
        <v>2014</v>
      </c>
      <c r="AQ104">
        <v>301</v>
      </c>
      <c r="AR104" t="s">
        <v>93</v>
      </c>
      <c r="AS104">
        <v>30</v>
      </c>
      <c r="AT104">
        <v>29</v>
      </c>
      <c r="AU104">
        <v>40</v>
      </c>
      <c r="AV104">
        <v>40</v>
      </c>
      <c r="AW104" s="2" t="s">
        <v>49</v>
      </c>
      <c r="AX104">
        <v>443982</v>
      </c>
      <c r="AY104" t="s">
        <v>62</v>
      </c>
      <c r="AZ104">
        <v>2013</v>
      </c>
      <c r="BA104">
        <v>301</v>
      </c>
      <c r="BB104" t="s">
        <v>93</v>
      </c>
      <c r="BC104">
        <v>30</v>
      </c>
      <c r="BD104">
        <v>29</v>
      </c>
      <c r="BE104">
        <v>44</v>
      </c>
      <c r="BF104">
        <v>44</v>
      </c>
      <c r="BG104" s="2" t="s">
        <v>49</v>
      </c>
      <c r="BH104">
        <v>10391</v>
      </c>
      <c r="BI104" t="s">
        <v>50</v>
      </c>
      <c r="BJ104">
        <v>2012</v>
      </c>
      <c r="BM104" s="2" t="s">
        <v>49</v>
      </c>
      <c r="BN104">
        <v>10631</v>
      </c>
      <c r="BO104" t="s">
        <v>50</v>
      </c>
      <c r="BP104">
        <v>2012</v>
      </c>
      <c r="BS104" s="2" t="s">
        <v>49</v>
      </c>
      <c r="BT104">
        <v>3751</v>
      </c>
      <c r="BU104" t="s">
        <v>50</v>
      </c>
      <c r="BV104">
        <v>2012</v>
      </c>
      <c r="BY104" s="2" t="s">
        <v>49</v>
      </c>
      <c r="BZ104">
        <v>3778</v>
      </c>
      <c r="CA104" t="s">
        <v>50</v>
      </c>
      <c r="CB104">
        <v>2012</v>
      </c>
      <c r="CE104" s="2" t="s">
        <v>49</v>
      </c>
      <c r="CF104">
        <v>3702</v>
      </c>
      <c r="CG104" t="s">
        <v>50</v>
      </c>
      <c r="CH104">
        <v>2012</v>
      </c>
      <c r="CK104" s="2" t="s">
        <v>49</v>
      </c>
      <c r="CL104">
        <v>3914</v>
      </c>
      <c r="CM104" t="s">
        <v>50</v>
      </c>
      <c r="CN104">
        <v>2012</v>
      </c>
    </row>
    <row r="105" spans="1:92" x14ac:dyDescent="0.25">
      <c r="A105">
        <v>77221869</v>
      </c>
      <c r="B105" s="3" t="s">
        <v>37</v>
      </c>
      <c r="C105" t="s">
        <v>38</v>
      </c>
      <c r="D105" t="s">
        <v>267</v>
      </c>
      <c r="E105">
        <v>2011</v>
      </c>
      <c r="F105" t="s">
        <v>268</v>
      </c>
      <c r="G105" t="s">
        <v>269</v>
      </c>
      <c r="H105" t="s">
        <v>42</v>
      </c>
      <c r="I105" t="s">
        <v>184</v>
      </c>
      <c r="J105" t="s">
        <v>89</v>
      </c>
      <c r="K105" t="s">
        <v>45</v>
      </c>
      <c r="L105" t="s">
        <v>368</v>
      </c>
      <c r="M105" t="s">
        <v>47</v>
      </c>
      <c r="N105">
        <v>160000</v>
      </c>
      <c r="O105">
        <v>13600</v>
      </c>
      <c r="P105">
        <v>146400</v>
      </c>
      <c r="Q105" t="s">
        <v>384</v>
      </c>
      <c r="R105" t="s">
        <v>184</v>
      </c>
      <c r="S105" s="2" t="s">
        <v>49</v>
      </c>
      <c r="T105">
        <v>178513</v>
      </c>
      <c r="U105" t="s">
        <v>50</v>
      </c>
      <c r="V105">
        <v>2014</v>
      </c>
      <c r="W105">
        <v>2348</v>
      </c>
      <c r="X105" t="s">
        <v>151</v>
      </c>
      <c r="Y105">
        <v>30</v>
      </c>
      <c r="Z105">
        <v>30</v>
      </c>
      <c r="AA105">
        <v>68</v>
      </c>
      <c r="AB105">
        <v>68</v>
      </c>
      <c r="AC105" s="2" t="s">
        <v>49</v>
      </c>
      <c r="AD105">
        <v>284807</v>
      </c>
      <c r="AE105" t="s">
        <v>50</v>
      </c>
      <c r="AF105">
        <v>2011</v>
      </c>
      <c r="AG105">
        <v>2348</v>
      </c>
      <c r="AH105" t="s">
        <v>151</v>
      </c>
      <c r="AI105">
        <v>30</v>
      </c>
      <c r="AJ105">
        <v>30</v>
      </c>
      <c r="AK105">
        <v>68</v>
      </c>
      <c r="AL105">
        <v>68</v>
      </c>
      <c r="AM105" s="2" t="s">
        <v>49</v>
      </c>
      <c r="AN105">
        <v>277168</v>
      </c>
      <c r="AO105" t="s">
        <v>50</v>
      </c>
      <c r="AP105">
        <v>2011</v>
      </c>
      <c r="AQ105">
        <v>2348</v>
      </c>
      <c r="AR105" t="s">
        <v>151</v>
      </c>
      <c r="AS105">
        <v>30</v>
      </c>
      <c r="AT105">
        <v>30</v>
      </c>
      <c r="AU105">
        <v>68</v>
      </c>
      <c r="AV105">
        <v>68</v>
      </c>
      <c r="AW105" s="2" t="s">
        <v>49</v>
      </c>
      <c r="AX105">
        <v>284925</v>
      </c>
      <c r="AY105" t="s">
        <v>50</v>
      </c>
      <c r="AZ105">
        <v>2011</v>
      </c>
      <c r="BA105">
        <v>2348</v>
      </c>
      <c r="BB105" t="s">
        <v>151</v>
      </c>
      <c r="BC105">
        <v>30</v>
      </c>
      <c r="BD105">
        <v>30</v>
      </c>
      <c r="BE105">
        <v>69</v>
      </c>
      <c r="BF105">
        <v>69</v>
      </c>
      <c r="BG105" s="2" t="s">
        <v>49</v>
      </c>
      <c r="BH105">
        <v>68491</v>
      </c>
      <c r="BI105" t="s">
        <v>52</v>
      </c>
      <c r="BJ105">
        <v>2011</v>
      </c>
      <c r="BM105" s="2" t="s">
        <v>49</v>
      </c>
      <c r="BN105">
        <v>68176</v>
      </c>
      <c r="BO105" t="s">
        <v>52</v>
      </c>
      <c r="BP105">
        <v>2011</v>
      </c>
      <c r="BS105" s="2" t="s">
        <v>49</v>
      </c>
      <c r="BT105">
        <v>525689</v>
      </c>
      <c r="BU105" t="s">
        <v>52</v>
      </c>
      <c r="BV105">
        <v>2011</v>
      </c>
      <c r="BY105" s="2" t="s">
        <v>49</v>
      </c>
      <c r="BZ105">
        <v>113471</v>
      </c>
      <c r="CA105" t="s">
        <v>52</v>
      </c>
      <c r="CB105">
        <v>2011</v>
      </c>
      <c r="CE105" s="2" t="s">
        <v>49</v>
      </c>
      <c r="CF105">
        <v>115126</v>
      </c>
      <c r="CG105" t="s">
        <v>52</v>
      </c>
      <c r="CH105">
        <v>2011</v>
      </c>
      <c r="CK105" s="2" t="s">
        <v>49</v>
      </c>
      <c r="CL105">
        <v>114995</v>
      </c>
      <c r="CM105" t="s">
        <v>52</v>
      </c>
      <c r="CN105">
        <v>2011</v>
      </c>
    </row>
    <row r="106" spans="1:92" x14ac:dyDescent="0.25">
      <c r="A106">
        <v>77228815</v>
      </c>
      <c r="B106" s="3" t="s">
        <v>37</v>
      </c>
      <c r="C106" t="s">
        <v>38</v>
      </c>
      <c r="D106" t="s">
        <v>385</v>
      </c>
      <c r="E106">
        <v>2015</v>
      </c>
      <c r="F106" t="s">
        <v>386</v>
      </c>
      <c r="G106" t="s">
        <v>387</v>
      </c>
      <c r="H106" t="s">
        <v>58</v>
      </c>
      <c r="K106" t="s">
        <v>90</v>
      </c>
      <c r="L106" t="s">
        <v>388</v>
      </c>
      <c r="M106" t="s">
        <v>47</v>
      </c>
      <c r="N106">
        <v>160000</v>
      </c>
      <c r="O106">
        <v>24492</v>
      </c>
      <c r="P106">
        <v>135508</v>
      </c>
      <c r="Q106" t="s">
        <v>389</v>
      </c>
      <c r="R106" t="s">
        <v>387</v>
      </c>
      <c r="S106" s="2" t="s">
        <v>49</v>
      </c>
      <c r="T106">
        <v>302267</v>
      </c>
      <c r="U106" t="s">
        <v>50</v>
      </c>
      <c r="V106">
        <v>2015</v>
      </c>
      <c r="W106">
        <v>357</v>
      </c>
      <c r="X106" t="s">
        <v>93</v>
      </c>
      <c r="Y106">
        <v>33</v>
      </c>
      <c r="Z106">
        <v>33</v>
      </c>
      <c r="AA106">
        <v>77</v>
      </c>
      <c r="AB106">
        <v>77</v>
      </c>
      <c r="AC106" s="2" t="s">
        <v>49</v>
      </c>
      <c r="AD106">
        <v>212362</v>
      </c>
      <c r="AE106" t="s">
        <v>50</v>
      </c>
      <c r="AF106">
        <v>2014</v>
      </c>
      <c r="AG106">
        <v>357</v>
      </c>
      <c r="AH106" t="s">
        <v>93</v>
      </c>
      <c r="AI106">
        <v>33</v>
      </c>
      <c r="AJ106">
        <v>33</v>
      </c>
      <c r="AK106">
        <v>77</v>
      </c>
      <c r="AL106">
        <v>77</v>
      </c>
      <c r="AM106" s="2" t="s">
        <v>49</v>
      </c>
      <c r="AN106">
        <v>11280</v>
      </c>
      <c r="AO106" t="s">
        <v>50</v>
      </c>
      <c r="AP106">
        <v>1998</v>
      </c>
      <c r="AQ106">
        <v>357</v>
      </c>
      <c r="AR106" t="s">
        <v>93</v>
      </c>
      <c r="AS106">
        <v>33</v>
      </c>
      <c r="AT106">
        <v>33</v>
      </c>
      <c r="AU106">
        <v>74</v>
      </c>
      <c r="AV106">
        <v>74</v>
      </c>
      <c r="AW106" s="2" t="s">
        <v>49</v>
      </c>
      <c r="AX106">
        <v>460020</v>
      </c>
      <c r="AY106" t="s">
        <v>62</v>
      </c>
      <c r="AZ106">
        <v>2013</v>
      </c>
      <c r="BA106">
        <v>357</v>
      </c>
      <c r="BB106" t="s">
        <v>93</v>
      </c>
      <c r="BC106">
        <v>33</v>
      </c>
      <c r="BD106">
        <v>33</v>
      </c>
      <c r="BE106">
        <v>75</v>
      </c>
      <c r="BF106">
        <v>75</v>
      </c>
      <c r="BG106" s="2" t="s">
        <v>49</v>
      </c>
      <c r="BH106">
        <v>34753</v>
      </c>
      <c r="BI106" t="s">
        <v>50</v>
      </c>
      <c r="BJ106">
        <v>2014</v>
      </c>
      <c r="BM106" s="2" t="s">
        <v>49</v>
      </c>
      <c r="BN106">
        <v>35629</v>
      </c>
      <c r="BO106" t="s">
        <v>50</v>
      </c>
      <c r="BP106">
        <v>2014</v>
      </c>
      <c r="BS106" s="2" t="s">
        <v>49</v>
      </c>
      <c r="BT106">
        <v>204</v>
      </c>
      <c r="BU106" t="s">
        <v>50</v>
      </c>
      <c r="BV106">
        <v>2015</v>
      </c>
      <c r="BY106" s="2" t="s">
        <v>49</v>
      </c>
      <c r="BZ106">
        <v>1396</v>
      </c>
      <c r="CA106" t="s">
        <v>50</v>
      </c>
      <c r="CB106">
        <v>2015</v>
      </c>
      <c r="CE106" s="2" t="s">
        <v>49</v>
      </c>
      <c r="CF106">
        <v>2285</v>
      </c>
      <c r="CG106" t="s">
        <v>50</v>
      </c>
      <c r="CH106">
        <v>2015</v>
      </c>
      <c r="CK106" s="2" t="s">
        <v>49</v>
      </c>
      <c r="CL106">
        <v>1583</v>
      </c>
      <c r="CM106" t="s">
        <v>50</v>
      </c>
      <c r="CN106">
        <v>2015</v>
      </c>
    </row>
    <row r="107" spans="1:92" x14ac:dyDescent="0.25">
      <c r="A107">
        <v>77221927</v>
      </c>
      <c r="B107" s="3" t="s">
        <v>37</v>
      </c>
      <c r="C107" t="s">
        <v>38</v>
      </c>
      <c r="D107" t="s">
        <v>39</v>
      </c>
      <c r="E107">
        <v>2011</v>
      </c>
      <c r="F107" t="s">
        <v>40</v>
      </c>
      <c r="G107" t="s">
        <v>390</v>
      </c>
      <c r="H107" t="s">
        <v>294</v>
      </c>
      <c r="I107" t="s">
        <v>391</v>
      </c>
      <c r="J107" t="s">
        <v>58</v>
      </c>
      <c r="K107" t="s">
        <v>45</v>
      </c>
      <c r="L107" t="s">
        <v>392</v>
      </c>
      <c r="M107" t="s">
        <v>47</v>
      </c>
      <c r="N107">
        <v>160000</v>
      </c>
      <c r="O107">
        <v>19494</v>
      </c>
      <c r="P107">
        <v>140506</v>
      </c>
      <c r="Q107" t="s">
        <v>393</v>
      </c>
      <c r="R107" t="s">
        <v>391</v>
      </c>
      <c r="S107" s="2" t="s">
        <v>49</v>
      </c>
      <c r="T107">
        <v>283784</v>
      </c>
      <c r="U107" t="s">
        <v>50</v>
      </c>
      <c r="V107">
        <v>2011</v>
      </c>
      <c r="W107">
        <v>357</v>
      </c>
      <c r="X107" t="s">
        <v>151</v>
      </c>
      <c r="Y107">
        <v>33</v>
      </c>
      <c r="Z107">
        <v>33</v>
      </c>
      <c r="AA107">
        <v>74</v>
      </c>
      <c r="AB107">
        <v>74</v>
      </c>
      <c r="AC107" s="2" t="s">
        <v>49</v>
      </c>
      <c r="AD107">
        <v>313587</v>
      </c>
      <c r="AE107" t="s">
        <v>50</v>
      </c>
      <c r="AF107">
        <v>2013</v>
      </c>
      <c r="AG107">
        <v>357</v>
      </c>
      <c r="AH107" t="s">
        <v>151</v>
      </c>
      <c r="AI107">
        <v>33</v>
      </c>
      <c r="AJ107">
        <v>33</v>
      </c>
      <c r="AK107">
        <v>74</v>
      </c>
      <c r="AL107">
        <v>73</v>
      </c>
      <c r="AM107" s="2" t="s">
        <v>49</v>
      </c>
      <c r="AN107">
        <v>283990</v>
      </c>
      <c r="AO107" t="s">
        <v>50</v>
      </c>
      <c r="AP107">
        <v>2011</v>
      </c>
      <c r="AQ107">
        <v>357</v>
      </c>
      <c r="AR107" t="s">
        <v>151</v>
      </c>
      <c r="AS107">
        <v>33</v>
      </c>
      <c r="AT107">
        <v>33</v>
      </c>
      <c r="AU107">
        <v>74</v>
      </c>
      <c r="AV107">
        <v>73</v>
      </c>
      <c r="AW107" s="2" t="s">
        <v>49</v>
      </c>
      <c r="AX107">
        <v>283994</v>
      </c>
      <c r="AY107" t="s">
        <v>50</v>
      </c>
      <c r="AZ107">
        <v>2011</v>
      </c>
      <c r="BA107">
        <v>357</v>
      </c>
      <c r="BB107" t="s">
        <v>151</v>
      </c>
      <c r="BC107">
        <v>33</v>
      </c>
      <c r="BD107">
        <v>33</v>
      </c>
      <c r="BE107">
        <v>74</v>
      </c>
      <c r="BF107">
        <v>73</v>
      </c>
      <c r="BG107" s="2" t="s">
        <v>49</v>
      </c>
      <c r="BH107">
        <v>37258</v>
      </c>
      <c r="BI107" t="s">
        <v>50</v>
      </c>
      <c r="BJ107">
        <v>2011</v>
      </c>
      <c r="BM107" s="2" t="s">
        <v>49</v>
      </c>
      <c r="BN107">
        <v>36576</v>
      </c>
      <c r="BO107" t="s">
        <v>50</v>
      </c>
      <c r="BP107">
        <v>2011</v>
      </c>
      <c r="BS107" s="2" t="s">
        <v>49</v>
      </c>
      <c r="BT107">
        <v>64521</v>
      </c>
      <c r="BU107" t="s">
        <v>50</v>
      </c>
      <c r="BV107">
        <v>2011</v>
      </c>
      <c r="BY107" s="2" t="s">
        <v>49</v>
      </c>
      <c r="BZ107">
        <v>35668</v>
      </c>
      <c r="CA107" t="s">
        <v>50</v>
      </c>
      <c r="CB107">
        <v>2011</v>
      </c>
      <c r="CE107" s="2" t="s">
        <v>49</v>
      </c>
      <c r="CF107">
        <v>65097</v>
      </c>
      <c r="CG107" t="s">
        <v>50</v>
      </c>
      <c r="CH107">
        <v>2011</v>
      </c>
      <c r="CK107" s="2" t="s">
        <v>49</v>
      </c>
      <c r="CL107">
        <v>65680</v>
      </c>
      <c r="CM107" t="s">
        <v>50</v>
      </c>
      <c r="CN107">
        <v>2011</v>
      </c>
    </row>
    <row r="108" spans="1:92" x14ac:dyDescent="0.25">
      <c r="A108">
        <v>77206043</v>
      </c>
      <c r="B108" s="3" t="s">
        <v>37</v>
      </c>
      <c r="C108" t="s">
        <v>53</v>
      </c>
      <c r="D108" t="s">
        <v>54</v>
      </c>
      <c r="E108">
        <v>2013</v>
      </c>
      <c r="F108" t="s">
        <v>55</v>
      </c>
      <c r="G108" t="s">
        <v>394</v>
      </c>
      <c r="H108" t="s">
        <v>42</v>
      </c>
      <c r="I108" t="s">
        <v>395</v>
      </c>
      <c r="J108" t="s">
        <v>42</v>
      </c>
      <c r="K108" t="s">
        <v>45</v>
      </c>
      <c r="L108" t="s">
        <v>396</v>
      </c>
      <c r="M108" t="s">
        <v>47</v>
      </c>
      <c r="N108">
        <v>160000</v>
      </c>
      <c r="O108">
        <v>27738</v>
      </c>
      <c r="P108">
        <v>132262</v>
      </c>
      <c r="Q108" t="s">
        <v>397</v>
      </c>
      <c r="R108" t="s">
        <v>394</v>
      </c>
      <c r="S108" s="2" t="s">
        <v>49</v>
      </c>
      <c r="T108">
        <v>44844</v>
      </c>
      <c r="U108" t="s">
        <v>85</v>
      </c>
      <c r="V108">
        <v>1985</v>
      </c>
      <c r="W108">
        <v>301</v>
      </c>
      <c r="X108" t="s">
        <v>334</v>
      </c>
      <c r="Y108">
        <v>33</v>
      </c>
      <c r="Z108">
        <v>32</v>
      </c>
      <c r="AA108">
        <v>68</v>
      </c>
      <c r="AB108">
        <v>68</v>
      </c>
      <c r="AC108" s="2" t="s">
        <v>49</v>
      </c>
      <c r="AD108">
        <v>846740</v>
      </c>
      <c r="AE108" t="s">
        <v>62</v>
      </c>
      <c r="AF108">
        <v>2010</v>
      </c>
      <c r="AG108">
        <v>301</v>
      </c>
      <c r="AH108" t="s">
        <v>334</v>
      </c>
      <c r="AI108">
        <v>33</v>
      </c>
      <c r="AJ108">
        <v>32</v>
      </c>
      <c r="AK108">
        <v>66</v>
      </c>
      <c r="AL108">
        <v>66</v>
      </c>
      <c r="AM108" s="2" t="s">
        <v>49</v>
      </c>
      <c r="AN108">
        <v>5314</v>
      </c>
      <c r="AO108">
        <v>1175</v>
      </c>
      <c r="AP108">
        <v>2007</v>
      </c>
      <c r="AQ108">
        <v>301</v>
      </c>
      <c r="AR108" t="s">
        <v>334</v>
      </c>
      <c r="AS108">
        <v>30</v>
      </c>
      <c r="AT108">
        <v>31</v>
      </c>
      <c r="AU108">
        <v>56</v>
      </c>
      <c r="AV108">
        <v>56</v>
      </c>
      <c r="AW108" s="2" t="s">
        <v>49</v>
      </c>
      <c r="AX108">
        <v>716466</v>
      </c>
      <c r="AY108" t="s">
        <v>62</v>
      </c>
      <c r="AZ108">
        <v>1997</v>
      </c>
      <c r="BA108">
        <v>301</v>
      </c>
      <c r="BB108" t="s">
        <v>334</v>
      </c>
      <c r="BC108">
        <v>33</v>
      </c>
      <c r="BD108">
        <v>32</v>
      </c>
      <c r="BE108">
        <v>63</v>
      </c>
      <c r="BF108">
        <v>63</v>
      </c>
      <c r="BG108" s="2" t="s">
        <v>49</v>
      </c>
      <c r="BH108">
        <v>13578</v>
      </c>
      <c r="BI108">
        <v>1291</v>
      </c>
      <c r="BJ108">
        <v>2013</v>
      </c>
      <c r="BM108" s="2" t="s">
        <v>49</v>
      </c>
      <c r="BN108">
        <v>52109</v>
      </c>
      <c r="BO108">
        <v>1291</v>
      </c>
      <c r="BP108">
        <v>2013</v>
      </c>
      <c r="BS108" s="2" t="s">
        <v>49</v>
      </c>
      <c r="BT108">
        <v>39383</v>
      </c>
      <c r="BU108">
        <v>1291</v>
      </c>
      <c r="BV108">
        <v>2013</v>
      </c>
      <c r="BY108" s="2" t="s">
        <v>49</v>
      </c>
      <c r="BZ108">
        <v>40264</v>
      </c>
      <c r="CA108">
        <v>1291</v>
      </c>
      <c r="CB108">
        <v>2013</v>
      </c>
      <c r="CE108" s="2" t="s">
        <v>49</v>
      </c>
      <c r="CF108">
        <v>41649</v>
      </c>
      <c r="CG108">
        <v>1291</v>
      </c>
      <c r="CH108">
        <v>2013</v>
      </c>
      <c r="CK108" s="2" t="s">
        <v>49</v>
      </c>
      <c r="CL108">
        <v>41630</v>
      </c>
      <c r="CM108">
        <v>1291</v>
      </c>
      <c r="CN108">
        <v>2013</v>
      </c>
    </row>
    <row r="109" spans="1:92" x14ac:dyDescent="0.25">
      <c r="A109">
        <v>77223824</v>
      </c>
      <c r="B109" s="3" t="s">
        <v>37</v>
      </c>
      <c r="C109" t="s">
        <v>38</v>
      </c>
      <c r="D109" t="s">
        <v>267</v>
      </c>
      <c r="E109">
        <v>2011</v>
      </c>
      <c r="F109" t="s">
        <v>268</v>
      </c>
      <c r="G109" t="s">
        <v>398</v>
      </c>
      <c r="H109" t="s">
        <v>42</v>
      </c>
      <c r="I109" t="s">
        <v>399</v>
      </c>
      <c r="J109" t="s">
        <v>44</v>
      </c>
      <c r="K109" t="s">
        <v>45</v>
      </c>
      <c r="L109" t="s">
        <v>400</v>
      </c>
      <c r="M109" t="s">
        <v>47</v>
      </c>
      <c r="N109">
        <v>160000</v>
      </c>
      <c r="O109">
        <v>280</v>
      </c>
      <c r="P109">
        <v>159720</v>
      </c>
      <c r="Q109" t="s">
        <v>401</v>
      </c>
      <c r="R109" t="s">
        <v>399</v>
      </c>
      <c r="S109" s="2" t="s">
        <v>49</v>
      </c>
      <c r="T109">
        <v>284204</v>
      </c>
      <c r="U109" t="s">
        <v>50</v>
      </c>
      <c r="V109">
        <v>2011</v>
      </c>
      <c r="W109">
        <v>745</v>
      </c>
      <c r="X109" t="s">
        <v>402</v>
      </c>
      <c r="Y109">
        <v>0</v>
      </c>
      <c r="Z109">
        <v>0</v>
      </c>
      <c r="AA109">
        <v>69</v>
      </c>
      <c r="AB109">
        <v>69</v>
      </c>
      <c r="AC109" s="2" t="s">
        <v>49</v>
      </c>
      <c r="AD109">
        <v>285024</v>
      </c>
      <c r="AE109" t="s">
        <v>50</v>
      </c>
      <c r="AF109">
        <v>2011</v>
      </c>
      <c r="AG109">
        <v>745</v>
      </c>
      <c r="AH109" t="s">
        <v>402</v>
      </c>
      <c r="AI109">
        <v>0</v>
      </c>
      <c r="AJ109">
        <v>0</v>
      </c>
      <c r="AK109">
        <v>67</v>
      </c>
      <c r="AL109">
        <v>67</v>
      </c>
      <c r="AM109" s="2" t="s">
        <v>49</v>
      </c>
      <c r="AN109">
        <v>284568</v>
      </c>
      <c r="AO109" t="s">
        <v>50</v>
      </c>
      <c r="AP109">
        <v>2011</v>
      </c>
      <c r="AQ109">
        <v>745</v>
      </c>
      <c r="AR109" t="s">
        <v>402</v>
      </c>
      <c r="AS109">
        <v>0</v>
      </c>
      <c r="AT109">
        <v>0</v>
      </c>
      <c r="AU109">
        <v>58</v>
      </c>
      <c r="AV109">
        <v>58</v>
      </c>
      <c r="AW109" s="2" t="s">
        <v>49</v>
      </c>
      <c r="AX109">
        <v>320517</v>
      </c>
      <c r="AY109" t="s">
        <v>50</v>
      </c>
      <c r="AZ109">
        <v>2013</v>
      </c>
      <c r="BA109">
        <v>745</v>
      </c>
      <c r="BB109" t="s">
        <v>402</v>
      </c>
      <c r="BC109">
        <v>0</v>
      </c>
      <c r="BD109">
        <v>0</v>
      </c>
      <c r="BE109">
        <v>60</v>
      </c>
      <c r="BF109">
        <v>60</v>
      </c>
      <c r="BG109" s="2" t="s">
        <v>49</v>
      </c>
      <c r="BH109">
        <v>37488</v>
      </c>
      <c r="BI109" t="s">
        <v>50</v>
      </c>
      <c r="BJ109">
        <v>2011</v>
      </c>
      <c r="BM109" s="2" t="s">
        <v>49</v>
      </c>
      <c r="BN109">
        <v>37338</v>
      </c>
      <c r="BO109" t="s">
        <v>50</v>
      </c>
      <c r="BP109">
        <v>2011</v>
      </c>
      <c r="BS109" s="2" t="s">
        <v>49</v>
      </c>
      <c r="BT109">
        <v>66149</v>
      </c>
      <c r="BU109" t="s">
        <v>50</v>
      </c>
      <c r="BV109">
        <v>2011</v>
      </c>
      <c r="BY109" s="2" t="s">
        <v>49</v>
      </c>
      <c r="BZ109">
        <v>65959</v>
      </c>
      <c r="CA109" t="s">
        <v>50</v>
      </c>
      <c r="CB109">
        <v>2011</v>
      </c>
      <c r="CE109" s="2" t="s">
        <v>49</v>
      </c>
      <c r="CF109">
        <v>64475</v>
      </c>
      <c r="CG109" t="s">
        <v>50</v>
      </c>
      <c r="CH109">
        <v>2011</v>
      </c>
      <c r="CK109" s="2" t="s">
        <v>49</v>
      </c>
      <c r="CL109">
        <v>65045</v>
      </c>
      <c r="CM109" t="s">
        <v>50</v>
      </c>
      <c r="CN109">
        <v>2011</v>
      </c>
    </row>
    <row r="110" spans="1:92" x14ac:dyDescent="0.25">
      <c r="A110">
        <v>77224517</v>
      </c>
      <c r="B110" s="3" t="s">
        <v>37</v>
      </c>
      <c r="C110" t="s">
        <v>38</v>
      </c>
      <c r="D110" t="s">
        <v>39</v>
      </c>
      <c r="E110">
        <v>2011</v>
      </c>
      <c r="F110" t="s">
        <v>40</v>
      </c>
      <c r="G110" t="s">
        <v>403</v>
      </c>
      <c r="H110" t="s">
        <v>42</v>
      </c>
      <c r="I110" t="s">
        <v>404</v>
      </c>
      <c r="J110" t="s">
        <v>44</v>
      </c>
      <c r="K110" t="s">
        <v>45</v>
      </c>
      <c r="L110" t="s">
        <v>405</v>
      </c>
      <c r="M110" t="s">
        <v>47</v>
      </c>
      <c r="N110">
        <v>160000</v>
      </c>
      <c r="O110">
        <v>280</v>
      </c>
      <c r="P110">
        <v>159720</v>
      </c>
      <c r="Q110" t="s">
        <v>406</v>
      </c>
      <c r="R110" t="s">
        <v>404</v>
      </c>
      <c r="S110" s="2" t="s">
        <v>49</v>
      </c>
      <c r="T110">
        <v>9172</v>
      </c>
      <c r="U110" t="s">
        <v>85</v>
      </c>
      <c r="V110">
        <v>1989</v>
      </c>
      <c r="W110">
        <v>745</v>
      </c>
      <c r="X110" t="s">
        <v>66</v>
      </c>
      <c r="Y110">
        <v>0</v>
      </c>
      <c r="Z110">
        <v>0</v>
      </c>
      <c r="AA110">
        <v>66</v>
      </c>
      <c r="AB110">
        <v>66</v>
      </c>
      <c r="AC110" s="2" t="s">
        <v>49</v>
      </c>
      <c r="AD110">
        <v>271439</v>
      </c>
      <c r="AE110" t="s">
        <v>50</v>
      </c>
      <c r="AF110">
        <v>2011</v>
      </c>
      <c r="AG110">
        <v>745</v>
      </c>
      <c r="AH110" t="s">
        <v>66</v>
      </c>
      <c r="AI110">
        <v>0</v>
      </c>
      <c r="AJ110">
        <v>0</v>
      </c>
      <c r="AK110">
        <v>67</v>
      </c>
      <c r="AL110">
        <v>67</v>
      </c>
      <c r="AM110" s="2" t="s">
        <v>49</v>
      </c>
      <c r="AN110">
        <v>284801</v>
      </c>
      <c r="AO110" t="s">
        <v>50</v>
      </c>
      <c r="AP110">
        <v>2011</v>
      </c>
      <c r="AQ110">
        <v>745</v>
      </c>
      <c r="AR110" t="s">
        <v>66</v>
      </c>
      <c r="AS110">
        <v>0</v>
      </c>
      <c r="AT110">
        <v>0</v>
      </c>
      <c r="AU110">
        <v>69</v>
      </c>
      <c r="AV110">
        <v>69</v>
      </c>
      <c r="AW110" s="2" t="s">
        <v>49</v>
      </c>
      <c r="AX110">
        <v>282917</v>
      </c>
      <c r="AY110" t="s">
        <v>50</v>
      </c>
      <c r="AZ110">
        <v>2011</v>
      </c>
      <c r="BA110">
        <v>745</v>
      </c>
      <c r="BB110" t="s">
        <v>66</v>
      </c>
      <c r="BC110">
        <v>0</v>
      </c>
      <c r="BD110">
        <v>0</v>
      </c>
      <c r="BE110">
        <v>68</v>
      </c>
      <c r="BF110">
        <v>68</v>
      </c>
      <c r="BG110" s="2" t="s">
        <v>49</v>
      </c>
      <c r="BH110">
        <v>34411</v>
      </c>
      <c r="BI110" t="s">
        <v>50</v>
      </c>
      <c r="BJ110">
        <v>2011</v>
      </c>
      <c r="BM110" s="2" t="s">
        <v>49</v>
      </c>
      <c r="BN110">
        <v>34383</v>
      </c>
      <c r="BO110" t="s">
        <v>50</v>
      </c>
      <c r="BP110">
        <v>2011</v>
      </c>
      <c r="BS110" s="2" t="s">
        <v>49</v>
      </c>
      <c r="BT110">
        <v>82091</v>
      </c>
      <c r="BU110" t="s">
        <v>50</v>
      </c>
      <c r="BV110">
        <v>2013</v>
      </c>
      <c r="BY110" s="2" t="s">
        <v>49</v>
      </c>
      <c r="BZ110">
        <v>59886</v>
      </c>
      <c r="CA110" t="s">
        <v>50</v>
      </c>
      <c r="CB110">
        <v>2011</v>
      </c>
      <c r="CE110" s="2" t="s">
        <v>49</v>
      </c>
      <c r="CF110">
        <v>59673</v>
      </c>
      <c r="CG110" t="s">
        <v>50</v>
      </c>
      <c r="CH110">
        <v>2011</v>
      </c>
      <c r="CK110" s="2" t="s">
        <v>49</v>
      </c>
      <c r="CL110">
        <v>58793</v>
      </c>
      <c r="CM110" t="s">
        <v>50</v>
      </c>
      <c r="CN110">
        <v>2011</v>
      </c>
    </row>
    <row r="111" spans="1:92" x14ac:dyDescent="0.25">
      <c r="A111">
        <v>77228989</v>
      </c>
      <c r="B111" s="3" t="s">
        <v>37</v>
      </c>
      <c r="C111" t="s">
        <v>103</v>
      </c>
      <c r="D111" t="s">
        <v>326</v>
      </c>
      <c r="E111">
        <v>2015</v>
      </c>
      <c r="F111" t="s">
        <v>327</v>
      </c>
      <c r="G111" t="s">
        <v>407</v>
      </c>
      <c r="H111" t="s">
        <v>42</v>
      </c>
      <c r="K111" t="s">
        <v>45</v>
      </c>
      <c r="L111" t="s">
        <v>408</v>
      </c>
      <c r="M111" t="s">
        <v>47</v>
      </c>
      <c r="N111">
        <v>160000</v>
      </c>
      <c r="O111">
        <v>105345</v>
      </c>
      <c r="P111">
        <v>54655</v>
      </c>
      <c r="Q111" t="s">
        <v>168</v>
      </c>
      <c r="R111" t="s">
        <v>409</v>
      </c>
      <c r="S111" s="2" t="s">
        <v>49</v>
      </c>
      <c r="T111">
        <v>301227</v>
      </c>
      <c r="U111" t="s">
        <v>50</v>
      </c>
      <c r="V111">
        <v>2015</v>
      </c>
      <c r="W111">
        <v>3018</v>
      </c>
      <c r="X111" t="s">
        <v>230</v>
      </c>
      <c r="Y111">
        <v>0</v>
      </c>
      <c r="Z111">
        <v>0</v>
      </c>
      <c r="AA111">
        <v>33</v>
      </c>
      <c r="AB111">
        <v>33</v>
      </c>
      <c r="AC111" s="2" t="s">
        <v>49</v>
      </c>
      <c r="AD111">
        <v>301115</v>
      </c>
      <c r="AE111" t="s">
        <v>50</v>
      </c>
      <c r="AF111">
        <v>2015</v>
      </c>
      <c r="AG111">
        <v>3018</v>
      </c>
      <c r="AH111" t="s">
        <v>230</v>
      </c>
      <c r="AI111">
        <v>0</v>
      </c>
      <c r="AJ111">
        <v>0</v>
      </c>
      <c r="AK111">
        <v>38</v>
      </c>
      <c r="AL111">
        <v>38</v>
      </c>
      <c r="AM111" s="2" t="s">
        <v>49</v>
      </c>
      <c r="AN111">
        <v>205969</v>
      </c>
      <c r="AO111" t="s">
        <v>50</v>
      </c>
      <c r="AP111">
        <v>2014</v>
      </c>
      <c r="AQ111">
        <v>3018</v>
      </c>
      <c r="AR111" t="s">
        <v>230</v>
      </c>
      <c r="AS111">
        <v>0</v>
      </c>
      <c r="AT111">
        <v>0</v>
      </c>
      <c r="AU111">
        <v>39</v>
      </c>
      <c r="AV111">
        <v>39</v>
      </c>
      <c r="AW111" s="2" t="s">
        <v>49</v>
      </c>
      <c r="AX111">
        <v>205313</v>
      </c>
      <c r="AY111" t="s">
        <v>50</v>
      </c>
      <c r="AZ111">
        <v>2014</v>
      </c>
      <c r="BA111">
        <v>3018</v>
      </c>
      <c r="BB111" t="s">
        <v>230</v>
      </c>
      <c r="BC111">
        <v>0</v>
      </c>
      <c r="BD111">
        <v>0</v>
      </c>
      <c r="BE111">
        <v>41</v>
      </c>
      <c r="BF111">
        <v>41</v>
      </c>
      <c r="BG111" s="2" t="s">
        <v>49</v>
      </c>
      <c r="BH111">
        <v>830</v>
      </c>
      <c r="BI111" t="s">
        <v>50</v>
      </c>
      <c r="BJ111">
        <v>2015</v>
      </c>
      <c r="BM111" s="2" t="s">
        <v>49</v>
      </c>
      <c r="BN111">
        <v>915</v>
      </c>
      <c r="BO111" t="s">
        <v>50</v>
      </c>
      <c r="BP111">
        <v>2015</v>
      </c>
      <c r="BS111" s="2" t="s">
        <v>49</v>
      </c>
      <c r="BT111">
        <v>1480</v>
      </c>
      <c r="BU111" t="s">
        <v>50</v>
      </c>
      <c r="BV111">
        <v>2015</v>
      </c>
      <c r="BY111" s="2" t="s">
        <v>49</v>
      </c>
      <c r="BZ111">
        <v>2601</v>
      </c>
      <c r="CA111" t="s">
        <v>50</v>
      </c>
      <c r="CB111">
        <v>2015</v>
      </c>
      <c r="CE111" s="2" t="s">
        <v>49</v>
      </c>
      <c r="CF111">
        <v>1450</v>
      </c>
      <c r="CG111" t="s">
        <v>50</v>
      </c>
      <c r="CH111">
        <v>2015</v>
      </c>
      <c r="CK111" s="2" t="s">
        <v>49</v>
      </c>
      <c r="CL111">
        <v>95013</v>
      </c>
      <c r="CM111" t="s">
        <v>50</v>
      </c>
      <c r="CN111">
        <v>2015</v>
      </c>
    </row>
    <row r="112" spans="1:92" x14ac:dyDescent="0.25">
      <c r="A112">
        <v>77223832</v>
      </c>
      <c r="B112" s="3" t="s">
        <v>37</v>
      </c>
      <c r="C112" t="s">
        <v>103</v>
      </c>
      <c r="D112" t="s">
        <v>410</v>
      </c>
      <c r="E112">
        <v>2011</v>
      </c>
      <c r="F112" t="s">
        <v>411</v>
      </c>
      <c r="G112" t="s">
        <v>412</v>
      </c>
      <c r="H112" t="s">
        <v>42</v>
      </c>
      <c r="I112" t="s">
        <v>413</v>
      </c>
      <c r="J112" t="s">
        <v>44</v>
      </c>
      <c r="K112" t="s">
        <v>45</v>
      </c>
      <c r="L112" t="s">
        <v>414</v>
      </c>
      <c r="M112" t="s">
        <v>47</v>
      </c>
      <c r="N112">
        <v>160000</v>
      </c>
      <c r="O112">
        <v>280</v>
      </c>
      <c r="P112">
        <v>159720</v>
      </c>
      <c r="Q112" t="s">
        <v>415</v>
      </c>
      <c r="R112" t="s">
        <v>413</v>
      </c>
      <c r="S112" s="2" t="s">
        <v>49</v>
      </c>
      <c r="T112">
        <v>281811</v>
      </c>
      <c r="U112" t="s">
        <v>50</v>
      </c>
      <c r="V112">
        <v>2011</v>
      </c>
      <c r="W112">
        <v>745</v>
      </c>
      <c r="X112" t="s">
        <v>66</v>
      </c>
      <c r="Y112">
        <v>0</v>
      </c>
      <c r="Z112">
        <v>0</v>
      </c>
      <c r="AA112">
        <v>75</v>
      </c>
      <c r="AB112">
        <v>75</v>
      </c>
      <c r="AC112" s="2" t="s">
        <v>49</v>
      </c>
      <c r="AD112">
        <v>285957</v>
      </c>
      <c r="AE112" t="s">
        <v>50</v>
      </c>
      <c r="AF112">
        <v>2011</v>
      </c>
      <c r="AG112">
        <v>745</v>
      </c>
      <c r="AH112" t="s">
        <v>66</v>
      </c>
      <c r="AI112">
        <v>0</v>
      </c>
      <c r="AJ112">
        <v>0</v>
      </c>
      <c r="AK112">
        <v>75</v>
      </c>
      <c r="AL112">
        <v>75</v>
      </c>
      <c r="AM112" s="2" t="s">
        <v>49</v>
      </c>
      <c r="AN112">
        <v>271587</v>
      </c>
      <c r="AO112" t="s">
        <v>50</v>
      </c>
      <c r="AP112">
        <v>2011</v>
      </c>
      <c r="AQ112">
        <v>745</v>
      </c>
      <c r="AR112" t="s">
        <v>66</v>
      </c>
      <c r="AS112">
        <v>0</v>
      </c>
      <c r="AT112">
        <v>0</v>
      </c>
      <c r="AU112">
        <v>75</v>
      </c>
      <c r="AV112">
        <v>75</v>
      </c>
      <c r="AW112" s="2" t="s">
        <v>49</v>
      </c>
      <c r="AX112">
        <v>271475</v>
      </c>
      <c r="AY112" t="s">
        <v>50</v>
      </c>
      <c r="AZ112">
        <v>2011</v>
      </c>
      <c r="BA112">
        <v>745</v>
      </c>
      <c r="BB112" t="s">
        <v>66</v>
      </c>
      <c r="BC112">
        <v>0</v>
      </c>
      <c r="BD112">
        <v>0</v>
      </c>
      <c r="BE112">
        <v>76</v>
      </c>
      <c r="BF112">
        <v>76</v>
      </c>
      <c r="BG112" s="2" t="s">
        <v>49</v>
      </c>
      <c r="BH112">
        <v>36966</v>
      </c>
      <c r="BI112" t="s">
        <v>50</v>
      </c>
      <c r="BJ112">
        <v>2011</v>
      </c>
      <c r="BM112" s="2" t="s">
        <v>49</v>
      </c>
      <c r="BN112">
        <v>37287</v>
      </c>
      <c r="BO112" t="s">
        <v>50</v>
      </c>
      <c r="BP112">
        <v>2011</v>
      </c>
      <c r="BS112" s="2" t="s">
        <v>49</v>
      </c>
      <c r="BT112">
        <v>64479</v>
      </c>
      <c r="BU112" t="s">
        <v>50</v>
      </c>
      <c r="BV112">
        <v>2011</v>
      </c>
      <c r="BY112" s="2" t="s">
        <v>49</v>
      </c>
      <c r="BZ112">
        <v>62553</v>
      </c>
      <c r="CA112" t="s">
        <v>50</v>
      </c>
      <c r="CB112">
        <v>2011</v>
      </c>
      <c r="CE112" s="2" t="s">
        <v>49</v>
      </c>
      <c r="CF112">
        <v>64448</v>
      </c>
      <c r="CG112" t="s">
        <v>50</v>
      </c>
      <c r="CH112">
        <v>2011</v>
      </c>
      <c r="CK112" s="2" t="s">
        <v>49</v>
      </c>
      <c r="CL112">
        <v>65677</v>
      </c>
      <c r="CM112" t="s">
        <v>50</v>
      </c>
      <c r="CN112">
        <v>2011</v>
      </c>
    </row>
    <row r="113" spans="1:92" x14ac:dyDescent="0.25">
      <c r="A113">
        <v>77224483</v>
      </c>
      <c r="B113" s="3" t="s">
        <v>37</v>
      </c>
      <c r="C113" t="s">
        <v>38</v>
      </c>
      <c r="D113" t="s">
        <v>94</v>
      </c>
      <c r="E113">
        <v>2011</v>
      </c>
      <c r="F113" t="s">
        <v>95</v>
      </c>
      <c r="G113" t="s">
        <v>412</v>
      </c>
      <c r="H113" t="s">
        <v>68</v>
      </c>
      <c r="I113" t="s">
        <v>141</v>
      </c>
      <c r="J113" t="s">
        <v>44</v>
      </c>
      <c r="K113" t="s">
        <v>45</v>
      </c>
      <c r="L113" t="s">
        <v>142</v>
      </c>
      <c r="M113" t="s">
        <v>47</v>
      </c>
      <c r="N113">
        <v>160000</v>
      </c>
      <c r="O113">
        <v>3425</v>
      </c>
      <c r="P113">
        <v>156575</v>
      </c>
      <c r="Q113" t="s">
        <v>416</v>
      </c>
      <c r="R113" t="s">
        <v>141</v>
      </c>
      <c r="S113" s="2" t="s">
        <v>49</v>
      </c>
      <c r="T113">
        <v>285409</v>
      </c>
      <c r="U113" t="s">
        <v>50</v>
      </c>
      <c r="V113">
        <v>2011</v>
      </c>
      <c r="W113">
        <v>745</v>
      </c>
      <c r="X113" t="s">
        <v>51</v>
      </c>
      <c r="Y113">
        <v>0</v>
      </c>
      <c r="Z113">
        <v>0</v>
      </c>
      <c r="AA113">
        <v>74</v>
      </c>
      <c r="AB113">
        <v>74</v>
      </c>
      <c r="AC113" s="2" t="s">
        <v>49</v>
      </c>
      <c r="AD113">
        <v>279786</v>
      </c>
      <c r="AE113" t="s">
        <v>50</v>
      </c>
      <c r="AF113">
        <v>2011</v>
      </c>
      <c r="AG113">
        <v>745</v>
      </c>
      <c r="AH113" t="s">
        <v>51</v>
      </c>
      <c r="AI113">
        <v>0</v>
      </c>
      <c r="AJ113">
        <v>0</v>
      </c>
      <c r="AK113">
        <v>73</v>
      </c>
      <c r="AL113">
        <v>73</v>
      </c>
      <c r="AM113" s="2" t="s">
        <v>49</v>
      </c>
      <c r="AN113">
        <v>285306</v>
      </c>
      <c r="AO113" t="s">
        <v>50</v>
      </c>
      <c r="AP113">
        <v>2011</v>
      </c>
      <c r="AQ113">
        <v>745</v>
      </c>
      <c r="AR113" t="s">
        <v>51</v>
      </c>
      <c r="AS113">
        <v>0</v>
      </c>
      <c r="AT113">
        <v>0</v>
      </c>
      <c r="AU113">
        <v>72</v>
      </c>
      <c r="AV113">
        <v>72</v>
      </c>
      <c r="AW113" s="2" t="s">
        <v>49</v>
      </c>
      <c r="AX113">
        <v>284179</v>
      </c>
      <c r="AY113" t="s">
        <v>50</v>
      </c>
      <c r="AZ113">
        <v>2011</v>
      </c>
      <c r="BA113">
        <v>745</v>
      </c>
      <c r="BB113" t="s">
        <v>51</v>
      </c>
      <c r="BC113">
        <v>0</v>
      </c>
      <c r="BD113">
        <v>0</v>
      </c>
      <c r="BE113">
        <v>73</v>
      </c>
      <c r="BF113">
        <v>73</v>
      </c>
      <c r="BG113" s="2" t="s">
        <v>49</v>
      </c>
      <c r="BH113">
        <v>37782</v>
      </c>
      <c r="BI113" t="s">
        <v>50</v>
      </c>
      <c r="BJ113">
        <v>2011</v>
      </c>
      <c r="BM113" s="2" t="s">
        <v>49</v>
      </c>
      <c r="BN113">
        <v>37509</v>
      </c>
      <c r="BO113" t="s">
        <v>50</v>
      </c>
      <c r="BP113">
        <v>2011</v>
      </c>
      <c r="BS113" s="2" t="s">
        <v>49</v>
      </c>
      <c r="BT113">
        <v>66295</v>
      </c>
      <c r="BU113" t="s">
        <v>50</v>
      </c>
      <c r="BV113">
        <v>2011</v>
      </c>
      <c r="BY113" s="2" t="s">
        <v>49</v>
      </c>
      <c r="BZ113">
        <v>66489</v>
      </c>
      <c r="CA113" t="s">
        <v>50</v>
      </c>
      <c r="CB113">
        <v>2011</v>
      </c>
      <c r="CE113" s="2" t="s">
        <v>49</v>
      </c>
      <c r="CF113">
        <v>63990</v>
      </c>
      <c r="CG113" t="s">
        <v>50</v>
      </c>
      <c r="CH113">
        <v>2011</v>
      </c>
      <c r="CK113" s="2" t="s">
        <v>49</v>
      </c>
      <c r="CL113">
        <v>63314</v>
      </c>
      <c r="CM113" t="s">
        <v>50</v>
      </c>
      <c r="CN113">
        <v>2011</v>
      </c>
    </row>
    <row r="114" spans="1:92" x14ac:dyDescent="0.25">
      <c r="A114">
        <v>77223907</v>
      </c>
      <c r="B114" s="3" t="s">
        <v>37</v>
      </c>
      <c r="C114" t="s">
        <v>38</v>
      </c>
      <c r="D114" t="s">
        <v>410</v>
      </c>
      <c r="E114">
        <v>2011</v>
      </c>
      <c r="F114" t="s">
        <v>411</v>
      </c>
      <c r="G114" t="s">
        <v>417</v>
      </c>
      <c r="H114" t="s">
        <v>42</v>
      </c>
      <c r="I114" t="s">
        <v>418</v>
      </c>
      <c r="J114" t="s">
        <v>44</v>
      </c>
      <c r="K114" t="s">
        <v>45</v>
      </c>
      <c r="L114" t="s">
        <v>419</v>
      </c>
      <c r="M114" t="s">
        <v>47</v>
      </c>
      <c r="N114">
        <v>160000</v>
      </c>
      <c r="O114">
        <v>280</v>
      </c>
      <c r="P114">
        <v>159720</v>
      </c>
      <c r="Q114" t="s">
        <v>420</v>
      </c>
      <c r="R114" t="s">
        <v>418</v>
      </c>
      <c r="S114" s="2" t="s">
        <v>49</v>
      </c>
      <c r="T114">
        <v>60087</v>
      </c>
      <c r="U114" t="s">
        <v>85</v>
      </c>
      <c r="V114">
        <v>1983</v>
      </c>
      <c r="W114">
        <v>745</v>
      </c>
      <c r="X114" t="s">
        <v>66</v>
      </c>
      <c r="Y114">
        <v>0</v>
      </c>
      <c r="Z114">
        <v>0</v>
      </c>
      <c r="AA114">
        <v>54</v>
      </c>
      <c r="AB114">
        <v>54</v>
      </c>
      <c r="AC114" s="2" t="s">
        <v>49</v>
      </c>
      <c r="AD114">
        <v>312517</v>
      </c>
      <c r="AE114" t="s">
        <v>50</v>
      </c>
      <c r="AF114">
        <v>2011</v>
      </c>
      <c r="AG114">
        <v>745</v>
      </c>
      <c r="AH114" t="s">
        <v>66</v>
      </c>
      <c r="AI114">
        <v>0</v>
      </c>
      <c r="AJ114">
        <v>0</v>
      </c>
      <c r="AK114">
        <v>56</v>
      </c>
      <c r="AL114">
        <v>56</v>
      </c>
      <c r="AM114" s="2" t="s">
        <v>49</v>
      </c>
      <c r="AN114">
        <v>55885</v>
      </c>
      <c r="AO114" t="s">
        <v>85</v>
      </c>
      <c r="AP114">
        <v>1987</v>
      </c>
      <c r="AQ114">
        <v>745</v>
      </c>
      <c r="AR114" t="s">
        <v>66</v>
      </c>
      <c r="AS114">
        <v>0</v>
      </c>
      <c r="AT114">
        <v>0</v>
      </c>
      <c r="AU114">
        <v>58</v>
      </c>
      <c r="AV114">
        <v>58</v>
      </c>
      <c r="AW114" s="2" t="s">
        <v>49</v>
      </c>
      <c r="AX114">
        <v>161312</v>
      </c>
      <c r="AY114" t="s">
        <v>62</v>
      </c>
      <c r="AZ114">
        <v>1992</v>
      </c>
      <c r="BA114">
        <v>745</v>
      </c>
      <c r="BB114" t="s">
        <v>66</v>
      </c>
      <c r="BC114">
        <v>0</v>
      </c>
      <c r="BD114">
        <v>0</v>
      </c>
      <c r="BE114">
        <v>58</v>
      </c>
      <c r="BF114">
        <v>58</v>
      </c>
      <c r="BG114" s="2" t="s">
        <v>49</v>
      </c>
      <c r="BH114">
        <v>63117</v>
      </c>
      <c r="BI114" t="s">
        <v>52</v>
      </c>
      <c r="BJ114">
        <v>2011</v>
      </c>
      <c r="BM114" s="2" t="s">
        <v>49</v>
      </c>
      <c r="BN114">
        <v>60678</v>
      </c>
      <c r="BO114" t="s">
        <v>52</v>
      </c>
      <c r="BP114">
        <v>2011</v>
      </c>
      <c r="BS114" s="2" t="s">
        <v>49</v>
      </c>
      <c r="BT114">
        <v>102547</v>
      </c>
      <c r="BU114" t="s">
        <v>52</v>
      </c>
      <c r="BV114">
        <v>2011</v>
      </c>
      <c r="BY114" s="2" t="s">
        <v>49</v>
      </c>
      <c r="BZ114">
        <v>102184</v>
      </c>
      <c r="CA114" t="s">
        <v>52</v>
      </c>
      <c r="CB114">
        <v>2011</v>
      </c>
      <c r="CE114" s="2" t="s">
        <v>49</v>
      </c>
      <c r="CF114">
        <v>99012</v>
      </c>
      <c r="CG114" t="s">
        <v>52</v>
      </c>
      <c r="CH114">
        <v>2011</v>
      </c>
      <c r="CK114" s="2" t="s">
        <v>49</v>
      </c>
      <c r="CL114">
        <v>101996</v>
      </c>
      <c r="CM114" t="s">
        <v>52</v>
      </c>
      <c r="CN114">
        <v>2011</v>
      </c>
    </row>
    <row r="115" spans="1:92" x14ac:dyDescent="0.25">
      <c r="A115">
        <v>77222107</v>
      </c>
      <c r="B115" s="3" t="s">
        <v>37</v>
      </c>
      <c r="C115" t="s">
        <v>38</v>
      </c>
      <c r="D115" t="s">
        <v>267</v>
      </c>
      <c r="E115">
        <v>2011</v>
      </c>
      <c r="F115" t="s">
        <v>268</v>
      </c>
      <c r="G115" t="s">
        <v>367</v>
      </c>
      <c r="H115" t="s">
        <v>42</v>
      </c>
      <c r="I115" t="s">
        <v>354</v>
      </c>
      <c r="J115" t="s">
        <v>421</v>
      </c>
      <c r="K115" t="s">
        <v>45</v>
      </c>
      <c r="L115" t="s">
        <v>355</v>
      </c>
      <c r="M115" t="s">
        <v>47</v>
      </c>
      <c r="N115">
        <v>160000</v>
      </c>
      <c r="O115">
        <v>362</v>
      </c>
      <c r="P115">
        <v>159638</v>
      </c>
      <c r="Q115" t="s">
        <v>422</v>
      </c>
      <c r="R115" t="s">
        <v>354</v>
      </c>
      <c r="S115" s="2" t="s">
        <v>49</v>
      </c>
      <c r="T115">
        <v>284563</v>
      </c>
      <c r="U115" t="s">
        <v>50</v>
      </c>
      <c r="V115">
        <v>2011</v>
      </c>
      <c r="W115">
        <v>753</v>
      </c>
      <c r="X115" t="s">
        <v>51</v>
      </c>
      <c r="Y115">
        <v>0</v>
      </c>
      <c r="Z115">
        <v>0</v>
      </c>
      <c r="AA115">
        <v>70</v>
      </c>
      <c r="AB115">
        <v>70</v>
      </c>
      <c r="AC115" s="2" t="s">
        <v>49</v>
      </c>
      <c r="AD115">
        <v>286626</v>
      </c>
      <c r="AE115" t="s">
        <v>50</v>
      </c>
      <c r="AF115">
        <v>2011</v>
      </c>
      <c r="AG115">
        <v>753</v>
      </c>
      <c r="AH115" t="s">
        <v>51</v>
      </c>
      <c r="AI115">
        <v>0</v>
      </c>
      <c r="AJ115">
        <v>0</v>
      </c>
      <c r="AK115">
        <v>68</v>
      </c>
      <c r="AL115">
        <v>68</v>
      </c>
      <c r="AM115" s="2" t="s">
        <v>49</v>
      </c>
      <c r="AN115">
        <v>284612</v>
      </c>
      <c r="AO115" t="s">
        <v>50</v>
      </c>
      <c r="AP115">
        <v>2011</v>
      </c>
      <c r="AQ115">
        <v>753</v>
      </c>
      <c r="AR115" t="s">
        <v>51</v>
      </c>
      <c r="AS115">
        <v>0</v>
      </c>
      <c r="AT115">
        <v>0</v>
      </c>
      <c r="AU115">
        <v>68</v>
      </c>
      <c r="AV115">
        <v>68</v>
      </c>
      <c r="AW115" s="2" t="s">
        <v>49</v>
      </c>
      <c r="AX115">
        <v>284469</v>
      </c>
      <c r="AY115" t="s">
        <v>50</v>
      </c>
      <c r="AZ115">
        <v>2011</v>
      </c>
      <c r="BA115">
        <v>753</v>
      </c>
      <c r="BB115" t="s">
        <v>51</v>
      </c>
      <c r="BC115">
        <v>0</v>
      </c>
      <c r="BD115">
        <v>0</v>
      </c>
      <c r="BE115">
        <v>69</v>
      </c>
      <c r="BF115">
        <v>69</v>
      </c>
      <c r="BG115" s="2" t="s">
        <v>49</v>
      </c>
      <c r="BH115">
        <v>37347</v>
      </c>
      <c r="BI115" t="s">
        <v>50</v>
      </c>
      <c r="BJ115">
        <v>2011</v>
      </c>
      <c r="BM115" s="2" t="s">
        <v>49</v>
      </c>
      <c r="BN115">
        <v>37135</v>
      </c>
      <c r="BO115" t="s">
        <v>50</v>
      </c>
      <c r="BP115">
        <v>2011</v>
      </c>
      <c r="BS115" s="2" t="s">
        <v>49</v>
      </c>
      <c r="BT115">
        <v>65623</v>
      </c>
      <c r="BU115" t="s">
        <v>50</v>
      </c>
      <c r="BV115">
        <v>2011</v>
      </c>
      <c r="BY115" s="2" t="s">
        <v>49</v>
      </c>
      <c r="BZ115">
        <v>63814</v>
      </c>
      <c r="CA115" t="s">
        <v>50</v>
      </c>
      <c r="CB115">
        <v>2011</v>
      </c>
      <c r="CE115" s="2" t="s">
        <v>49</v>
      </c>
      <c r="CF115">
        <v>66115</v>
      </c>
      <c r="CG115" t="s">
        <v>50</v>
      </c>
      <c r="CH115">
        <v>2011</v>
      </c>
      <c r="CK115" s="2" t="s">
        <v>49</v>
      </c>
      <c r="CL115">
        <v>65564</v>
      </c>
      <c r="CM115" t="s">
        <v>50</v>
      </c>
      <c r="CN115">
        <v>2011</v>
      </c>
    </row>
    <row r="116" spans="1:92" x14ac:dyDescent="0.25">
      <c r="A116">
        <v>77222032</v>
      </c>
      <c r="B116" s="3" t="s">
        <v>37</v>
      </c>
      <c r="C116" t="s">
        <v>103</v>
      </c>
      <c r="D116" t="s">
        <v>410</v>
      </c>
      <c r="E116">
        <v>2011</v>
      </c>
      <c r="F116" t="s">
        <v>411</v>
      </c>
      <c r="G116" t="s">
        <v>423</v>
      </c>
      <c r="H116" t="s">
        <v>42</v>
      </c>
      <c r="I116" t="s">
        <v>424</v>
      </c>
      <c r="J116" t="s">
        <v>421</v>
      </c>
      <c r="K116" t="s">
        <v>45</v>
      </c>
      <c r="L116" t="s">
        <v>425</v>
      </c>
      <c r="M116" t="s">
        <v>47</v>
      </c>
      <c r="N116">
        <v>160000</v>
      </c>
      <c r="O116">
        <v>362</v>
      </c>
      <c r="P116">
        <v>159638</v>
      </c>
      <c r="Q116" t="s">
        <v>426</v>
      </c>
      <c r="R116" t="s">
        <v>424</v>
      </c>
      <c r="S116" s="2" t="s">
        <v>49</v>
      </c>
      <c r="T116">
        <v>30594</v>
      </c>
      <c r="U116">
        <v>1175</v>
      </c>
      <c r="V116">
        <v>2009</v>
      </c>
      <c r="W116">
        <v>753</v>
      </c>
      <c r="X116" t="s">
        <v>51</v>
      </c>
      <c r="Y116">
        <v>0</v>
      </c>
      <c r="Z116">
        <v>0</v>
      </c>
      <c r="AA116">
        <v>62</v>
      </c>
      <c r="AB116">
        <v>62</v>
      </c>
      <c r="AC116" s="2" t="s">
        <v>49</v>
      </c>
      <c r="AD116">
        <v>285844</v>
      </c>
      <c r="AE116" t="s">
        <v>50</v>
      </c>
      <c r="AF116">
        <v>2011</v>
      </c>
      <c r="AG116">
        <v>753</v>
      </c>
      <c r="AH116" t="s">
        <v>51</v>
      </c>
      <c r="AI116">
        <v>0</v>
      </c>
      <c r="AJ116">
        <v>0</v>
      </c>
      <c r="AK116">
        <v>61</v>
      </c>
      <c r="AL116">
        <v>61</v>
      </c>
      <c r="AM116" s="2" t="s">
        <v>49</v>
      </c>
      <c r="AN116">
        <v>22226</v>
      </c>
      <c r="AO116" t="s">
        <v>62</v>
      </c>
      <c r="AP116">
        <v>2011</v>
      </c>
      <c r="AQ116">
        <v>753</v>
      </c>
      <c r="AR116" t="s">
        <v>51</v>
      </c>
      <c r="AS116">
        <v>0</v>
      </c>
      <c r="AT116">
        <v>0</v>
      </c>
      <c r="AU116">
        <v>58</v>
      </c>
      <c r="AV116">
        <v>58</v>
      </c>
      <c r="AW116" s="2" t="s">
        <v>49</v>
      </c>
      <c r="AX116">
        <v>22036</v>
      </c>
      <c r="AY116" t="s">
        <v>62</v>
      </c>
      <c r="AZ116">
        <v>2011</v>
      </c>
      <c r="BA116">
        <v>753</v>
      </c>
      <c r="BB116" t="s">
        <v>51</v>
      </c>
      <c r="BC116">
        <v>0</v>
      </c>
      <c r="BD116">
        <v>0</v>
      </c>
      <c r="BE116">
        <v>60</v>
      </c>
      <c r="BF116">
        <v>60</v>
      </c>
      <c r="BG116" s="2" t="s">
        <v>49</v>
      </c>
      <c r="BH116">
        <v>37402</v>
      </c>
      <c r="BI116" t="s">
        <v>50</v>
      </c>
      <c r="BJ116">
        <v>2011</v>
      </c>
      <c r="BM116" s="2" t="s">
        <v>49</v>
      </c>
      <c r="BN116">
        <v>37337</v>
      </c>
      <c r="BO116" t="s">
        <v>50</v>
      </c>
      <c r="BP116">
        <v>2011</v>
      </c>
      <c r="BS116" s="2" t="s">
        <v>49</v>
      </c>
      <c r="BT116">
        <v>64014</v>
      </c>
      <c r="BU116" t="s">
        <v>50</v>
      </c>
      <c r="BV116">
        <v>2011</v>
      </c>
      <c r="BY116" s="2" t="s">
        <v>49</v>
      </c>
      <c r="BZ116">
        <v>63890</v>
      </c>
      <c r="CA116" t="s">
        <v>50</v>
      </c>
      <c r="CB116">
        <v>2011</v>
      </c>
      <c r="CE116" s="2" t="s">
        <v>49</v>
      </c>
      <c r="CF116">
        <v>63433</v>
      </c>
      <c r="CG116" t="s">
        <v>50</v>
      </c>
      <c r="CH116">
        <v>2011</v>
      </c>
      <c r="CK116" s="2" t="s">
        <v>49</v>
      </c>
      <c r="CL116">
        <v>63442</v>
      </c>
      <c r="CM116" t="s">
        <v>50</v>
      </c>
      <c r="CN116">
        <v>2011</v>
      </c>
    </row>
    <row r="117" spans="1:92" x14ac:dyDescent="0.25">
      <c r="A117">
        <v>77224202</v>
      </c>
      <c r="B117" s="3" t="s">
        <v>37</v>
      </c>
      <c r="C117" t="s">
        <v>103</v>
      </c>
      <c r="D117" t="s">
        <v>104</v>
      </c>
      <c r="E117">
        <v>2011</v>
      </c>
      <c r="F117" t="s">
        <v>105</v>
      </c>
      <c r="G117" t="s">
        <v>427</v>
      </c>
      <c r="H117" t="s">
        <v>42</v>
      </c>
      <c r="I117" t="s">
        <v>428</v>
      </c>
      <c r="J117" t="s">
        <v>44</v>
      </c>
      <c r="K117" t="s">
        <v>45</v>
      </c>
      <c r="L117" t="s">
        <v>429</v>
      </c>
      <c r="M117" t="s">
        <v>47</v>
      </c>
      <c r="N117">
        <v>160000</v>
      </c>
      <c r="O117">
        <v>4922</v>
      </c>
      <c r="P117">
        <v>155078</v>
      </c>
      <c r="Q117" t="s">
        <v>430</v>
      </c>
      <c r="R117" t="s">
        <v>428</v>
      </c>
      <c r="S117" s="2" t="s">
        <v>49</v>
      </c>
      <c r="T117">
        <v>852961</v>
      </c>
      <c r="U117" t="s">
        <v>50</v>
      </c>
      <c r="V117">
        <v>2018</v>
      </c>
      <c r="W117">
        <v>745</v>
      </c>
      <c r="X117" t="s">
        <v>402</v>
      </c>
      <c r="Y117">
        <v>0</v>
      </c>
      <c r="Z117">
        <v>0</v>
      </c>
      <c r="AA117">
        <v>75</v>
      </c>
      <c r="AB117">
        <v>75</v>
      </c>
      <c r="AC117" s="2" t="s">
        <v>49</v>
      </c>
      <c r="AD117">
        <v>635549</v>
      </c>
      <c r="AE117" t="s">
        <v>62</v>
      </c>
      <c r="AF117">
        <v>1996</v>
      </c>
      <c r="AG117">
        <v>745</v>
      </c>
      <c r="AH117" t="s">
        <v>402</v>
      </c>
      <c r="AI117">
        <v>0</v>
      </c>
      <c r="AJ117">
        <v>0</v>
      </c>
      <c r="AK117">
        <v>75</v>
      </c>
      <c r="AL117">
        <v>75</v>
      </c>
      <c r="AM117" s="2" t="s">
        <v>49</v>
      </c>
      <c r="AN117">
        <v>155587</v>
      </c>
      <c r="AO117" t="s">
        <v>50</v>
      </c>
      <c r="AP117">
        <v>2014</v>
      </c>
      <c r="AQ117">
        <v>745</v>
      </c>
      <c r="AR117" t="s">
        <v>402</v>
      </c>
      <c r="AS117">
        <v>0</v>
      </c>
      <c r="AT117">
        <v>0</v>
      </c>
      <c r="AU117">
        <v>74</v>
      </c>
      <c r="AV117">
        <v>74</v>
      </c>
      <c r="AW117" s="2" t="s">
        <v>49</v>
      </c>
      <c r="AX117">
        <v>175531</v>
      </c>
      <c r="AY117" t="s">
        <v>50</v>
      </c>
      <c r="AZ117">
        <v>2012</v>
      </c>
      <c r="BA117">
        <v>745</v>
      </c>
      <c r="BB117" t="s">
        <v>402</v>
      </c>
      <c r="BC117">
        <v>0</v>
      </c>
      <c r="BD117">
        <v>0</v>
      </c>
      <c r="BE117">
        <v>74</v>
      </c>
      <c r="BF117">
        <v>74</v>
      </c>
      <c r="BG117" s="2" t="s">
        <v>49</v>
      </c>
      <c r="BH117">
        <v>37497</v>
      </c>
      <c r="BI117" t="s">
        <v>50</v>
      </c>
      <c r="BJ117">
        <v>2011</v>
      </c>
      <c r="BM117" s="2" t="s">
        <v>49</v>
      </c>
      <c r="BN117">
        <v>37456</v>
      </c>
      <c r="BO117" t="s">
        <v>50</v>
      </c>
      <c r="BP117">
        <v>2011</v>
      </c>
      <c r="BS117" s="2" t="s">
        <v>49</v>
      </c>
      <c r="BT117">
        <v>65579</v>
      </c>
      <c r="BU117" t="s">
        <v>50</v>
      </c>
      <c r="BV117">
        <v>2011</v>
      </c>
      <c r="BY117" s="2" t="s">
        <v>49</v>
      </c>
      <c r="BZ117">
        <v>64571</v>
      </c>
      <c r="CA117" t="s">
        <v>50</v>
      </c>
      <c r="CB117">
        <v>2011</v>
      </c>
      <c r="CE117" s="2" t="s">
        <v>49</v>
      </c>
      <c r="CF117">
        <v>65221</v>
      </c>
      <c r="CG117" t="s">
        <v>50</v>
      </c>
      <c r="CH117">
        <v>2011</v>
      </c>
      <c r="CK117" s="2" t="s">
        <v>49</v>
      </c>
      <c r="CL117">
        <v>64879</v>
      </c>
      <c r="CM117" t="s">
        <v>50</v>
      </c>
      <c r="CN117">
        <v>2011</v>
      </c>
    </row>
    <row r="118" spans="1:92" x14ac:dyDescent="0.25">
      <c r="A118">
        <v>77223865</v>
      </c>
      <c r="B118" s="3" t="s">
        <v>37</v>
      </c>
      <c r="C118" t="s">
        <v>103</v>
      </c>
      <c r="D118" t="s">
        <v>104</v>
      </c>
      <c r="E118">
        <v>2011</v>
      </c>
      <c r="F118" t="s">
        <v>105</v>
      </c>
      <c r="G118" t="s">
        <v>431</v>
      </c>
      <c r="H118" t="s">
        <v>42</v>
      </c>
      <c r="I118" t="s">
        <v>432</v>
      </c>
      <c r="J118" t="s">
        <v>44</v>
      </c>
      <c r="K118" t="s">
        <v>45</v>
      </c>
      <c r="L118" t="s">
        <v>433</v>
      </c>
      <c r="M118" t="s">
        <v>47</v>
      </c>
      <c r="N118">
        <v>160000</v>
      </c>
      <c r="O118">
        <v>4922</v>
      </c>
      <c r="P118">
        <v>155078</v>
      </c>
      <c r="Q118" t="s">
        <v>434</v>
      </c>
      <c r="R118" t="s">
        <v>432</v>
      </c>
      <c r="S118" s="2" t="s">
        <v>49</v>
      </c>
      <c r="T118">
        <v>141186</v>
      </c>
      <c r="U118" t="s">
        <v>50</v>
      </c>
      <c r="V118">
        <v>2009</v>
      </c>
      <c r="W118">
        <v>745</v>
      </c>
      <c r="X118" t="s">
        <v>402</v>
      </c>
      <c r="Y118">
        <v>0</v>
      </c>
      <c r="Z118">
        <v>0</v>
      </c>
      <c r="AA118">
        <v>61</v>
      </c>
      <c r="AB118">
        <v>61</v>
      </c>
      <c r="AC118" s="2" t="s">
        <v>49</v>
      </c>
      <c r="AD118">
        <v>129790</v>
      </c>
      <c r="AE118" t="s">
        <v>50</v>
      </c>
      <c r="AF118">
        <v>2009</v>
      </c>
      <c r="AG118">
        <v>745</v>
      </c>
      <c r="AH118" t="s">
        <v>402</v>
      </c>
      <c r="AI118">
        <v>0</v>
      </c>
      <c r="AJ118">
        <v>0</v>
      </c>
      <c r="AK118">
        <v>58</v>
      </c>
      <c r="AL118">
        <v>58</v>
      </c>
      <c r="AM118" s="2" t="s">
        <v>49</v>
      </c>
      <c r="AN118">
        <v>22667</v>
      </c>
      <c r="AO118">
        <v>1175</v>
      </c>
      <c r="AP118">
        <v>2010</v>
      </c>
      <c r="AQ118">
        <v>745</v>
      </c>
      <c r="AR118" t="s">
        <v>402</v>
      </c>
      <c r="AS118">
        <v>0</v>
      </c>
      <c r="AT118">
        <v>0</v>
      </c>
      <c r="AU118">
        <v>54</v>
      </c>
      <c r="AV118">
        <v>54</v>
      </c>
      <c r="AW118" s="2" t="s">
        <v>49</v>
      </c>
      <c r="AX118">
        <v>814821</v>
      </c>
      <c r="AY118" t="s">
        <v>62</v>
      </c>
      <c r="AZ118">
        <v>2010</v>
      </c>
      <c r="BA118">
        <v>745</v>
      </c>
      <c r="BB118" t="s">
        <v>402</v>
      </c>
      <c r="BC118">
        <v>0</v>
      </c>
      <c r="BD118">
        <v>0</v>
      </c>
      <c r="BE118">
        <v>56</v>
      </c>
      <c r="BF118">
        <v>56</v>
      </c>
      <c r="BG118" s="2" t="s">
        <v>49</v>
      </c>
      <c r="BH118">
        <v>38207</v>
      </c>
      <c r="BI118" t="s">
        <v>50</v>
      </c>
      <c r="BJ118">
        <v>2011</v>
      </c>
      <c r="BM118" s="2" t="s">
        <v>49</v>
      </c>
      <c r="BN118">
        <v>38125</v>
      </c>
      <c r="BO118" t="s">
        <v>50</v>
      </c>
      <c r="BP118">
        <v>2011</v>
      </c>
      <c r="BS118" s="2" t="s">
        <v>49</v>
      </c>
      <c r="BT118">
        <v>64217</v>
      </c>
      <c r="BU118" t="s">
        <v>50</v>
      </c>
      <c r="BV118">
        <v>2011</v>
      </c>
      <c r="BY118" s="2" t="s">
        <v>49</v>
      </c>
      <c r="BZ118">
        <v>66987</v>
      </c>
      <c r="CA118" t="s">
        <v>50</v>
      </c>
      <c r="CB118">
        <v>2011</v>
      </c>
      <c r="CE118" s="2" t="s">
        <v>49</v>
      </c>
      <c r="CF118">
        <v>66780</v>
      </c>
      <c r="CG118" t="s">
        <v>50</v>
      </c>
      <c r="CH118">
        <v>2011</v>
      </c>
      <c r="CK118" s="2" t="s">
        <v>49</v>
      </c>
      <c r="CL118">
        <v>65809</v>
      </c>
      <c r="CM118" t="s">
        <v>50</v>
      </c>
      <c r="CN118">
        <v>2011</v>
      </c>
    </row>
    <row r="119" spans="1:92" x14ac:dyDescent="0.25">
      <c r="A119">
        <v>77224525</v>
      </c>
      <c r="B119" s="3" t="s">
        <v>37</v>
      </c>
      <c r="C119" t="s">
        <v>103</v>
      </c>
      <c r="D119" t="s">
        <v>104</v>
      </c>
      <c r="E119">
        <v>2011</v>
      </c>
      <c r="F119" t="s">
        <v>105</v>
      </c>
      <c r="G119" t="s">
        <v>435</v>
      </c>
      <c r="H119" t="s">
        <v>42</v>
      </c>
      <c r="K119" t="s">
        <v>90</v>
      </c>
      <c r="L119" t="s">
        <v>436</v>
      </c>
      <c r="M119" t="s">
        <v>47</v>
      </c>
      <c r="N119">
        <v>160000</v>
      </c>
      <c r="O119">
        <v>111433</v>
      </c>
      <c r="P119">
        <v>48567</v>
      </c>
      <c r="Q119" t="s">
        <v>185</v>
      </c>
      <c r="R119" t="s">
        <v>437</v>
      </c>
      <c r="S119" s="2" t="s">
        <v>49</v>
      </c>
      <c r="T119">
        <v>896509</v>
      </c>
      <c r="U119" t="s">
        <v>50</v>
      </c>
      <c r="V119">
        <v>2018</v>
      </c>
      <c r="W119">
        <v>2556</v>
      </c>
      <c r="X119" t="s">
        <v>61</v>
      </c>
      <c r="Y119">
        <v>0</v>
      </c>
      <c r="Z119">
        <v>0</v>
      </c>
      <c r="AA119">
        <v>54</v>
      </c>
      <c r="AB119">
        <v>53</v>
      </c>
      <c r="AC119" s="2" t="s">
        <v>49</v>
      </c>
      <c r="AD119">
        <v>206715</v>
      </c>
      <c r="AE119" t="s">
        <v>50</v>
      </c>
      <c r="AF119">
        <v>2019</v>
      </c>
      <c r="AG119">
        <v>2556</v>
      </c>
      <c r="AH119" t="s">
        <v>61</v>
      </c>
      <c r="AI119">
        <v>0</v>
      </c>
      <c r="AJ119">
        <v>0</v>
      </c>
      <c r="AK119">
        <v>54</v>
      </c>
      <c r="AL119">
        <v>53</v>
      </c>
      <c r="AM119" s="2" t="s">
        <v>49</v>
      </c>
      <c r="AN119">
        <v>896324</v>
      </c>
      <c r="AO119" t="s">
        <v>50</v>
      </c>
      <c r="AP119">
        <v>2018</v>
      </c>
      <c r="AQ119">
        <v>2556</v>
      </c>
      <c r="AR119" t="s">
        <v>61</v>
      </c>
      <c r="AS119">
        <v>0</v>
      </c>
      <c r="AT119">
        <v>0</v>
      </c>
      <c r="AU119">
        <v>46</v>
      </c>
      <c r="AV119">
        <v>46</v>
      </c>
      <c r="AW119" s="2" t="s">
        <v>49</v>
      </c>
      <c r="AX119">
        <v>200222</v>
      </c>
      <c r="AY119" t="s">
        <v>50</v>
      </c>
      <c r="AZ119">
        <v>2019</v>
      </c>
      <c r="BA119">
        <v>2556</v>
      </c>
      <c r="BB119" t="s">
        <v>61</v>
      </c>
      <c r="BC119">
        <v>0</v>
      </c>
      <c r="BD119">
        <v>0</v>
      </c>
      <c r="BE119">
        <v>36</v>
      </c>
      <c r="BF119">
        <v>36</v>
      </c>
      <c r="BG119" s="2" t="s">
        <v>49</v>
      </c>
      <c r="BH119">
        <v>37198</v>
      </c>
      <c r="BI119" t="s">
        <v>50</v>
      </c>
      <c r="BJ119">
        <v>2011</v>
      </c>
      <c r="BM119" s="2" t="s">
        <v>49</v>
      </c>
      <c r="BN119">
        <v>37483</v>
      </c>
      <c r="BO119" t="s">
        <v>50</v>
      </c>
      <c r="BP119">
        <v>2011</v>
      </c>
      <c r="BS119" s="2" t="s">
        <v>49</v>
      </c>
      <c r="BT119">
        <v>65936</v>
      </c>
      <c r="BU119" t="s">
        <v>50</v>
      </c>
      <c r="BV119">
        <v>2011</v>
      </c>
      <c r="BY119" s="2" t="s">
        <v>49</v>
      </c>
      <c r="BZ119">
        <v>65526</v>
      </c>
      <c r="CA119" t="s">
        <v>50</v>
      </c>
      <c r="CB119">
        <v>2011</v>
      </c>
      <c r="CE119" s="2" t="s">
        <v>49</v>
      </c>
      <c r="CF119">
        <v>66202</v>
      </c>
      <c r="CG119" t="s">
        <v>50</v>
      </c>
      <c r="CH119">
        <v>2011</v>
      </c>
      <c r="CK119" s="2" t="s">
        <v>49</v>
      </c>
      <c r="CL119">
        <v>62843</v>
      </c>
      <c r="CM119" t="s">
        <v>50</v>
      </c>
      <c r="CN119">
        <v>2011</v>
      </c>
    </row>
    <row r="120" spans="1:92" x14ac:dyDescent="0.25">
      <c r="A120">
        <v>77223881</v>
      </c>
      <c r="B120" s="3" t="s">
        <v>37</v>
      </c>
      <c r="C120" t="s">
        <v>103</v>
      </c>
      <c r="D120" t="s">
        <v>104</v>
      </c>
      <c r="E120">
        <v>2011</v>
      </c>
      <c r="F120" t="s">
        <v>105</v>
      </c>
      <c r="G120" t="s">
        <v>398</v>
      </c>
      <c r="H120" t="s">
        <v>42</v>
      </c>
      <c r="I120" t="s">
        <v>184</v>
      </c>
      <c r="J120" t="s">
        <v>89</v>
      </c>
      <c r="K120" t="s">
        <v>45</v>
      </c>
      <c r="L120" t="s">
        <v>368</v>
      </c>
      <c r="M120" t="s">
        <v>47</v>
      </c>
      <c r="N120">
        <v>160000</v>
      </c>
      <c r="O120">
        <v>10803</v>
      </c>
      <c r="P120">
        <v>149197</v>
      </c>
      <c r="Q120" t="s">
        <v>438</v>
      </c>
      <c r="R120" t="s">
        <v>184</v>
      </c>
      <c r="S120" s="2" t="s">
        <v>49</v>
      </c>
      <c r="T120">
        <v>277369</v>
      </c>
      <c r="U120" t="s">
        <v>50</v>
      </c>
      <c r="V120">
        <v>2011</v>
      </c>
      <c r="W120">
        <v>2348</v>
      </c>
      <c r="X120" t="s">
        <v>151</v>
      </c>
      <c r="Y120">
        <v>30</v>
      </c>
      <c r="Z120">
        <v>30</v>
      </c>
      <c r="AA120">
        <v>66</v>
      </c>
      <c r="AB120">
        <v>66</v>
      </c>
      <c r="AC120" s="2" t="s">
        <v>49</v>
      </c>
      <c r="AD120">
        <v>221079</v>
      </c>
      <c r="AE120" t="s">
        <v>50</v>
      </c>
      <c r="AF120">
        <v>2008</v>
      </c>
      <c r="AG120">
        <v>2348</v>
      </c>
      <c r="AH120" t="s">
        <v>151</v>
      </c>
      <c r="AI120">
        <v>30</v>
      </c>
      <c r="AJ120">
        <v>30</v>
      </c>
      <c r="AK120">
        <v>66</v>
      </c>
      <c r="AL120">
        <v>66</v>
      </c>
      <c r="AM120" s="2" t="s">
        <v>49</v>
      </c>
      <c r="AN120">
        <v>285191</v>
      </c>
      <c r="AO120" t="s">
        <v>50</v>
      </c>
      <c r="AP120">
        <v>2011</v>
      </c>
      <c r="AQ120">
        <v>2348</v>
      </c>
      <c r="AR120" t="s">
        <v>151</v>
      </c>
      <c r="AS120">
        <v>30</v>
      </c>
      <c r="AT120">
        <v>30</v>
      </c>
      <c r="AU120">
        <v>70</v>
      </c>
      <c r="AV120">
        <v>70</v>
      </c>
      <c r="AW120" s="2" t="s">
        <v>49</v>
      </c>
      <c r="AX120">
        <v>284168</v>
      </c>
      <c r="AY120" t="s">
        <v>50</v>
      </c>
      <c r="AZ120">
        <v>2011</v>
      </c>
      <c r="BA120">
        <v>2348</v>
      </c>
      <c r="BB120" t="s">
        <v>151</v>
      </c>
      <c r="BC120">
        <v>30</v>
      </c>
      <c r="BD120">
        <v>30</v>
      </c>
      <c r="BE120">
        <v>70</v>
      </c>
      <c r="BF120">
        <v>70</v>
      </c>
      <c r="BG120" s="2" t="s">
        <v>49</v>
      </c>
      <c r="BH120">
        <v>37162</v>
      </c>
      <c r="BI120" t="s">
        <v>50</v>
      </c>
      <c r="BJ120">
        <v>2011</v>
      </c>
      <c r="BM120" s="2" t="s">
        <v>49</v>
      </c>
      <c r="BN120">
        <v>37277</v>
      </c>
      <c r="BO120" t="s">
        <v>50</v>
      </c>
      <c r="BP120">
        <v>2011</v>
      </c>
      <c r="BS120" s="2" t="s">
        <v>49</v>
      </c>
      <c r="BT120">
        <v>63910</v>
      </c>
      <c r="BU120" t="s">
        <v>50</v>
      </c>
      <c r="BV120">
        <v>2011</v>
      </c>
      <c r="BY120" s="2" t="s">
        <v>49</v>
      </c>
      <c r="BZ120">
        <v>63179</v>
      </c>
      <c r="CA120" t="s">
        <v>50</v>
      </c>
      <c r="CB120">
        <v>2011</v>
      </c>
      <c r="CE120" s="2" t="s">
        <v>49</v>
      </c>
      <c r="CF120">
        <v>65137</v>
      </c>
      <c r="CG120" t="s">
        <v>50</v>
      </c>
      <c r="CH120">
        <v>2011</v>
      </c>
      <c r="CK120" s="2" t="s">
        <v>49</v>
      </c>
      <c r="CL120">
        <v>65516</v>
      </c>
      <c r="CM120" t="s">
        <v>50</v>
      </c>
      <c r="CN120">
        <v>2011</v>
      </c>
    </row>
    <row r="121" spans="1:92" x14ac:dyDescent="0.25">
      <c r="A121">
        <v>77206068</v>
      </c>
      <c r="B121" s="3" t="s">
        <v>37</v>
      </c>
      <c r="C121" t="s">
        <v>53</v>
      </c>
      <c r="D121" t="s">
        <v>54</v>
      </c>
      <c r="E121">
        <v>2013</v>
      </c>
      <c r="F121" t="s">
        <v>55</v>
      </c>
      <c r="G121" t="s">
        <v>439</v>
      </c>
      <c r="H121" t="s">
        <v>44</v>
      </c>
      <c r="I121" t="s">
        <v>440</v>
      </c>
      <c r="J121" t="s">
        <v>58</v>
      </c>
      <c r="K121" t="s">
        <v>45</v>
      </c>
      <c r="L121" t="s">
        <v>441</v>
      </c>
      <c r="M121" t="s">
        <v>47</v>
      </c>
      <c r="N121">
        <v>160000</v>
      </c>
      <c r="O121">
        <v>4922</v>
      </c>
      <c r="P121">
        <v>155078</v>
      </c>
      <c r="Q121" t="s">
        <v>442</v>
      </c>
      <c r="R121" t="s">
        <v>439</v>
      </c>
      <c r="S121" s="2" t="s">
        <v>49</v>
      </c>
      <c r="T121">
        <v>20705</v>
      </c>
      <c r="U121" t="s">
        <v>62</v>
      </c>
      <c r="V121">
        <v>2011</v>
      </c>
      <c r="W121">
        <v>745</v>
      </c>
      <c r="X121" t="s">
        <v>51</v>
      </c>
      <c r="Y121">
        <v>0</v>
      </c>
      <c r="Z121">
        <v>0</v>
      </c>
      <c r="AA121">
        <v>61</v>
      </c>
      <c r="AB121">
        <v>61</v>
      </c>
      <c r="AC121" s="2" t="s">
        <v>49</v>
      </c>
      <c r="AD121">
        <v>58557</v>
      </c>
      <c r="AE121" t="s">
        <v>50</v>
      </c>
      <c r="AF121">
        <v>2001</v>
      </c>
      <c r="AG121">
        <v>745</v>
      </c>
      <c r="AH121" t="s">
        <v>51</v>
      </c>
      <c r="AI121">
        <v>0</v>
      </c>
      <c r="AJ121">
        <v>0</v>
      </c>
      <c r="AK121">
        <v>60</v>
      </c>
      <c r="AL121">
        <v>60</v>
      </c>
      <c r="AM121" s="2" t="s">
        <v>49</v>
      </c>
      <c r="AN121">
        <v>370564</v>
      </c>
      <c r="AO121" t="s">
        <v>62</v>
      </c>
      <c r="AP121">
        <v>2012</v>
      </c>
      <c r="AQ121">
        <v>745</v>
      </c>
      <c r="AR121" t="s">
        <v>51</v>
      </c>
      <c r="AS121">
        <v>0</v>
      </c>
      <c r="AT121">
        <v>0</v>
      </c>
      <c r="AU121">
        <v>73</v>
      </c>
      <c r="AV121">
        <v>73</v>
      </c>
      <c r="AW121" s="2" t="s">
        <v>49</v>
      </c>
      <c r="AX121">
        <v>459278</v>
      </c>
      <c r="AY121" t="s">
        <v>62</v>
      </c>
      <c r="AZ121">
        <v>2013</v>
      </c>
      <c r="BA121">
        <v>745</v>
      </c>
      <c r="BB121" t="s">
        <v>51</v>
      </c>
      <c r="BC121">
        <v>0</v>
      </c>
      <c r="BD121">
        <v>0</v>
      </c>
      <c r="BE121">
        <v>73</v>
      </c>
      <c r="BF121">
        <v>73</v>
      </c>
      <c r="BG121" s="2" t="s">
        <v>49</v>
      </c>
      <c r="BH121">
        <v>15315</v>
      </c>
      <c r="BI121">
        <v>1291</v>
      </c>
      <c r="BJ121">
        <v>2013</v>
      </c>
      <c r="BM121" s="2" t="s">
        <v>49</v>
      </c>
      <c r="BN121">
        <v>14378</v>
      </c>
      <c r="BO121">
        <v>1291</v>
      </c>
      <c r="BP121">
        <v>2013</v>
      </c>
      <c r="BS121" s="2" t="s">
        <v>49</v>
      </c>
      <c r="BT121">
        <v>41661</v>
      </c>
      <c r="BU121">
        <v>1291</v>
      </c>
      <c r="BV121">
        <v>2013</v>
      </c>
      <c r="BY121" s="2" t="s">
        <v>49</v>
      </c>
      <c r="BZ121">
        <v>44895</v>
      </c>
      <c r="CA121">
        <v>1291</v>
      </c>
      <c r="CB121">
        <v>2013</v>
      </c>
      <c r="CE121" s="2" t="s">
        <v>49</v>
      </c>
      <c r="CF121">
        <v>40416</v>
      </c>
      <c r="CG121">
        <v>1291</v>
      </c>
      <c r="CH121">
        <v>2013</v>
      </c>
      <c r="CK121" s="2" t="s">
        <v>49</v>
      </c>
      <c r="CL121">
        <v>41566</v>
      </c>
      <c r="CM121">
        <v>1291</v>
      </c>
      <c r="CN121">
        <v>2013</v>
      </c>
    </row>
    <row r="122" spans="1:92" x14ac:dyDescent="0.25">
      <c r="A122">
        <v>77222164</v>
      </c>
      <c r="B122" s="3" t="s">
        <v>37</v>
      </c>
      <c r="C122" t="s">
        <v>53</v>
      </c>
      <c r="D122" t="s">
        <v>69</v>
      </c>
      <c r="E122">
        <v>2014</v>
      </c>
      <c r="F122" t="s">
        <v>70</v>
      </c>
      <c r="G122" t="s">
        <v>443</v>
      </c>
      <c r="H122" t="s">
        <v>68</v>
      </c>
      <c r="I122" t="s">
        <v>444</v>
      </c>
      <c r="J122" t="s">
        <v>42</v>
      </c>
      <c r="K122" t="s">
        <v>45</v>
      </c>
      <c r="L122" t="s">
        <v>445</v>
      </c>
      <c r="M122" t="s">
        <v>47</v>
      </c>
      <c r="N122">
        <v>160000</v>
      </c>
      <c r="O122">
        <v>34931</v>
      </c>
      <c r="P122">
        <v>125069</v>
      </c>
      <c r="Q122" t="s">
        <v>446</v>
      </c>
      <c r="R122" t="s">
        <v>444</v>
      </c>
      <c r="S122" s="2" t="s">
        <v>49</v>
      </c>
      <c r="T122">
        <v>522977</v>
      </c>
      <c r="U122" t="s">
        <v>62</v>
      </c>
      <c r="V122">
        <v>2014</v>
      </c>
      <c r="W122">
        <v>301</v>
      </c>
      <c r="X122" t="s">
        <v>75</v>
      </c>
      <c r="Y122">
        <v>33</v>
      </c>
      <c r="Z122">
        <v>33</v>
      </c>
      <c r="AA122">
        <v>75</v>
      </c>
      <c r="AB122">
        <v>75</v>
      </c>
      <c r="AC122" s="2" t="s">
        <v>49</v>
      </c>
      <c r="AD122">
        <v>523172</v>
      </c>
      <c r="AE122" t="s">
        <v>62</v>
      </c>
      <c r="AF122">
        <v>2014</v>
      </c>
      <c r="AG122">
        <v>301</v>
      </c>
      <c r="AH122" t="s">
        <v>75</v>
      </c>
      <c r="AI122">
        <v>33</v>
      </c>
      <c r="AJ122">
        <v>33</v>
      </c>
      <c r="AK122">
        <v>75</v>
      </c>
      <c r="AL122">
        <v>75</v>
      </c>
      <c r="AM122" s="2" t="s">
        <v>49</v>
      </c>
      <c r="AN122">
        <v>295098</v>
      </c>
      <c r="AO122" t="s">
        <v>62</v>
      </c>
      <c r="AP122">
        <v>2006</v>
      </c>
      <c r="AQ122">
        <v>301</v>
      </c>
      <c r="AR122" t="s">
        <v>75</v>
      </c>
      <c r="AS122">
        <v>33</v>
      </c>
      <c r="AT122">
        <v>33</v>
      </c>
      <c r="AU122">
        <v>75</v>
      </c>
      <c r="AV122">
        <v>75</v>
      </c>
      <c r="AW122" s="2" t="s">
        <v>49</v>
      </c>
      <c r="AX122">
        <v>523088</v>
      </c>
      <c r="AY122" t="s">
        <v>62</v>
      </c>
      <c r="AZ122">
        <v>2014</v>
      </c>
      <c r="BA122">
        <v>301</v>
      </c>
      <c r="BB122" t="s">
        <v>75</v>
      </c>
      <c r="BC122">
        <v>33</v>
      </c>
      <c r="BD122">
        <v>33</v>
      </c>
      <c r="BE122">
        <v>75</v>
      </c>
      <c r="BF122">
        <v>75</v>
      </c>
      <c r="BG122" s="2" t="s">
        <v>49</v>
      </c>
      <c r="BH122">
        <v>51133</v>
      </c>
      <c r="BI122">
        <v>1291</v>
      </c>
      <c r="BJ122">
        <v>2014</v>
      </c>
      <c r="BM122" s="2" t="s">
        <v>49</v>
      </c>
      <c r="BN122">
        <v>50931</v>
      </c>
      <c r="BO122">
        <v>1291</v>
      </c>
      <c r="BP122">
        <v>2014</v>
      </c>
      <c r="BS122" s="2" t="s">
        <v>49</v>
      </c>
      <c r="BT122">
        <v>3547</v>
      </c>
      <c r="BU122">
        <v>1291</v>
      </c>
      <c r="BV122">
        <v>2014</v>
      </c>
      <c r="BY122" s="2" t="s">
        <v>49</v>
      </c>
      <c r="BZ122">
        <v>2958</v>
      </c>
      <c r="CA122">
        <v>1291</v>
      </c>
      <c r="CB122">
        <v>2014</v>
      </c>
      <c r="CE122" s="2" t="s">
        <v>49</v>
      </c>
      <c r="CF122">
        <v>3945</v>
      </c>
      <c r="CG122">
        <v>1291</v>
      </c>
      <c r="CH122">
        <v>2014</v>
      </c>
      <c r="CK122" s="2" t="s">
        <v>49</v>
      </c>
      <c r="CL122">
        <v>4074</v>
      </c>
      <c r="CM122">
        <v>1291</v>
      </c>
      <c r="CN122">
        <v>2014</v>
      </c>
    </row>
    <row r="123" spans="1:92" x14ac:dyDescent="0.25">
      <c r="A123">
        <v>77228864</v>
      </c>
      <c r="B123" s="3" t="s">
        <v>37</v>
      </c>
      <c r="C123" t="s">
        <v>103</v>
      </c>
      <c r="D123" t="s">
        <v>317</v>
      </c>
      <c r="E123">
        <v>2015</v>
      </c>
      <c r="F123" t="s">
        <v>318</v>
      </c>
      <c r="G123" t="s">
        <v>298</v>
      </c>
      <c r="H123" t="s">
        <v>299</v>
      </c>
      <c r="K123" t="s">
        <v>90</v>
      </c>
      <c r="L123" t="s">
        <v>447</v>
      </c>
      <c r="M123" t="s">
        <v>47</v>
      </c>
      <c r="N123">
        <v>160000</v>
      </c>
      <c r="O123">
        <v>9567</v>
      </c>
      <c r="P123">
        <v>150433</v>
      </c>
      <c r="Q123" t="s">
        <v>448</v>
      </c>
      <c r="R123" t="s">
        <v>298</v>
      </c>
      <c r="S123" s="2" t="s">
        <v>49</v>
      </c>
      <c r="T123">
        <v>301189</v>
      </c>
      <c r="U123" t="s">
        <v>50</v>
      </c>
      <c r="V123">
        <v>2015</v>
      </c>
      <c r="W123">
        <v>2080</v>
      </c>
      <c r="X123" t="s">
        <v>151</v>
      </c>
      <c r="Y123">
        <v>30</v>
      </c>
      <c r="Z123">
        <v>30</v>
      </c>
      <c r="AA123">
        <v>38</v>
      </c>
      <c r="AB123">
        <v>38</v>
      </c>
      <c r="AC123" s="2" t="s">
        <v>49</v>
      </c>
      <c r="AD123">
        <v>301040</v>
      </c>
      <c r="AE123" t="s">
        <v>50</v>
      </c>
      <c r="AF123">
        <v>2015</v>
      </c>
      <c r="AG123">
        <v>2080</v>
      </c>
      <c r="AH123" t="s">
        <v>151</v>
      </c>
      <c r="AI123">
        <v>30</v>
      </c>
      <c r="AJ123">
        <v>30</v>
      </c>
      <c r="AK123">
        <v>39</v>
      </c>
      <c r="AL123">
        <v>39</v>
      </c>
      <c r="AM123" s="2" t="s">
        <v>49</v>
      </c>
      <c r="AN123">
        <v>301195</v>
      </c>
      <c r="AO123" t="s">
        <v>50</v>
      </c>
      <c r="AP123">
        <v>2015</v>
      </c>
      <c r="AQ123">
        <v>2080</v>
      </c>
      <c r="AR123" t="s">
        <v>151</v>
      </c>
      <c r="AS123">
        <v>30</v>
      </c>
      <c r="AT123">
        <v>30</v>
      </c>
      <c r="AU123">
        <v>37</v>
      </c>
      <c r="AV123">
        <v>37</v>
      </c>
      <c r="AW123" s="2" t="s">
        <v>49</v>
      </c>
      <c r="AX123">
        <v>301069</v>
      </c>
      <c r="AY123" t="s">
        <v>50</v>
      </c>
      <c r="AZ123">
        <v>2015</v>
      </c>
      <c r="BA123">
        <v>2080</v>
      </c>
      <c r="BB123" t="s">
        <v>151</v>
      </c>
      <c r="BC123">
        <v>29</v>
      </c>
      <c r="BD123">
        <v>30</v>
      </c>
      <c r="BE123">
        <v>45</v>
      </c>
      <c r="BF123">
        <v>45</v>
      </c>
      <c r="BG123" s="2" t="s">
        <v>49</v>
      </c>
      <c r="BH123">
        <v>35275</v>
      </c>
      <c r="BI123" t="s">
        <v>50</v>
      </c>
      <c r="BJ123">
        <v>2014</v>
      </c>
      <c r="BM123" s="2" t="s">
        <v>49</v>
      </c>
      <c r="BN123">
        <v>35367</v>
      </c>
      <c r="BO123" t="s">
        <v>50</v>
      </c>
      <c r="BP123">
        <v>2014</v>
      </c>
      <c r="BS123" s="2" t="s">
        <v>49</v>
      </c>
      <c r="BT123">
        <v>2473</v>
      </c>
      <c r="BU123" t="s">
        <v>50</v>
      </c>
      <c r="BV123">
        <v>2015</v>
      </c>
      <c r="BY123" s="2" t="s">
        <v>49</v>
      </c>
      <c r="BZ123">
        <v>1555</v>
      </c>
      <c r="CA123" t="s">
        <v>50</v>
      </c>
      <c r="CB123">
        <v>2015</v>
      </c>
      <c r="CE123" s="2" t="s">
        <v>49</v>
      </c>
      <c r="CF123">
        <v>588</v>
      </c>
      <c r="CG123" t="s">
        <v>50</v>
      </c>
      <c r="CH123">
        <v>2015</v>
      </c>
      <c r="CK123" s="2" t="s">
        <v>49</v>
      </c>
      <c r="CL123">
        <v>2662</v>
      </c>
      <c r="CM123" t="s">
        <v>50</v>
      </c>
      <c r="CN123">
        <v>2015</v>
      </c>
    </row>
    <row r="124" spans="1:92" x14ac:dyDescent="0.25">
      <c r="A124">
        <v>77223956</v>
      </c>
      <c r="B124" s="3" t="s">
        <v>37</v>
      </c>
      <c r="C124" t="s">
        <v>103</v>
      </c>
      <c r="D124" t="s">
        <v>94</v>
      </c>
      <c r="E124">
        <v>2011</v>
      </c>
      <c r="F124" t="s">
        <v>95</v>
      </c>
      <c r="G124" t="s">
        <v>449</v>
      </c>
      <c r="H124" t="s">
        <v>68</v>
      </c>
      <c r="I124" t="s">
        <v>147</v>
      </c>
      <c r="J124" t="s">
        <v>89</v>
      </c>
      <c r="K124" t="s">
        <v>45</v>
      </c>
      <c r="L124" t="s">
        <v>324</v>
      </c>
      <c r="M124" t="s">
        <v>47</v>
      </c>
      <c r="N124">
        <v>160000</v>
      </c>
      <c r="O124">
        <v>11121</v>
      </c>
      <c r="P124">
        <v>148879</v>
      </c>
      <c r="Q124" t="s">
        <v>450</v>
      </c>
      <c r="R124" t="s">
        <v>147</v>
      </c>
      <c r="S124" s="2" t="s">
        <v>49</v>
      </c>
      <c r="T124">
        <v>287114</v>
      </c>
      <c r="U124" t="s">
        <v>50</v>
      </c>
      <c r="V124">
        <v>2011</v>
      </c>
      <c r="W124">
        <v>2348</v>
      </c>
      <c r="X124" t="s">
        <v>151</v>
      </c>
      <c r="Y124">
        <v>33</v>
      </c>
      <c r="Z124">
        <v>33</v>
      </c>
      <c r="AA124">
        <v>74</v>
      </c>
      <c r="AB124">
        <v>74</v>
      </c>
      <c r="AC124" s="2" t="s">
        <v>49</v>
      </c>
      <c r="AD124">
        <v>123318</v>
      </c>
      <c r="AE124" t="s">
        <v>50</v>
      </c>
      <c r="AF124">
        <v>2012</v>
      </c>
      <c r="AG124">
        <v>2348</v>
      </c>
      <c r="AH124" t="s">
        <v>151</v>
      </c>
      <c r="AI124">
        <v>33</v>
      </c>
      <c r="AJ124">
        <v>33</v>
      </c>
      <c r="AK124">
        <v>75</v>
      </c>
      <c r="AL124">
        <v>75</v>
      </c>
      <c r="AM124" s="2" t="s">
        <v>49</v>
      </c>
      <c r="AN124">
        <v>286453</v>
      </c>
      <c r="AO124" t="s">
        <v>50</v>
      </c>
      <c r="AP124">
        <v>2011</v>
      </c>
      <c r="AQ124">
        <v>2348</v>
      </c>
      <c r="AR124" t="s">
        <v>151</v>
      </c>
      <c r="AS124">
        <v>33</v>
      </c>
      <c r="AT124">
        <v>33</v>
      </c>
      <c r="AU124">
        <v>74</v>
      </c>
      <c r="AV124">
        <v>74</v>
      </c>
      <c r="AW124" s="2" t="s">
        <v>49</v>
      </c>
      <c r="AX124">
        <v>284847</v>
      </c>
      <c r="AY124" t="s">
        <v>50</v>
      </c>
      <c r="AZ124">
        <v>2011</v>
      </c>
      <c r="BA124">
        <v>2348</v>
      </c>
      <c r="BB124" t="s">
        <v>151</v>
      </c>
      <c r="BC124">
        <v>33</v>
      </c>
      <c r="BD124">
        <v>33</v>
      </c>
      <c r="BE124">
        <v>74</v>
      </c>
      <c r="BF124">
        <v>74</v>
      </c>
      <c r="BG124" s="2" t="s">
        <v>49</v>
      </c>
      <c r="BH124">
        <v>38504</v>
      </c>
      <c r="BI124" t="s">
        <v>50</v>
      </c>
      <c r="BJ124">
        <v>2011</v>
      </c>
      <c r="BM124" s="2" t="s">
        <v>49</v>
      </c>
      <c r="BN124">
        <v>37939</v>
      </c>
      <c r="BO124" t="s">
        <v>50</v>
      </c>
      <c r="BP124">
        <v>2011</v>
      </c>
      <c r="BS124" s="2" t="s">
        <v>49</v>
      </c>
      <c r="BT124">
        <v>67196</v>
      </c>
      <c r="BU124" t="s">
        <v>50</v>
      </c>
      <c r="BV124">
        <v>2011</v>
      </c>
      <c r="BY124" s="2" t="s">
        <v>49</v>
      </c>
      <c r="BZ124">
        <v>62532</v>
      </c>
      <c r="CA124" t="s">
        <v>50</v>
      </c>
      <c r="CB124">
        <v>2011</v>
      </c>
      <c r="CE124" s="2" t="s">
        <v>49</v>
      </c>
      <c r="CF124">
        <v>67382</v>
      </c>
      <c r="CG124" t="s">
        <v>50</v>
      </c>
      <c r="CH124">
        <v>2011</v>
      </c>
      <c r="CK124" s="2" t="s">
        <v>49</v>
      </c>
      <c r="CL124">
        <v>67416</v>
      </c>
      <c r="CM124" t="s">
        <v>50</v>
      </c>
      <c r="CN124">
        <v>2011</v>
      </c>
    </row>
    <row r="125" spans="1:92" x14ac:dyDescent="0.25">
      <c r="A125">
        <v>77224434</v>
      </c>
      <c r="B125" s="3" t="s">
        <v>37</v>
      </c>
      <c r="C125" t="s">
        <v>103</v>
      </c>
      <c r="D125" t="s">
        <v>104</v>
      </c>
      <c r="E125">
        <v>2011</v>
      </c>
      <c r="F125" t="s">
        <v>105</v>
      </c>
      <c r="G125" t="s">
        <v>451</v>
      </c>
      <c r="H125" t="s">
        <v>42</v>
      </c>
      <c r="I125" t="s">
        <v>147</v>
      </c>
      <c r="J125" t="s">
        <v>89</v>
      </c>
      <c r="K125" t="s">
        <v>45</v>
      </c>
      <c r="L125" t="s">
        <v>324</v>
      </c>
      <c r="M125" t="s">
        <v>47</v>
      </c>
      <c r="N125">
        <v>160000</v>
      </c>
      <c r="O125">
        <v>18023</v>
      </c>
      <c r="P125">
        <v>141977</v>
      </c>
      <c r="Q125" t="s">
        <v>452</v>
      </c>
      <c r="R125" t="s">
        <v>147</v>
      </c>
      <c r="S125" s="2" t="s">
        <v>49</v>
      </c>
      <c r="T125">
        <v>282427</v>
      </c>
      <c r="U125" t="s">
        <v>50</v>
      </c>
      <c r="V125">
        <v>2011</v>
      </c>
      <c r="W125">
        <v>2348</v>
      </c>
      <c r="X125" t="s">
        <v>151</v>
      </c>
      <c r="Y125">
        <v>33</v>
      </c>
      <c r="Z125">
        <v>33</v>
      </c>
      <c r="AA125">
        <v>74</v>
      </c>
      <c r="AB125">
        <v>74</v>
      </c>
      <c r="AC125" s="2" t="s">
        <v>49</v>
      </c>
      <c r="AD125">
        <v>285279</v>
      </c>
      <c r="AE125" t="s">
        <v>50</v>
      </c>
      <c r="AF125">
        <v>2011</v>
      </c>
      <c r="AG125">
        <v>2348</v>
      </c>
      <c r="AH125" t="s">
        <v>151</v>
      </c>
      <c r="AI125">
        <v>33</v>
      </c>
      <c r="AJ125">
        <v>33</v>
      </c>
      <c r="AK125">
        <v>74</v>
      </c>
      <c r="AL125">
        <v>74</v>
      </c>
      <c r="AM125" s="2" t="s">
        <v>49</v>
      </c>
      <c r="AN125">
        <v>285189</v>
      </c>
      <c r="AO125" t="s">
        <v>50</v>
      </c>
      <c r="AP125">
        <v>2011</v>
      </c>
      <c r="AQ125">
        <v>2348</v>
      </c>
      <c r="AR125" t="s">
        <v>151</v>
      </c>
      <c r="AS125">
        <v>33</v>
      </c>
      <c r="AT125">
        <v>33</v>
      </c>
      <c r="AU125">
        <v>74</v>
      </c>
      <c r="AV125">
        <v>74</v>
      </c>
      <c r="AW125" s="2" t="s">
        <v>49</v>
      </c>
      <c r="AX125">
        <v>123937</v>
      </c>
      <c r="AY125" t="s">
        <v>50</v>
      </c>
      <c r="AZ125">
        <v>2012</v>
      </c>
      <c r="BA125">
        <v>2348</v>
      </c>
      <c r="BB125" t="s">
        <v>151</v>
      </c>
      <c r="BC125">
        <v>33</v>
      </c>
      <c r="BD125">
        <v>33</v>
      </c>
      <c r="BE125">
        <v>74</v>
      </c>
      <c r="BF125">
        <v>74</v>
      </c>
      <c r="BG125" s="2" t="s">
        <v>49</v>
      </c>
      <c r="BH125">
        <v>67401</v>
      </c>
      <c r="BI125" t="s">
        <v>52</v>
      </c>
      <c r="BJ125">
        <v>2011</v>
      </c>
      <c r="BM125" s="2" t="s">
        <v>49</v>
      </c>
      <c r="BN125">
        <v>67534</v>
      </c>
      <c r="BO125" t="s">
        <v>52</v>
      </c>
      <c r="BP125">
        <v>2011</v>
      </c>
      <c r="BS125" s="2" t="s">
        <v>49</v>
      </c>
      <c r="BT125">
        <v>112791</v>
      </c>
      <c r="BU125" t="s">
        <v>52</v>
      </c>
      <c r="BV125">
        <v>2011</v>
      </c>
      <c r="BY125" s="2" t="s">
        <v>49</v>
      </c>
      <c r="BZ125">
        <v>112886</v>
      </c>
      <c r="CA125" t="s">
        <v>52</v>
      </c>
      <c r="CB125">
        <v>2011</v>
      </c>
      <c r="CE125" s="2" t="s">
        <v>49</v>
      </c>
      <c r="CF125">
        <v>525446</v>
      </c>
      <c r="CG125" t="s">
        <v>52</v>
      </c>
      <c r="CH125">
        <v>2011</v>
      </c>
      <c r="CK125" s="2" t="s">
        <v>49</v>
      </c>
      <c r="CL125">
        <v>112646</v>
      </c>
      <c r="CM125" t="s">
        <v>52</v>
      </c>
      <c r="CN125">
        <v>2011</v>
      </c>
    </row>
    <row r="126" spans="1:92" x14ac:dyDescent="0.25">
      <c r="A126">
        <v>77206084</v>
      </c>
      <c r="B126" s="3" t="s">
        <v>37</v>
      </c>
      <c r="C126" t="s">
        <v>53</v>
      </c>
      <c r="D126" t="s">
        <v>54</v>
      </c>
      <c r="E126">
        <v>2013</v>
      </c>
      <c r="F126" t="s">
        <v>55</v>
      </c>
      <c r="G126" t="s">
        <v>298</v>
      </c>
      <c r="H126" t="s">
        <v>299</v>
      </c>
      <c r="I126" t="s">
        <v>453</v>
      </c>
      <c r="J126" t="s">
        <v>42</v>
      </c>
      <c r="K126" t="s">
        <v>45</v>
      </c>
      <c r="L126" t="s">
        <v>301</v>
      </c>
      <c r="M126" t="s">
        <v>47</v>
      </c>
      <c r="N126">
        <v>160000</v>
      </c>
      <c r="O126">
        <v>17615</v>
      </c>
      <c r="P126">
        <v>142385</v>
      </c>
      <c r="Q126" t="s">
        <v>454</v>
      </c>
      <c r="R126" t="s">
        <v>298</v>
      </c>
      <c r="S126" s="2" t="s">
        <v>49</v>
      </c>
      <c r="T126">
        <v>301732</v>
      </c>
      <c r="U126" t="s">
        <v>50</v>
      </c>
      <c r="V126">
        <v>2015</v>
      </c>
      <c r="W126">
        <v>2080</v>
      </c>
      <c r="X126" t="s">
        <v>151</v>
      </c>
      <c r="Y126">
        <v>33</v>
      </c>
      <c r="Z126">
        <v>33</v>
      </c>
      <c r="AA126">
        <v>74</v>
      </c>
      <c r="AB126">
        <v>74</v>
      </c>
      <c r="AC126" s="2" t="s">
        <v>49</v>
      </c>
      <c r="AD126">
        <v>381213</v>
      </c>
      <c r="AE126" t="s">
        <v>62</v>
      </c>
      <c r="AF126">
        <v>2012</v>
      </c>
      <c r="AG126">
        <v>2080</v>
      </c>
      <c r="AH126" t="s">
        <v>151</v>
      </c>
      <c r="AI126">
        <v>33</v>
      </c>
      <c r="AJ126">
        <v>33</v>
      </c>
      <c r="AK126">
        <v>74</v>
      </c>
      <c r="AL126">
        <v>74</v>
      </c>
      <c r="AM126" s="2" t="s">
        <v>49</v>
      </c>
      <c r="AN126">
        <v>381313</v>
      </c>
      <c r="AO126" t="s">
        <v>62</v>
      </c>
      <c r="AP126">
        <v>2012</v>
      </c>
      <c r="AQ126">
        <v>2080</v>
      </c>
      <c r="AR126" t="s">
        <v>151</v>
      </c>
      <c r="AS126">
        <v>33</v>
      </c>
      <c r="AT126">
        <v>33</v>
      </c>
      <c r="AU126">
        <v>74</v>
      </c>
      <c r="AV126">
        <v>74</v>
      </c>
      <c r="AW126" s="2" t="s">
        <v>49</v>
      </c>
      <c r="AX126">
        <v>301810</v>
      </c>
      <c r="AY126" t="s">
        <v>50</v>
      </c>
      <c r="AZ126">
        <v>2015</v>
      </c>
      <c r="BA126">
        <v>2080</v>
      </c>
      <c r="BB126" t="s">
        <v>151</v>
      </c>
      <c r="BC126">
        <v>33</v>
      </c>
      <c r="BD126">
        <v>33</v>
      </c>
      <c r="BE126">
        <v>74</v>
      </c>
      <c r="BF126">
        <v>74</v>
      </c>
      <c r="BG126" s="2" t="s">
        <v>49</v>
      </c>
      <c r="BH126">
        <v>15817</v>
      </c>
      <c r="BI126">
        <v>1291</v>
      </c>
      <c r="BJ126">
        <v>2013</v>
      </c>
      <c r="BM126" s="2" t="s">
        <v>49</v>
      </c>
      <c r="BN126">
        <v>15237</v>
      </c>
      <c r="BO126">
        <v>1291</v>
      </c>
      <c r="BP126">
        <v>2013</v>
      </c>
      <c r="BS126" s="2" t="s">
        <v>49</v>
      </c>
      <c r="BT126">
        <v>45900</v>
      </c>
      <c r="BU126">
        <v>1291</v>
      </c>
      <c r="BV126">
        <v>2013</v>
      </c>
      <c r="BY126" s="2" t="s">
        <v>49</v>
      </c>
      <c r="BZ126">
        <v>45947</v>
      </c>
      <c r="CA126">
        <v>1291</v>
      </c>
      <c r="CB126">
        <v>2013</v>
      </c>
      <c r="CE126" s="2" t="s">
        <v>49</v>
      </c>
      <c r="CF126">
        <v>44881</v>
      </c>
      <c r="CG126">
        <v>1291</v>
      </c>
      <c r="CH126">
        <v>2013</v>
      </c>
      <c r="CK126" s="2" t="s">
        <v>49</v>
      </c>
      <c r="CL126">
        <v>45212</v>
      </c>
      <c r="CM126">
        <v>1291</v>
      </c>
      <c r="CN126">
        <v>2013</v>
      </c>
    </row>
    <row r="127" spans="1:92" x14ac:dyDescent="0.25">
      <c r="A127">
        <v>77223873</v>
      </c>
      <c r="B127" s="3" t="s">
        <v>37</v>
      </c>
      <c r="C127" t="s">
        <v>103</v>
      </c>
      <c r="D127" t="s">
        <v>104</v>
      </c>
      <c r="E127">
        <v>2011</v>
      </c>
      <c r="F127" t="s">
        <v>105</v>
      </c>
      <c r="G127" t="s">
        <v>455</v>
      </c>
      <c r="H127" t="s">
        <v>42</v>
      </c>
      <c r="I127" t="s">
        <v>456</v>
      </c>
      <c r="J127" t="s">
        <v>44</v>
      </c>
      <c r="K127" t="s">
        <v>45</v>
      </c>
      <c r="L127" t="s">
        <v>457</v>
      </c>
      <c r="M127" t="s">
        <v>47</v>
      </c>
      <c r="N127">
        <v>160000</v>
      </c>
      <c r="O127">
        <v>2794</v>
      </c>
      <c r="P127">
        <v>157206</v>
      </c>
      <c r="Q127" t="s">
        <v>458</v>
      </c>
      <c r="R127" t="s">
        <v>459</v>
      </c>
      <c r="S127" s="2" t="s">
        <v>49</v>
      </c>
      <c r="T127">
        <v>82217</v>
      </c>
      <c r="U127">
        <v>1175</v>
      </c>
      <c r="V127">
        <v>2010</v>
      </c>
      <c r="W127">
        <v>4045</v>
      </c>
      <c r="X127" t="s">
        <v>460</v>
      </c>
      <c r="Y127">
        <v>0</v>
      </c>
      <c r="Z127">
        <v>0</v>
      </c>
      <c r="AA127">
        <v>58</v>
      </c>
      <c r="AB127">
        <v>58</v>
      </c>
      <c r="AC127" s="2" t="s">
        <v>49</v>
      </c>
      <c r="AD127">
        <v>79026</v>
      </c>
      <c r="AE127">
        <v>1175</v>
      </c>
      <c r="AF127">
        <v>2010</v>
      </c>
      <c r="AG127">
        <v>4045</v>
      </c>
      <c r="AH127" t="s">
        <v>460</v>
      </c>
      <c r="AI127">
        <v>0</v>
      </c>
      <c r="AJ127">
        <v>0</v>
      </c>
      <c r="AK127">
        <v>56</v>
      </c>
      <c r="AL127">
        <v>56</v>
      </c>
      <c r="AM127" s="2" t="s">
        <v>49</v>
      </c>
      <c r="AN127">
        <v>945948</v>
      </c>
      <c r="AO127" t="s">
        <v>62</v>
      </c>
      <c r="AP127">
        <v>2002</v>
      </c>
      <c r="AQ127">
        <v>4045</v>
      </c>
      <c r="AR127" t="s">
        <v>460</v>
      </c>
      <c r="AS127">
        <v>0</v>
      </c>
      <c r="AT127">
        <v>0</v>
      </c>
      <c r="AU127">
        <v>52</v>
      </c>
      <c r="AV127">
        <v>52</v>
      </c>
      <c r="AW127" s="2" t="s">
        <v>49</v>
      </c>
      <c r="AX127">
        <v>88176</v>
      </c>
      <c r="AY127">
        <v>1175</v>
      </c>
      <c r="AZ127">
        <v>2011</v>
      </c>
      <c r="BA127">
        <v>4045</v>
      </c>
      <c r="BB127" t="s">
        <v>460</v>
      </c>
      <c r="BC127">
        <v>0</v>
      </c>
      <c r="BD127">
        <v>0</v>
      </c>
      <c r="BE127">
        <v>52</v>
      </c>
      <c r="BF127">
        <v>52</v>
      </c>
      <c r="BG127" s="2" t="s">
        <v>49</v>
      </c>
      <c r="BH127">
        <v>70298</v>
      </c>
      <c r="BI127" t="s">
        <v>52</v>
      </c>
      <c r="BJ127">
        <v>2011</v>
      </c>
      <c r="BM127" s="2" t="s">
        <v>49</v>
      </c>
      <c r="BN127">
        <v>70383</v>
      </c>
      <c r="BO127" t="s">
        <v>52</v>
      </c>
      <c r="BP127">
        <v>2011</v>
      </c>
      <c r="BS127" s="2" t="s">
        <v>49</v>
      </c>
      <c r="BT127">
        <v>117001</v>
      </c>
      <c r="BU127" t="s">
        <v>52</v>
      </c>
      <c r="BV127">
        <v>2011</v>
      </c>
      <c r="BY127" s="2" t="s">
        <v>49</v>
      </c>
      <c r="BZ127">
        <v>115832</v>
      </c>
      <c r="CA127" t="s">
        <v>52</v>
      </c>
      <c r="CB127">
        <v>2011</v>
      </c>
      <c r="CE127" s="2" t="s">
        <v>49</v>
      </c>
      <c r="CF127">
        <v>117190</v>
      </c>
      <c r="CG127" t="s">
        <v>52</v>
      </c>
      <c r="CH127">
        <v>2011</v>
      </c>
      <c r="CK127" s="2" t="s">
        <v>49</v>
      </c>
      <c r="CL127">
        <v>117122</v>
      </c>
      <c r="CM127" t="s">
        <v>52</v>
      </c>
      <c r="CN127">
        <v>2011</v>
      </c>
    </row>
    <row r="128" spans="1:92" x14ac:dyDescent="0.25">
      <c r="A128">
        <v>77223915</v>
      </c>
      <c r="B128" s="3" t="s">
        <v>37</v>
      </c>
      <c r="C128" t="s">
        <v>103</v>
      </c>
      <c r="D128" t="s">
        <v>104</v>
      </c>
      <c r="E128">
        <v>2011</v>
      </c>
      <c r="F128" t="s">
        <v>105</v>
      </c>
      <c r="G128" t="s">
        <v>461</v>
      </c>
      <c r="H128" t="s">
        <v>42</v>
      </c>
      <c r="I128" t="s">
        <v>462</v>
      </c>
      <c r="J128" t="s">
        <v>44</v>
      </c>
      <c r="K128" t="s">
        <v>45</v>
      </c>
      <c r="L128" t="s">
        <v>463</v>
      </c>
      <c r="M128" t="s">
        <v>47</v>
      </c>
      <c r="N128">
        <v>160000</v>
      </c>
      <c r="O128">
        <v>2794</v>
      </c>
      <c r="P128">
        <v>157206</v>
      </c>
      <c r="Q128" t="s">
        <v>464</v>
      </c>
      <c r="R128" t="s">
        <v>462</v>
      </c>
      <c r="S128" s="2" t="s">
        <v>49</v>
      </c>
      <c r="T128">
        <v>284916</v>
      </c>
      <c r="U128" t="s">
        <v>50</v>
      </c>
      <c r="V128">
        <v>2011</v>
      </c>
      <c r="W128">
        <v>745</v>
      </c>
      <c r="X128" t="s">
        <v>402</v>
      </c>
      <c r="Y128">
        <v>0</v>
      </c>
      <c r="Z128">
        <v>0</v>
      </c>
      <c r="AA128">
        <v>74</v>
      </c>
      <c r="AB128">
        <v>74</v>
      </c>
      <c r="AC128" s="2" t="s">
        <v>49</v>
      </c>
      <c r="AD128">
        <v>56660</v>
      </c>
      <c r="AE128">
        <v>2412</v>
      </c>
      <c r="AF128">
        <v>2024</v>
      </c>
      <c r="AG128">
        <v>745</v>
      </c>
      <c r="AH128" t="s">
        <v>402</v>
      </c>
      <c r="AI128">
        <v>0</v>
      </c>
      <c r="AJ128">
        <v>0</v>
      </c>
      <c r="AK128">
        <v>74</v>
      </c>
      <c r="AL128">
        <v>74</v>
      </c>
      <c r="AM128" s="2" t="s">
        <v>49</v>
      </c>
      <c r="AN128">
        <v>51700</v>
      </c>
      <c r="AO128">
        <v>2412</v>
      </c>
      <c r="AP128">
        <v>2024</v>
      </c>
      <c r="AQ128">
        <v>745</v>
      </c>
      <c r="AR128" t="s">
        <v>402</v>
      </c>
      <c r="AS128">
        <v>0</v>
      </c>
      <c r="AT128">
        <v>0</v>
      </c>
      <c r="AU128">
        <v>74</v>
      </c>
      <c r="AV128">
        <v>74</v>
      </c>
      <c r="AW128" s="2" t="s">
        <v>49</v>
      </c>
      <c r="AX128">
        <v>53300</v>
      </c>
      <c r="AY128">
        <v>2412</v>
      </c>
      <c r="AZ128">
        <v>2024</v>
      </c>
      <c r="BA128">
        <v>745</v>
      </c>
      <c r="BB128" t="s">
        <v>402</v>
      </c>
      <c r="BC128">
        <v>0</v>
      </c>
      <c r="BD128">
        <v>0</v>
      </c>
      <c r="BE128">
        <v>74</v>
      </c>
      <c r="BF128">
        <v>74</v>
      </c>
      <c r="BG128" s="2" t="s">
        <v>49</v>
      </c>
      <c r="BH128">
        <v>37753</v>
      </c>
      <c r="BI128" t="s">
        <v>50</v>
      </c>
      <c r="BJ128">
        <v>2011</v>
      </c>
      <c r="BM128" s="2" t="s">
        <v>49</v>
      </c>
      <c r="BN128">
        <v>37243</v>
      </c>
      <c r="BO128" t="s">
        <v>50</v>
      </c>
      <c r="BP128">
        <v>2011</v>
      </c>
      <c r="BS128" s="2" t="s">
        <v>49</v>
      </c>
      <c r="BT128">
        <v>65250</v>
      </c>
      <c r="BU128" t="s">
        <v>50</v>
      </c>
      <c r="BV128">
        <v>2011</v>
      </c>
      <c r="BY128" s="2" t="s">
        <v>49</v>
      </c>
      <c r="BZ128">
        <v>65463</v>
      </c>
      <c r="CA128" t="s">
        <v>50</v>
      </c>
      <c r="CB128">
        <v>2011</v>
      </c>
      <c r="CE128" s="2" t="s">
        <v>49</v>
      </c>
      <c r="CF128">
        <v>33818</v>
      </c>
      <c r="CG128" t="s">
        <v>50</v>
      </c>
      <c r="CH128">
        <v>2011</v>
      </c>
      <c r="CK128" s="2" t="s">
        <v>49</v>
      </c>
      <c r="CL128">
        <v>66418</v>
      </c>
      <c r="CM128" t="s">
        <v>50</v>
      </c>
      <c r="CN128">
        <v>2011</v>
      </c>
    </row>
    <row r="129" spans="1:92" x14ac:dyDescent="0.25">
      <c r="A129">
        <v>77223808</v>
      </c>
      <c r="B129" s="3" t="s">
        <v>37</v>
      </c>
      <c r="C129" t="s">
        <v>103</v>
      </c>
      <c r="D129" t="s">
        <v>465</v>
      </c>
      <c r="E129">
        <v>2011</v>
      </c>
      <c r="F129" t="s">
        <v>466</v>
      </c>
      <c r="G129" t="s">
        <v>427</v>
      </c>
      <c r="H129" t="s">
        <v>467</v>
      </c>
      <c r="I129" t="s">
        <v>468</v>
      </c>
      <c r="J129" t="s">
        <v>44</v>
      </c>
      <c r="K129" t="s">
        <v>45</v>
      </c>
      <c r="L129" t="s">
        <v>469</v>
      </c>
      <c r="M129" t="s">
        <v>47</v>
      </c>
      <c r="N129">
        <v>160000</v>
      </c>
      <c r="O129">
        <v>2812</v>
      </c>
      <c r="P129">
        <v>157188</v>
      </c>
      <c r="Q129" t="s">
        <v>470</v>
      </c>
      <c r="R129" t="s">
        <v>468</v>
      </c>
      <c r="S129" s="2" t="s">
        <v>49</v>
      </c>
      <c r="T129">
        <v>285949</v>
      </c>
      <c r="U129" t="s">
        <v>50</v>
      </c>
      <c r="V129">
        <v>2011</v>
      </c>
      <c r="W129">
        <v>745</v>
      </c>
      <c r="X129" t="s">
        <v>230</v>
      </c>
      <c r="Y129">
        <v>0</v>
      </c>
      <c r="Z129">
        <v>0</v>
      </c>
      <c r="AA129">
        <v>74</v>
      </c>
      <c r="AB129">
        <v>74</v>
      </c>
      <c r="AC129" s="2" t="s">
        <v>49</v>
      </c>
      <c r="AD129">
        <v>267944</v>
      </c>
      <c r="AE129" t="s">
        <v>50</v>
      </c>
      <c r="AF129">
        <v>2011</v>
      </c>
      <c r="AG129">
        <v>745</v>
      </c>
      <c r="AH129" t="s">
        <v>230</v>
      </c>
      <c r="AI129">
        <v>0</v>
      </c>
      <c r="AJ129">
        <v>0</v>
      </c>
      <c r="AK129">
        <v>74</v>
      </c>
      <c r="AL129">
        <v>74</v>
      </c>
      <c r="AM129" s="2" t="s">
        <v>49</v>
      </c>
      <c r="AN129">
        <v>402175</v>
      </c>
      <c r="AO129" t="s">
        <v>50</v>
      </c>
      <c r="AP129">
        <v>2013</v>
      </c>
      <c r="AQ129">
        <v>745</v>
      </c>
      <c r="AR129" t="s">
        <v>230</v>
      </c>
      <c r="AS129">
        <v>0</v>
      </c>
      <c r="AT129">
        <v>0</v>
      </c>
      <c r="AU129">
        <v>74</v>
      </c>
      <c r="AV129">
        <v>74</v>
      </c>
      <c r="AW129" s="2" t="s">
        <v>49</v>
      </c>
      <c r="AX129">
        <v>285708</v>
      </c>
      <c r="AY129" t="s">
        <v>50</v>
      </c>
      <c r="AZ129">
        <v>2011</v>
      </c>
      <c r="BA129">
        <v>745</v>
      </c>
      <c r="BB129" t="s">
        <v>230</v>
      </c>
      <c r="BC129">
        <v>0</v>
      </c>
      <c r="BD129">
        <v>0</v>
      </c>
      <c r="BE129">
        <v>72</v>
      </c>
      <c r="BF129">
        <v>72</v>
      </c>
      <c r="BG129" s="2" t="s">
        <v>49</v>
      </c>
      <c r="BH129">
        <v>60564</v>
      </c>
      <c r="BI129" t="s">
        <v>52</v>
      </c>
      <c r="BJ129">
        <v>2011</v>
      </c>
      <c r="BM129" s="2" t="s">
        <v>49</v>
      </c>
      <c r="BN129">
        <v>56871</v>
      </c>
      <c r="BO129" t="s">
        <v>52</v>
      </c>
      <c r="BP129">
        <v>2011</v>
      </c>
      <c r="BS129" s="2" t="s">
        <v>49</v>
      </c>
      <c r="BT129">
        <v>101800</v>
      </c>
      <c r="BU129" t="s">
        <v>52</v>
      </c>
      <c r="BV129">
        <v>2011</v>
      </c>
      <c r="BY129" s="2" t="s">
        <v>49</v>
      </c>
      <c r="BZ129">
        <v>101924</v>
      </c>
      <c r="CA129" t="s">
        <v>52</v>
      </c>
      <c r="CB129">
        <v>2011</v>
      </c>
      <c r="CE129" s="2" t="s">
        <v>49</v>
      </c>
      <c r="CF129">
        <v>99146</v>
      </c>
      <c r="CG129" t="s">
        <v>52</v>
      </c>
      <c r="CH129">
        <v>2011</v>
      </c>
      <c r="CK129" s="2" t="s">
        <v>49</v>
      </c>
      <c r="CL129">
        <v>99157</v>
      </c>
      <c r="CM129" t="s">
        <v>52</v>
      </c>
      <c r="CN129">
        <v>2011</v>
      </c>
    </row>
    <row r="130" spans="1:92" x14ac:dyDescent="0.25">
      <c r="A130">
        <v>77223840</v>
      </c>
      <c r="B130" s="3" t="s">
        <v>37</v>
      </c>
      <c r="C130" t="s">
        <v>38</v>
      </c>
      <c r="D130" t="s">
        <v>94</v>
      </c>
      <c r="E130">
        <v>2011</v>
      </c>
      <c r="F130" t="s">
        <v>95</v>
      </c>
      <c r="G130" t="s">
        <v>471</v>
      </c>
      <c r="H130" t="s">
        <v>42</v>
      </c>
      <c r="I130" t="s">
        <v>472</v>
      </c>
      <c r="J130" t="s">
        <v>44</v>
      </c>
      <c r="K130" t="s">
        <v>45</v>
      </c>
      <c r="L130" t="s">
        <v>374</v>
      </c>
      <c r="M130" t="s">
        <v>47</v>
      </c>
      <c r="N130">
        <v>160000</v>
      </c>
      <c r="O130">
        <v>2812</v>
      </c>
      <c r="P130">
        <v>157188</v>
      </c>
      <c r="Q130" t="s">
        <v>473</v>
      </c>
      <c r="R130" t="s">
        <v>472</v>
      </c>
      <c r="S130" s="2" t="s">
        <v>49</v>
      </c>
      <c r="T130">
        <v>285316</v>
      </c>
      <c r="U130" t="s">
        <v>50</v>
      </c>
      <c r="V130">
        <v>2011</v>
      </c>
      <c r="W130">
        <v>745</v>
      </c>
      <c r="X130" t="s">
        <v>230</v>
      </c>
      <c r="Y130">
        <v>0</v>
      </c>
      <c r="Z130">
        <v>0</v>
      </c>
      <c r="AA130">
        <v>63</v>
      </c>
      <c r="AB130">
        <v>63</v>
      </c>
      <c r="AC130" s="2" t="s">
        <v>49</v>
      </c>
      <c r="AD130">
        <v>378431</v>
      </c>
      <c r="AE130" t="s">
        <v>50</v>
      </c>
      <c r="AF130">
        <v>2013</v>
      </c>
      <c r="AG130">
        <v>745</v>
      </c>
      <c r="AH130" t="s">
        <v>230</v>
      </c>
      <c r="AI130">
        <v>0</v>
      </c>
      <c r="AJ130">
        <v>0</v>
      </c>
      <c r="AK130">
        <v>64</v>
      </c>
      <c r="AL130">
        <v>64</v>
      </c>
      <c r="AM130" s="2" t="s">
        <v>49</v>
      </c>
      <c r="AN130">
        <v>284322</v>
      </c>
      <c r="AO130" t="s">
        <v>50</v>
      </c>
      <c r="AP130">
        <v>2011</v>
      </c>
      <c r="AQ130">
        <v>745</v>
      </c>
      <c r="AR130" t="s">
        <v>230</v>
      </c>
      <c r="AS130">
        <v>0</v>
      </c>
      <c r="AT130">
        <v>0</v>
      </c>
      <c r="AU130">
        <v>67</v>
      </c>
      <c r="AV130">
        <v>67</v>
      </c>
      <c r="AW130" s="2" t="s">
        <v>49</v>
      </c>
      <c r="AX130">
        <v>285322</v>
      </c>
      <c r="AY130" t="s">
        <v>50</v>
      </c>
      <c r="AZ130">
        <v>2011</v>
      </c>
      <c r="BA130">
        <v>745</v>
      </c>
      <c r="BB130" t="s">
        <v>230</v>
      </c>
      <c r="BC130">
        <v>0</v>
      </c>
      <c r="BD130">
        <v>0</v>
      </c>
      <c r="BE130">
        <v>66</v>
      </c>
      <c r="BF130">
        <v>66</v>
      </c>
      <c r="BG130" s="2" t="s">
        <v>49</v>
      </c>
      <c r="BH130">
        <v>37874</v>
      </c>
      <c r="BI130" t="s">
        <v>50</v>
      </c>
      <c r="BJ130">
        <v>2011</v>
      </c>
      <c r="BM130" s="2" t="s">
        <v>49</v>
      </c>
      <c r="BN130">
        <v>37420</v>
      </c>
      <c r="BO130" t="s">
        <v>50</v>
      </c>
      <c r="BP130">
        <v>2011</v>
      </c>
      <c r="BS130" s="2" t="s">
        <v>49</v>
      </c>
      <c r="BT130">
        <v>52860</v>
      </c>
      <c r="BU130" t="s">
        <v>50</v>
      </c>
      <c r="BV130">
        <v>2011</v>
      </c>
      <c r="BY130" s="2" t="s">
        <v>49</v>
      </c>
      <c r="BZ130">
        <v>66567</v>
      </c>
      <c r="CA130" t="s">
        <v>50</v>
      </c>
      <c r="CB130">
        <v>2011</v>
      </c>
      <c r="CE130" s="2" t="s">
        <v>49</v>
      </c>
      <c r="CF130">
        <v>66457</v>
      </c>
      <c r="CG130" t="s">
        <v>50</v>
      </c>
      <c r="CH130">
        <v>2011</v>
      </c>
      <c r="CK130" s="2" t="s">
        <v>49</v>
      </c>
      <c r="CL130">
        <v>66470</v>
      </c>
      <c r="CM130" t="s">
        <v>50</v>
      </c>
      <c r="CN130">
        <v>2011</v>
      </c>
    </row>
    <row r="131" spans="1:92" x14ac:dyDescent="0.25">
      <c r="A131">
        <v>77223857</v>
      </c>
      <c r="B131" s="3" t="s">
        <v>37</v>
      </c>
      <c r="C131" t="s">
        <v>103</v>
      </c>
      <c r="D131" t="s">
        <v>410</v>
      </c>
      <c r="E131">
        <v>2011</v>
      </c>
      <c r="F131" t="s">
        <v>411</v>
      </c>
      <c r="G131" t="s">
        <v>474</v>
      </c>
      <c r="H131" t="s">
        <v>42</v>
      </c>
      <c r="I131" t="s">
        <v>147</v>
      </c>
      <c r="J131" t="s">
        <v>89</v>
      </c>
      <c r="K131" t="s">
        <v>45</v>
      </c>
      <c r="L131" t="s">
        <v>324</v>
      </c>
      <c r="M131" t="s">
        <v>47</v>
      </c>
      <c r="N131">
        <v>160000</v>
      </c>
      <c r="O131">
        <v>20371</v>
      </c>
      <c r="P131">
        <v>139629</v>
      </c>
      <c r="Q131" t="s">
        <v>475</v>
      </c>
      <c r="R131" t="s">
        <v>147</v>
      </c>
      <c r="S131" s="2" t="s">
        <v>49</v>
      </c>
      <c r="T131">
        <v>121674</v>
      </c>
      <c r="U131" t="s">
        <v>50</v>
      </c>
      <c r="V131">
        <v>2012</v>
      </c>
      <c r="W131">
        <v>2348</v>
      </c>
      <c r="X131" t="s">
        <v>151</v>
      </c>
      <c r="Y131">
        <v>33</v>
      </c>
      <c r="Z131">
        <v>33</v>
      </c>
      <c r="AA131">
        <v>74</v>
      </c>
      <c r="AB131">
        <v>74</v>
      </c>
      <c r="AC131" s="2" t="s">
        <v>49</v>
      </c>
      <c r="AD131">
        <v>283002</v>
      </c>
      <c r="AE131" t="s">
        <v>50</v>
      </c>
      <c r="AF131">
        <v>2011</v>
      </c>
      <c r="AG131">
        <v>2348</v>
      </c>
      <c r="AH131" t="s">
        <v>151</v>
      </c>
      <c r="AI131">
        <v>33</v>
      </c>
      <c r="AJ131">
        <v>33</v>
      </c>
      <c r="AK131">
        <v>74</v>
      </c>
      <c r="AL131">
        <v>74</v>
      </c>
      <c r="AM131" s="2" t="s">
        <v>49</v>
      </c>
      <c r="AN131">
        <v>442992</v>
      </c>
      <c r="AO131" t="s">
        <v>62</v>
      </c>
      <c r="AP131">
        <v>2013</v>
      </c>
      <c r="AQ131">
        <v>2348</v>
      </c>
      <c r="AR131" t="s">
        <v>151</v>
      </c>
      <c r="AS131">
        <v>33</v>
      </c>
      <c r="AT131">
        <v>33</v>
      </c>
      <c r="AU131">
        <v>74</v>
      </c>
      <c r="AV131">
        <v>74</v>
      </c>
      <c r="AW131" s="2" t="s">
        <v>49</v>
      </c>
      <c r="AX131">
        <v>124219</v>
      </c>
      <c r="AY131" t="s">
        <v>50</v>
      </c>
      <c r="AZ131">
        <v>2012</v>
      </c>
      <c r="BA131">
        <v>2348</v>
      </c>
      <c r="BB131" t="s">
        <v>151</v>
      </c>
      <c r="BC131">
        <v>33</v>
      </c>
      <c r="BD131">
        <v>33</v>
      </c>
      <c r="BE131">
        <v>74</v>
      </c>
      <c r="BF131">
        <v>74</v>
      </c>
      <c r="BG131" s="2" t="s">
        <v>49</v>
      </c>
      <c r="BH131">
        <v>36819</v>
      </c>
      <c r="BI131" t="s">
        <v>50</v>
      </c>
      <c r="BJ131">
        <v>2011</v>
      </c>
      <c r="BM131" s="2" t="s">
        <v>49</v>
      </c>
      <c r="BN131">
        <v>37019</v>
      </c>
      <c r="BO131" t="s">
        <v>50</v>
      </c>
      <c r="BP131">
        <v>2011</v>
      </c>
      <c r="BS131" s="2" t="s">
        <v>49</v>
      </c>
      <c r="BT131">
        <v>65847</v>
      </c>
      <c r="BU131" t="s">
        <v>50</v>
      </c>
      <c r="BV131">
        <v>2011</v>
      </c>
      <c r="BY131" s="2" t="s">
        <v>49</v>
      </c>
      <c r="BZ131">
        <v>66113</v>
      </c>
      <c r="CA131" t="s">
        <v>50</v>
      </c>
      <c r="CB131">
        <v>2011</v>
      </c>
      <c r="CE131" s="2" t="s">
        <v>49</v>
      </c>
      <c r="CF131">
        <v>65299</v>
      </c>
      <c r="CG131" t="s">
        <v>50</v>
      </c>
      <c r="CH131">
        <v>2011</v>
      </c>
      <c r="CK131" s="2" t="s">
        <v>49</v>
      </c>
      <c r="CL131">
        <v>64795</v>
      </c>
      <c r="CM131" t="s">
        <v>50</v>
      </c>
      <c r="CN131">
        <v>2011</v>
      </c>
    </row>
    <row r="132" spans="1:92" x14ac:dyDescent="0.25">
      <c r="A132">
        <v>77224509</v>
      </c>
      <c r="B132" s="3" t="s">
        <v>37</v>
      </c>
      <c r="C132" t="s">
        <v>38</v>
      </c>
      <c r="D132" t="s">
        <v>94</v>
      </c>
      <c r="E132">
        <v>2011</v>
      </c>
      <c r="F132" t="s">
        <v>95</v>
      </c>
      <c r="G132" t="s">
        <v>476</v>
      </c>
      <c r="H132" t="s">
        <v>42</v>
      </c>
      <c r="I132" t="s">
        <v>371</v>
      </c>
      <c r="J132" t="s">
        <v>42</v>
      </c>
      <c r="K132" t="s">
        <v>45</v>
      </c>
      <c r="L132" t="s">
        <v>372</v>
      </c>
      <c r="M132" t="s">
        <v>47</v>
      </c>
      <c r="N132">
        <v>160000</v>
      </c>
      <c r="O132">
        <v>32661</v>
      </c>
      <c r="P132">
        <v>127339</v>
      </c>
      <c r="Q132" t="s">
        <v>477</v>
      </c>
      <c r="R132" t="s">
        <v>371</v>
      </c>
      <c r="S132" s="2" t="s">
        <v>49</v>
      </c>
      <c r="T132">
        <v>522996</v>
      </c>
      <c r="U132" t="s">
        <v>62</v>
      </c>
      <c r="V132">
        <v>2014</v>
      </c>
      <c r="W132">
        <v>301</v>
      </c>
      <c r="X132" t="s">
        <v>93</v>
      </c>
      <c r="Y132">
        <v>33</v>
      </c>
      <c r="Z132">
        <v>33</v>
      </c>
      <c r="AA132">
        <v>75</v>
      </c>
      <c r="AB132">
        <v>75</v>
      </c>
      <c r="AC132" s="2" t="s">
        <v>49</v>
      </c>
      <c r="AD132">
        <v>516563</v>
      </c>
      <c r="AE132" t="s">
        <v>62</v>
      </c>
      <c r="AF132">
        <v>2013</v>
      </c>
      <c r="AG132">
        <v>301</v>
      </c>
      <c r="AH132" t="s">
        <v>93</v>
      </c>
      <c r="AI132">
        <v>33</v>
      </c>
      <c r="AJ132">
        <v>33</v>
      </c>
      <c r="AK132">
        <v>75</v>
      </c>
      <c r="AL132">
        <v>75</v>
      </c>
      <c r="AM132" s="2" t="s">
        <v>49</v>
      </c>
      <c r="AN132">
        <v>120391</v>
      </c>
      <c r="AO132" t="s">
        <v>50</v>
      </c>
      <c r="AP132">
        <v>2012</v>
      </c>
      <c r="AQ132">
        <v>301</v>
      </c>
      <c r="AR132" t="s">
        <v>93</v>
      </c>
      <c r="AS132">
        <v>33</v>
      </c>
      <c r="AT132">
        <v>33</v>
      </c>
      <c r="AU132">
        <v>75</v>
      </c>
      <c r="AV132">
        <v>75</v>
      </c>
      <c r="AW132" s="2" t="s">
        <v>49</v>
      </c>
      <c r="AX132">
        <v>123618</v>
      </c>
      <c r="AY132" t="s">
        <v>50</v>
      </c>
      <c r="AZ132">
        <v>2012</v>
      </c>
      <c r="BA132">
        <v>301</v>
      </c>
      <c r="BB132" t="s">
        <v>93</v>
      </c>
      <c r="BC132">
        <v>33</v>
      </c>
      <c r="BD132">
        <v>33</v>
      </c>
      <c r="BE132">
        <v>75</v>
      </c>
      <c r="BF132">
        <v>75</v>
      </c>
      <c r="BG132" s="2" t="s">
        <v>49</v>
      </c>
      <c r="BH132">
        <v>37942</v>
      </c>
      <c r="BI132" t="s">
        <v>50</v>
      </c>
      <c r="BJ132">
        <v>2011</v>
      </c>
      <c r="BM132" s="2" t="s">
        <v>49</v>
      </c>
      <c r="BN132">
        <v>37711</v>
      </c>
      <c r="BO132" t="s">
        <v>50</v>
      </c>
      <c r="BP132">
        <v>2011</v>
      </c>
      <c r="BS132" s="2" t="s">
        <v>49</v>
      </c>
      <c r="BT132">
        <v>67114</v>
      </c>
      <c r="BU132" t="s">
        <v>50</v>
      </c>
      <c r="BV132">
        <v>2011</v>
      </c>
      <c r="BY132" s="2" t="s">
        <v>49</v>
      </c>
      <c r="BZ132">
        <v>67005</v>
      </c>
      <c r="CA132" t="s">
        <v>50</v>
      </c>
      <c r="CB132">
        <v>2011</v>
      </c>
      <c r="CE132" s="2" t="s">
        <v>49</v>
      </c>
      <c r="CF132">
        <v>66775</v>
      </c>
      <c r="CG132" t="s">
        <v>50</v>
      </c>
      <c r="CH132">
        <v>2011</v>
      </c>
      <c r="CK132" s="2" t="s">
        <v>49</v>
      </c>
      <c r="CL132">
        <v>66566</v>
      </c>
      <c r="CM132" t="s">
        <v>50</v>
      </c>
      <c r="CN132">
        <v>2011</v>
      </c>
    </row>
    <row r="133" spans="1:92" x14ac:dyDescent="0.25">
      <c r="A133">
        <v>77223931</v>
      </c>
      <c r="B133" s="3" t="s">
        <v>37</v>
      </c>
      <c r="C133" t="s">
        <v>103</v>
      </c>
      <c r="D133" t="s">
        <v>94</v>
      </c>
      <c r="E133">
        <v>2011</v>
      </c>
      <c r="F133" t="s">
        <v>95</v>
      </c>
      <c r="G133" t="s">
        <v>478</v>
      </c>
      <c r="H133" t="s">
        <v>42</v>
      </c>
      <c r="I133" t="s">
        <v>184</v>
      </c>
      <c r="J133" t="s">
        <v>89</v>
      </c>
      <c r="K133" t="s">
        <v>45</v>
      </c>
      <c r="L133" t="s">
        <v>368</v>
      </c>
      <c r="M133" t="s">
        <v>47</v>
      </c>
      <c r="N133">
        <v>160000</v>
      </c>
      <c r="O133">
        <v>25212</v>
      </c>
      <c r="P133">
        <v>134788</v>
      </c>
      <c r="Q133" t="s">
        <v>225</v>
      </c>
      <c r="R133" t="s">
        <v>184</v>
      </c>
      <c r="S133" s="2" t="s">
        <v>49</v>
      </c>
      <c r="T133">
        <v>24400</v>
      </c>
      <c r="U133" t="s">
        <v>50</v>
      </c>
      <c r="V133">
        <v>2005</v>
      </c>
      <c r="W133">
        <v>2348</v>
      </c>
      <c r="X133" t="s">
        <v>151</v>
      </c>
      <c r="Y133">
        <v>30</v>
      </c>
      <c r="Z133">
        <v>30</v>
      </c>
      <c r="AA133">
        <v>62</v>
      </c>
      <c r="AB133">
        <v>62</v>
      </c>
      <c r="AC133" s="2" t="s">
        <v>49</v>
      </c>
      <c r="AD133">
        <v>276349</v>
      </c>
      <c r="AE133" t="s">
        <v>50</v>
      </c>
      <c r="AF133">
        <v>2011</v>
      </c>
      <c r="AG133">
        <v>2348</v>
      </c>
      <c r="AH133" t="s">
        <v>151</v>
      </c>
      <c r="AI133">
        <v>30</v>
      </c>
      <c r="AJ133">
        <v>30</v>
      </c>
      <c r="AK133">
        <v>63</v>
      </c>
      <c r="AL133">
        <v>63</v>
      </c>
      <c r="AM133" s="2" t="s">
        <v>49</v>
      </c>
      <c r="AN133">
        <v>139015</v>
      </c>
      <c r="AO133" t="s">
        <v>50</v>
      </c>
      <c r="AP133">
        <v>2014</v>
      </c>
      <c r="AQ133">
        <v>2348</v>
      </c>
      <c r="AR133" t="s">
        <v>151</v>
      </c>
      <c r="AS133">
        <v>30</v>
      </c>
      <c r="AT133">
        <v>30</v>
      </c>
      <c r="AU133">
        <v>68</v>
      </c>
      <c r="AV133">
        <v>68</v>
      </c>
      <c r="AW133" s="2" t="s">
        <v>49</v>
      </c>
      <c r="AX133">
        <v>278033</v>
      </c>
      <c r="AY133" t="s">
        <v>50</v>
      </c>
      <c r="AZ133">
        <v>2011</v>
      </c>
      <c r="BA133">
        <v>2348</v>
      </c>
      <c r="BB133" t="s">
        <v>151</v>
      </c>
      <c r="BC133">
        <v>30</v>
      </c>
      <c r="BD133">
        <v>30</v>
      </c>
      <c r="BE133">
        <v>67</v>
      </c>
      <c r="BF133">
        <v>67</v>
      </c>
      <c r="BG133" s="2" t="s">
        <v>49</v>
      </c>
      <c r="BH133">
        <v>62691</v>
      </c>
      <c r="BI133" t="s">
        <v>52</v>
      </c>
      <c r="BJ133">
        <v>2011</v>
      </c>
      <c r="BM133" s="2" t="s">
        <v>49</v>
      </c>
      <c r="BN133">
        <v>60872</v>
      </c>
      <c r="BO133" t="s">
        <v>52</v>
      </c>
      <c r="BP133">
        <v>2011</v>
      </c>
      <c r="BS133" s="2" t="s">
        <v>49</v>
      </c>
      <c r="BT133">
        <v>100961</v>
      </c>
      <c r="BU133" t="s">
        <v>52</v>
      </c>
      <c r="BV133">
        <v>2011</v>
      </c>
      <c r="BY133" s="2" t="s">
        <v>49</v>
      </c>
      <c r="BZ133">
        <v>523290</v>
      </c>
      <c r="CA133" t="s">
        <v>52</v>
      </c>
      <c r="CB133">
        <v>2011</v>
      </c>
      <c r="CE133" s="2" t="s">
        <v>49</v>
      </c>
      <c r="CF133">
        <v>99870</v>
      </c>
      <c r="CG133" t="s">
        <v>52</v>
      </c>
      <c r="CH133">
        <v>2011</v>
      </c>
      <c r="CK133" s="2" t="s">
        <v>49</v>
      </c>
      <c r="CL133">
        <v>100806</v>
      </c>
      <c r="CM133" t="s">
        <v>52</v>
      </c>
      <c r="CN133">
        <v>2011</v>
      </c>
    </row>
    <row r="134" spans="1:92" x14ac:dyDescent="0.25">
      <c r="A134">
        <v>77221935</v>
      </c>
      <c r="B134" s="3" t="s">
        <v>37</v>
      </c>
      <c r="C134" t="s">
        <v>103</v>
      </c>
      <c r="D134" t="s">
        <v>104</v>
      </c>
      <c r="E134">
        <v>2011</v>
      </c>
      <c r="F134" t="s">
        <v>105</v>
      </c>
      <c r="G134" t="s">
        <v>293</v>
      </c>
      <c r="H134" t="s">
        <v>42</v>
      </c>
      <c r="I134" t="s">
        <v>479</v>
      </c>
      <c r="J134" t="s">
        <v>44</v>
      </c>
      <c r="K134" t="s">
        <v>45</v>
      </c>
      <c r="L134" t="s">
        <v>480</v>
      </c>
      <c r="M134" t="s">
        <v>47</v>
      </c>
      <c r="N134">
        <v>160000</v>
      </c>
      <c r="O134">
        <v>8959</v>
      </c>
      <c r="P134">
        <v>151041</v>
      </c>
      <c r="Q134" t="s">
        <v>481</v>
      </c>
      <c r="R134" t="s">
        <v>479</v>
      </c>
      <c r="S134" s="2" t="s">
        <v>49</v>
      </c>
      <c r="T134">
        <v>830297</v>
      </c>
      <c r="U134" t="s">
        <v>62</v>
      </c>
      <c r="V134">
        <v>2010</v>
      </c>
      <c r="W134">
        <v>745</v>
      </c>
      <c r="X134" t="s">
        <v>51</v>
      </c>
      <c r="Y134">
        <v>0</v>
      </c>
      <c r="Z134">
        <v>0</v>
      </c>
      <c r="AA134">
        <v>61</v>
      </c>
      <c r="AB134">
        <v>61</v>
      </c>
      <c r="AC134" s="2" t="s">
        <v>49</v>
      </c>
      <c r="AD134">
        <v>222729</v>
      </c>
      <c r="AE134" t="s">
        <v>50</v>
      </c>
      <c r="AF134">
        <v>2011</v>
      </c>
      <c r="AG134">
        <v>745</v>
      </c>
      <c r="AH134" t="s">
        <v>51</v>
      </c>
      <c r="AI134">
        <v>0</v>
      </c>
      <c r="AJ134">
        <v>0</v>
      </c>
      <c r="AK134">
        <v>60</v>
      </c>
      <c r="AL134">
        <v>60</v>
      </c>
      <c r="AM134" s="2" t="s">
        <v>49</v>
      </c>
      <c r="AN134">
        <v>100873</v>
      </c>
      <c r="AO134" t="s">
        <v>62</v>
      </c>
      <c r="AP134">
        <v>1987</v>
      </c>
      <c r="AQ134">
        <v>745</v>
      </c>
      <c r="AR134" t="s">
        <v>51</v>
      </c>
      <c r="AS134">
        <v>0</v>
      </c>
      <c r="AT134">
        <v>0</v>
      </c>
      <c r="AU134">
        <v>56</v>
      </c>
      <c r="AV134">
        <v>56</v>
      </c>
      <c r="AW134" s="2" t="s">
        <v>49</v>
      </c>
      <c r="AX134">
        <v>19221</v>
      </c>
      <c r="AY134" t="s">
        <v>85</v>
      </c>
      <c r="AZ134">
        <v>1982</v>
      </c>
      <c r="BA134">
        <v>745</v>
      </c>
      <c r="BB134" t="s">
        <v>51</v>
      </c>
      <c r="BC134">
        <v>0</v>
      </c>
      <c r="BD134">
        <v>0</v>
      </c>
      <c r="BE134">
        <v>58</v>
      </c>
      <c r="BF134">
        <v>58</v>
      </c>
      <c r="BG134" s="2" t="s">
        <v>49</v>
      </c>
      <c r="BH134">
        <v>37211</v>
      </c>
      <c r="BI134" t="s">
        <v>50</v>
      </c>
      <c r="BJ134">
        <v>2011</v>
      </c>
      <c r="BM134" s="2" t="s">
        <v>49</v>
      </c>
      <c r="BN134">
        <v>37409</v>
      </c>
      <c r="BO134" t="s">
        <v>50</v>
      </c>
      <c r="BP134">
        <v>2011</v>
      </c>
      <c r="BS134" s="2" t="s">
        <v>49</v>
      </c>
      <c r="BT134">
        <v>65759</v>
      </c>
      <c r="BU134" t="s">
        <v>50</v>
      </c>
      <c r="BV134">
        <v>2011</v>
      </c>
      <c r="BY134" s="2" t="s">
        <v>49</v>
      </c>
      <c r="BZ134">
        <v>65396</v>
      </c>
      <c r="CA134" t="s">
        <v>50</v>
      </c>
      <c r="CB134">
        <v>2011</v>
      </c>
      <c r="CE134" s="2" t="s">
        <v>49</v>
      </c>
      <c r="CF134">
        <v>66010</v>
      </c>
      <c r="CG134" t="s">
        <v>50</v>
      </c>
      <c r="CH134">
        <v>2011</v>
      </c>
      <c r="CK134" s="2" t="s">
        <v>49</v>
      </c>
      <c r="CL134">
        <v>66006</v>
      </c>
      <c r="CM134" t="s">
        <v>50</v>
      </c>
      <c r="CN134">
        <v>2011</v>
      </c>
    </row>
    <row r="135" spans="1:92" x14ac:dyDescent="0.25">
      <c r="A135">
        <v>77221836</v>
      </c>
      <c r="B135" s="3" t="s">
        <v>37</v>
      </c>
      <c r="C135" t="s">
        <v>103</v>
      </c>
      <c r="D135" t="s">
        <v>410</v>
      </c>
      <c r="E135">
        <v>2011</v>
      </c>
      <c r="F135" t="s">
        <v>411</v>
      </c>
      <c r="G135" t="s">
        <v>140</v>
      </c>
      <c r="H135" t="s">
        <v>42</v>
      </c>
      <c r="I135" t="s">
        <v>482</v>
      </c>
      <c r="J135" t="s">
        <v>44</v>
      </c>
      <c r="K135" t="s">
        <v>45</v>
      </c>
      <c r="L135" t="s">
        <v>483</v>
      </c>
      <c r="M135" t="s">
        <v>47</v>
      </c>
      <c r="N135">
        <v>160000</v>
      </c>
      <c r="O135">
        <v>7963</v>
      </c>
      <c r="P135">
        <v>152037</v>
      </c>
      <c r="Q135" t="s">
        <v>484</v>
      </c>
      <c r="R135" t="s">
        <v>482</v>
      </c>
      <c r="S135" s="2" t="s">
        <v>49</v>
      </c>
      <c r="T135">
        <v>267359</v>
      </c>
      <c r="U135" t="s">
        <v>50</v>
      </c>
      <c r="V135">
        <v>2011</v>
      </c>
      <c r="W135">
        <v>745</v>
      </c>
      <c r="X135" t="s">
        <v>51</v>
      </c>
      <c r="Y135">
        <v>0</v>
      </c>
      <c r="Z135">
        <v>0</v>
      </c>
      <c r="AA135">
        <v>68</v>
      </c>
      <c r="AB135">
        <v>68</v>
      </c>
      <c r="AC135" s="2" t="s">
        <v>49</v>
      </c>
      <c r="AD135">
        <v>869698</v>
      </c>
      <c r="AE135" t="s">
        <v>62</v>
      </c>
      <c r="AF135">
        <v>2010</v>
      </c>
      <c r="AG135">
        <v>745</v>
      </c>
      <c r="AH135" t="s">
        <v>51</v>
      </c>
      <c r="AI135">
        <v>0</v>
      </c>
      <c r="AJ135">
        <v>0</v>
      </c>
      <c r="AK135">
        <v>67</v>
      </c>
      <c r="AL135">
        <v>67</v>
      </c>
      <c r="AM135" s="2" t="s">
        <v>49</v>
      </c>
      <c r="AN135">
        <v>25551</v>
      </c>
      <c r="AO135">
        <v>1175</v>
      </c>
      <c r="AP135">
        <v>2009</v>
      </c>
      <c r="AQ135">
        <v>745</v>
      </c>
      <c r="AR135" t="s">
        <v>51</v>
      </c>
      <c r="AS135">
        <v>0</v>
      </c>
      <c r="AT135">
        <v>0</v>
      </c>
      <c r="AU135">
        <v>67</v>
      </c>
      <c r="AV135">
        <v>67</v>
      </c>
      <c r="AW135" s="2" t="s">
        <v>49</v>
      </c>
      <c r="AX135">
        <v>984025</v>
      </c>
      <c r="AY135" t="s">
        <v>62</v>
      </c>
      <c r="AZ135">
        <v>2011</v>
      </c>
      <c r="BA135">
        <v>745</v>
      </c>
      <c r="BB135" t="s">
        <v>51</v>
      </c>
      <c r="BC135">
        <v>0</v>
      </c>
      <c r="BD135">
        <v>0</v>
      </c>
      <c r="BE135">
        <v>61</v>
      </c>
      <c r="BF135">
        <v>61</v>
      </c>
      <c r="BG135" s="2" t="s">
        <v>49</v>
      </c>
      <c r="BH135">
        <v>37222</v>
      </c>
      <c r="BI135" t="s">
        <v>50</v>
      </c>
      <c r="BJ135">
        <v>2011</v>
      </c>
      <c r="BM135" s="2" t="s">
        <v>49</v>
      </c>
      <c r="BN135">
        <v>36942</v>
      </c>
      <c r="BO135" t="s">
        <v>50</v>
      </c>
      <c r="BP135">
        <v>2011</v>
      </c>
      <c r="BS135" s="2" t="s">
        <v>49</v>
      </c>
      <c r="BT135">
        <v>65808</v>
      </c>
      <c r="BU135" t="s">
        <v>50</v>
      </c>
      <c r="BV135">
        <v>2011</v>
      </c>
      <c r="BY135" s="2" t="s">
        <v>49</v>
      </c>
      <c r="BZ135">
        <v>65567</v>
      </c>
      <c r="CA135" t="s">
        <v>50</v>
      </c>
      <c r="CB135">
        <v>2011</v>
      </c>
      <c r="CE135" s="2" t="s">
        <v>49</v>
      </c>
      <c r="CF135">
        <v>65229</v>
      </c>
      <c r="CG135" t="s">
        <v>50</v>
      </c>
      <c r="CH135">
        <v>2011</v>
      </c>
      <c r="CK135" s="2" t="s">
        <v>49</v>
      </c>
      <c r="CL135">
        <v>65970</v>
      </c>
      <c r="CM135" t="s">
        <v>50</v>
      </c>
      <c r="CN135">
        <v>2011</v>
      </c>
    </row>
    <row r="136" spans="1:92" x14ac:dyDescent="0.25">
      <c r="A136">
        <v>77227023</v>
      </c>
      <c r="B136" s="3" t="s">
        <v>37</v>
      </c>
      <c r="C136" t="s">
        <v>103</v>
      </c>
      <c r="D136" t="s">
        <v>120</v>
      </c>
      <c r="E136">
        <v>2012</v>
      </c>
      <c r="F136" t="s">
        <v>121</v>
      </c>
      <c r="G136" t="s">
        <v>485</v>
      </c>
      <c r="H136" t="s">
        <v>58</v>
      </c>
      <c r="I136" t="s">
        <v>147</v>
      </c>
      <c r="J136" t="s">
        <v>89</v>
      </c>
      <c r="K136" t="s">
        <v>45</v>
      </c>
      <c r="L136" t="s">
        <v>324</v>
      </c>
      <c r="M136" t="s">
        <v>47</v>
      </c>
      <c r="N136">
        <v>160000</v>
      </c>
      <c r="O136">
        <v>24402</v>
      </c>
      <c r="P136">
        <v>135598</v>
      </c>
      <c r="Q136" t="s">
        <v>486</v>
      </c>
      <c r="R136" t="s">
        <v>147</v>
      </c>
      <c r="S136" s="2" t="s">
        <v>49</v>
      </c>
      <c r="T136">
        <v>122762</v>
      </c>
      <c r="U136" t="s">
        <v>50</v>
      </c>
      <c r="V136">
        <v>2012</v>
      </c>
      <c r="W136">
        <v>2348</v>
      </c>
      <c r="X136" t="s">
        <v>151</v>
      </c>
      <c r="Y136">
        <v>30</v>
      </c>
      <c r="Z136">
        <v>30</v>
      </c>
      <c r="AA136">
        <v>42</v>
      </c>
      <c r="AB136">
        <v>43</v>
      </c>
      <c r="AC136" s="2" t="s">
        <v>49</v>
      </c>
      <c r="AD136">
        <v>122454</v>
      </c>
      <c r="AE136" t="s">
        <v>50</v>
      </c>
      <c r="AF136">
        <v>2012</v>
      </c>
      <c r="AG136">
        <v>2348</v>
      </c>
      <c r="AH136" t="s">
        <v>151</v>
      </c>
      <c r="AI136">
        <v>30</v>
      </c>
      <c r="AJ136">
        <v>30</v>
      </c>
      <c r="AK136">
        <v>41</v>
      </c>
      <c r="AL136">
        <v>41</v>
      </c>
      <c r="AM136" s="2" t="s">
        <v>49</v>
      </c>
      <c r="AN136">
        <v>896510</v>
      </c>
      <c r="AO136" t="s">
        <v>50</v>
      </c>
      <c r="AP136">
        <v>2018</v>
      </c>
      <c r="AQ136">
        <v>2348</v>
      </c>
      <c r="AR136" t="s">
        <v>151</v>
      </c>
      <c r="AS136">
        <v>30</v>
      </c>
      <c r="AT136">
        <v>30</v>
      </c>
      <c r="AU136">
        <v>43</v>
      </c>
      <c r="AV136">
        <v>42</v>
      </c>
      <c r="AW136" s="2" t="s">
        <v>49</v>
      </c>
      <c r="AX136">
        <v>285730</v>
      </c>
      <c r="AY136" t="s">
        <v>50</v>
      </c>
      <c r="AZ136">
        <v>2011</v>
      </c>
      <c r="BA136">
        <v>2348</v>
      </c>
      <c r="BB136" t="s">
        <v>151</v>
      </c>
      <c r="BC136">
        <v>30</v>
      </c>
      <c r="BD136">
        <v>30</v>
      </c>
      <c r="BE136">
        <v>43</v>
      </c>
      <c r="BF136">
        <v>43</v>
      </c>
      <c r="BG136" s="2" t="s">
        <v>49</v>
      </c>
      <c r="BH136">
        <v>7199</v>
      </c>
      <c r="BI136" t="s">
        <v>52</v>
      </c>
      <c r="BJ136">
        <v>2012</v>
      </c>
      <c r="BM136" s="2" t="s">
        <v>49</v>
      </c>
      <c r="BN136">
        <v>6254</v>
      </c>
      <c r="BO136" t="s">
        <v>52</v>
      </c>
      <c r="BP136">
        <v>2012</v>
      </c>
      <c r="BS136" s="2" t="s">
        <v>49</v>
      </c>
      <c r="BT136">
        <v>10070</v>
      </c>
      <c r="BU136" t="s">
        <v>52</v>
      </c>
      <c r="BV136">
        <v>2012</v>
      </c>
      <c r="BY136" s="2" t="s">
        <v>49</v>
      </c>
      <c r="BZ136">
        <v>13980</v>
      </c>
      <c r="CA136" t="s">
        <v>52</v>
      </c>
      <c r="CB136">
        <v>2012</v>
      </c>
      <c r="CE136" s="2" t="s">
        <v>49</v>
      </c>
      <c r="CF136">
        <v>3829</v>
      </c>
      <c r="CG136" t="s">
        <v>52</v>
      </c>
      <c r="CH136">
        <v>2012</v>
      </c>
      <c r="CK136" s="2" t="s">
        <v>49</v>
      </c>
      <c r="CL136">
        <v>500600</v>
      </c>
      <c r="CM136" t="s">
        <v>52</v>
      </c>
      <c r="CN136">
        <v>2012</v>
      </c>
    </row>
    <row r="137" spans="1:92" x14ac:dyDescent="0.25">
      <c r="A137">
        <v>77221877</v>
      </c>
      <c r="B137" s="3" t="s">
        <v>37</v>
      </c>
      <c r="C137" t="s">
        <v>38</v>
      </c>
      <c r="D137" t="s">
        <v>267</v>
      </c>
      <c r="E137">
        <v>2011</v>
      </c>
      <c r="F137" t="s">
        <v>268</v>
      </c>
      <c r="G137" t="s">
        <v>140</v>
      </c>
      <c r="H137" t="s">
        <v>42</v>
      </c>
      <c r="I137" t="s">
        <v>343</v>
      </c>
      <c r="J137" t="s">
        <v>44</v>
      </c>
      <c r="K137" t="s">
        <v>45</v>
      </c>
      <c r="L137" t="s">
        <v>365</v>
      </c>
      <c r="M137" t="s">
        <v>47</v>
      </c>
      <c r="N137">
        <v>160000</v>
      </c>
      <c r="O137">
        <v>8799</v>
      </c>
      <c r="P137">
        <v>151201</v>
      </c>
      <c r="Q137" t="s">
        <v>487</v>
      </c>
      <c r="R137" t="s">
        <v>343</v>
      </c>
      <c r="S137" s="2" t="s">
        <v>49</v>
      </c>
      <c r="T137">
        <v>1192</v>
      </c>
      <c r="U137" t="s">
        <v>488</v>
      </c>
      <c r="V137">
        <v>2012</v>
      </c>
      <c r="W137">
        <v>745</v>
      </c>
      <c r="X137" t="s">
        <v>51</v>
      </c>
      <c r="Y137">
        <v>0</v>
      </c>
      <c r="Z137">
        <v>0</v>
      </c>
      <c r="AA137">
        <v>62</v>
      </c>
      <c r="AB137">
        <v>62</v>
      </c>
      <c r="AC137" s="2" t="s">
        <v>49</v>
      </c>
      <c r="AD137">
        <v>25136</v>
      </c>
      <c r="AE137" t="s">
        <v>50</v>
      </c>
      <c r="AF137">
        <v>2002</v>
      </c>
      <c r="AG137">
        <v>745</v>
      </c>
      <c r="AH137" t="s">
        <v>51</v>
      </c>
      <c r="AI137">
        <v>0</v>
      </c>
      <c r="AJ137">
        <v>0</v>
      </c>
      <c r="AK137">
        <v>64</v>
      </c>
      <c r="AL137">
        <v>64</v>
      </c>
      <c r="AM137" s="2" t="s">
        <v>49</v>
      </c>
      <c r="AN137">
        <v>395510</v>
      </c>
      <c r="AO137" t="s">
        <v>50</v>
      </c>
      <c r="AP137">
        <v>2013</v>
      </c>
      <c r="AQ137">
        <v>745</v>
      </c>
      <c r="AR137" t="s">
        <v>51</v>
      </c>
      <c r="AS137">
        <v>0</v>
      </c>
      <c r="AT137">
        <v>0</v>
      </c>
      <c r="AU137">
        <v>53</v>
      </c>
      <c r="AV137">
        <v>53</v>
      </c>
      <c r="AW137" s="2" t="s">
        <v>49</v>
      </c>
      <c r="AX137">
        <v>115</v>
      </c>
      <c r="AY137">
        <v>1175</v>
      </c>
      <c r="AZ137">
        <v>2012</v>
      </c>
      <c r="BA137">
        <v>745</v>
      </c>
      <c r="BB137" t="s">
        <v>51</v>
      </c>
      <c r="BC137">
        <v>0</v>
      </c>
      <c r="BD137">
        <v>0</v>
      </c>
      <c r="BE137">
        <v>51</v>
      </c>
      <c r="BF137">
        <v>51</v>
      </c>
      <c r="BG137" s="2" t="s">
        <v>49</v>
      </c>
      <c r="BH137">
        <v>37470</v>
      </c>
      <c r="BI137" t="s">
        <v>50</v>
      </c>
      <c r="BJ137">
        <v>2011</v>
      </c>
      <c r="BM137" s="2" t="s">
        <v>49</v>
      </c>
      <c r="BN137">
        <v>37074</v>
      </c>
      <c r="BO137" t="s">
        <v>50</v>
      </c>
      <c r="BP137">
        <v>2011</v>
      </c>
      <c r="BS137" s="2" t="s">
        <v>49</v>
      </c>
      <c r="BT137">
        <v>65602</v>
      </c>
      <c r="BU137" t="s">
        <v>50</v>
      </c>
      <c r="BV137">
        <v>2011</v>
      </c>
      <c r="BY137" s="2" t="s">
        <v>49</v>
      </c>
      <c r="BZ137">
        <v>66173</v>
      </c>
      <c r="CA137" t="s">
        <v>50</v>
      </c>
      <c r="CB137">
        <v>2011</v>
      </c>
      <c r="CE137" s="2" t="s">
        <v>49</v>
      </c>
      <c r="CF137">
        <v>65929</v>
      </c>
      <c r="CG137" t="s">
        <v>50</v>
      </c>
      <c r="CH137">
        <v>2011</v>
      </c>
      <c r="CK137" s="2" t="s">
        <v>49</v>
      </c>
      <c r="CL137">
        <v>65990</v>
      </c>
      <c r="CM137" t="s">
        <v>50</v>
      </c>
      <c r="CN137">
        <v>2011</v>
      </c>
    </row>
    <row r="138" spans="1:92" x14ac:dyDescent="0.25">
      <c r="A138">
        <v>77228906</v>
      </c>
      <c r="B138" s="3" t="s">
        <v>37</v>
      </c>
      <c r="C138" t="s">
        <v>103</v>
      </c>
      <c r="D138" t="s">
        <v>317</v>
      </c>
      <c r="E138">
        <v>2015</v>
      </c>
      <c r="F138" t="s">
        <v>318</v>
      </c>
      <c r="G138" t="s">
        <v>489</v>
      </c>
      <c r="H138" t="s">
        <v>89</v>
      </c>
      <c r="K138" t="s">
        <v>90</v>
      </c>
      <c r="L138" t="s">
        <v>490</v>
      </c>
      <c r="M138" t="s">
        <v>47</v>
      </c>
      <c r="N138">
        <v>160000</v>
      </c>
      <c r="O138">
        <v>35271</v>
      </c>
      <c r="P138">
        <v>124729</v>
      </c>
      <c r="Q138" t="s">
        <v>491</v>
      </c>
      <c r="R138" t="s">
        <v>489</v>
      </c>
      <c r="S138" s="2" t="s">
        <v>49</v>
      </c>
      <c r="T138">
        <v>300626</v>
      </c>
      <c r="U138" t="s">
        <v>50</v>
      </c>
      <c r="V138">
        <v>2015</v>
      </c>
      <c r="W138">
        <v>2348</v>
      </c>
      <c r="X138" t="s">
        <v>116</v>
      </c>
      <c r="Y138">
        <v>30</v>
      </c>
      <c r="Z138">
        <v>30</v>
      </c>
      <c r="AA138">
        <v>41</v>
      </c>
      <c r="AB138">
        <v>41</v>
      </c>
      <c r="AC138" s="2" t="s">
        <v>49</v>
      </c>
      <c r="AD138">
        <v>301188</v>
      </c>
      <c r="AE138" t="s">
        <v>50</v>
      </c>
      <c r="AF138">
        <v>2015</v>
      </c>
      <c r="AG138">
        <v>2348</v>
      </c>
      <c r="AH138" t="s">
        <v>116</v>
      </c>
      <c r="AI138">
        <v>30</v>
      </c>
      <c r="AJ138">
        <v>30</v>
      </c>
      <c r="AK138">
        <v>35</v>
      </c>
      <c r="AL138">
        <v>35</v>
      </c>
      <c r="AM138" s="2" t="s">
        <v>49</v>
      </c>
      <c r="AN138">
        <v>300613</v>
      </c>
      <c r="AO138" t="s">
        <v>50</v>
      </c>
      <c r="AP138">
        <v>2015</v>
      </c>
      <c r="AQ138">
        <v>2348</v>
      </c>
      <c r="AR138" t="s">
        <v>116</v>
      </c>
      <c r="AS138">
        <v>30</v>
      </c>
      <c r="AT138">
        <v>30</v>
      </c>
      <c r="AU138">
        <v>43</v>
      </c>
      <c r="AV138">
        <v>43</v>
      </c>
      <c r="AW138" s="2" t="s">
        <v>49</v>
      </c>
      <c r="AX138">
        <v>301065</v>
      </c>
      <c r="AY138" t="s">
        <v>50</v>
      </c>
      <c r="AZ138">
        <v>2015</v>
      </c>
      <c r="BA138">
        <v>2348</v>
      </c>
      <c r="BB138" t="s">
        <v>116</v>
      </c>
      <c r="BC138">
        <v>30</v>
      </c>
      <c r="BD138">
        <v>30</v>
      </c>
      <c r="BE138">
        <v>45</v>
      </c>
      <c r="BF138">
        <v>45</v>
      </c>
      <c r="BG138" s="2" t="s">
        <v>49</v>
      </c>
      <c r="BH138">
        <v>35501</v>
      </c>
      <c r="BI138" t="s">
        <v>50</v>
      </c>
      <c r="BJ138">
        <v>2014</v>
      </c>
      <c r="BM138" s="2" t="s">
        <v>49</v>
      </c>
      <c r="BN138">
        <v>35661</v>
      </c>
      <c r="BO138" t="s">
        <v>50</v>
      </c>
      <c r="BP138">
        <v>2014</v>
      </c>
      <c r="BS138" s="2" t="s">
        <v>49</v>
      </c>
      <c r="BT138">
        <v>60458</v>
      </c>
      <c r="BU138" t="s">
        <v>50</v>
      </c>
      <c r="BV138">
        <v>2014</v>
      </c>
      <c r="BY138" s="2" t="s">
        <v>49</v>
      </c>
      <c r="BZ138">
        <v>2311</v>
      </c>
      <c r="CA138" t="s">
        <v>50</v>
      </c>
      <c r="CB138">
        <v>2015</v>
      </c>
      <c r="CE138" s="2" t="s">
        <v>49</v>
      </c>
      <c r="CF138">
        <v>1978</v>
      </c>
      <c r="CG138" t="s">
        <v>50</v>
      </c>
      <c r="CH138">
        <v>2015</v>
      </c>
      <c r="CK138" s="2" t="s">
        <v>49</v>
      </c>
      <c r="CL138">
        <v>287</v>
      </c>
      <c r="CM138" t="s">
        <v>50</v>
      </c>
      <c r="CN138">
        <v>2015</v>
      </c>
    </row>
    <row r="139" spans="1:92" x14ac:dyDescent="0.25">
      <c r="A139">
        <v>77228930</v>
      </c>
      <c r="B139" s="3" t="s">
        <v>37</v>
      </c>
      <c r="C139" t="s">
        <v>103</v>
      </c>
      <c r="D139" t="s">
        <v>326</v>
      </c>
      <c r="E139">
        <v>2015</v>
      </c>
      <c r="F139" t="s">
        <v>327</v>
      </c>
      <c r="G139" t="s">
        <v>492</v>
      </c>
      <c r="H139" t="s">
        <v>89</v>
      </c>
      <c r="K139" t="s">
        <v>90</v>
      </c>
      <c r="L139" t="s">
        <v>493</v>
      </c>
      <c r="M139" t="s">
        <v>47</v>
      </c>
      <c r="N139">
        <v>160000</v>
      </c>
      <c r="O139">
        <v>38196</v>
      </c>
      <c r="P139">
        <v>121804</v>
      </c>
      <c r="Q139" t="s">
        <v>494</v>
      </c>
      <c r="R139" t="s">
        <v>492</v>
      </c>
      <c r="S139" s="2" t="s">
        <v>49</v>
      </c>
      <c r="T139">
        <v>300199</v>
      </c>
      <c r="U139" t="s">
        <v>50</v>
      </c>
      <c r="V139">
        <v>2015</v>
      </c>
      <c r="W139">
        <v>2348</v>
      </c>
      <c r="X139" t="s">
        <v>116</v>
      </c>
      <c r="Y139">
        <v>33</v>
      </c>
      <c r="Z139">
        <v>33</v>
      </c>
      <c r="AA139">
        <v>73</v>
      </c>
      <c r="AB139">
        <v>73</v>
      </c>
      <c r="AC139" s="2" t="s">
        <v>49</v>
      </c>
      <c r="AD139">
        <v>301797</v>
      </c>
      <c r="AE139" t="s">
        <v>50</v>
      </c>
      <c r="AF139">
        <v>2015</v>
      </c>
      <c r="AG139">
        <v>2348</v>
      </c>
      <c r="AH139" t="s">
        <v>116</v>
      </c>
      <c r="AI139">
        <v>33</v>
      </c>
      <c r="AJ139">
        <v>33</v>
      </c>
      <c r="AK139">
        <v>75</v>
      </c>
      <c r="AL139">
        <v>75</v>
      </c>
      <c r="AM139" s="2" t="s">
        <v>49</v>
      </c>
      <c r="AN139">
        <v>300989</v>
      </c>
      <c r="AO139" t="s">
        <v>50</v>
      </c>
      <c r="AP139">
        <v>2015</v>
      </c>
      <c r="AQ139">
        <v>2348</v>
      </c>
      <c r="AR139" t="s">
        <v>116</v>
      </c>
      <c r="AS139">
        <v>33</v>
      </c>
      <c r="AT139">
        <v>33</v>
      </c>
      <c r="AU139">
        <v>75</v>
      </c>
      <c r="AV139">
        <v>75</v>
      </c>
      <c r="AW139" s="2" t="s">
        <v>49</v>
      </c>
      <c r="AX139">
        <v>4659</v>
      </c>
      <c r="AY139">
        <v>1226</v>
      </c>
      <c r="AZ139">
        <v>2019</v>
      </c>
      <c r="BA139">
        <v>2348</v>
      </c>
      <c r="BB139" t="s">
        <v>116</v>
      </c>
      <c r="BC139">
        <v>33</v>
      </c>
      <c r="BD139">
        <v>33</v>
      </c>
      <c r="BE139">
        <v>76</v>
      </c>
      <c r="BF139">
        <v>76</v>
      </c>
      <c r="BG139" s="2" t="s">
        <v>49</v>
      </c>
      <c r="BH139">
        <v>70</v>
      </c>
      <c r="BI139" t="s">
        <v>50</v>
      </c>
      <c r="BJ139">
        <v>2015</v>
      </c>
      <c r="BM139" s="2" t="s">
        <v>49</v>
      </c>
      <c r="BN139">
        <v>115</v>
      </c>
      <c r="BO139" t="s">
        <v>50</v>
      </c>
      <c r="BP139">
        <v>2015</v>
      </c>
      <c r="BS139" s="2" t="s">
        <v>49</v>
      </c>
      <c r="BT139">
        <v>1756</v>
      </c>
      <c r="BU139" t="s">
        <v>50</v>
      </c>
      <c r="BV139">
        <v>2015</v>
      </c>
      <c r="BY139" s="2" t="s">
        <v>49</v>
      </c>
      <c r="BZ139">
        <v>1381</v>
      </c>
      <c r="CA139" t="s">
        <v>50</v>
      </c>
      <c r="CB139">
        <v>2015</v>
      </c>
      <c r="CE139" s="2" t="s">
        <v>49</v>
      </c>
      <c r="CF139">
        <v>69388</v>
      </c>
      <c r="CG139" t="s">
        <v>50</v>
      </c>
      <c r="CH139">
        <v>2014</v>
      </c>
      <c r="CK139" s="2" t="s">
        <v>49</v>
      </c>
      <c r="CL139">
        <v>69356</v>
      </c>
      <c r="CM139" t="s">
        <v>50</v>
      </c>
      <c r="CN139">
        <v>2014</v>
      </c>
    </row>
    <row r="140" spans="1:92" x14ac:dyDescent="0.25">
      <c r="A140">
        <v>75165290</v>
      </c>
      <c r="B140" s="3" t="s">
        <v>37</v>
      </c>
      <c r="C140" t="s">
        <v>144</v>
      </c>
      <c r="D140" t="s">
        <v>200</v>
      </c>
      <c r="E140">
        <v>2020</v>
      </c>
      <c r="F140" t="s">
        <v>201</v>
      </c>
      <c r="G140" t="s">
        <v>211</v>
      </c>
      <c r="H140" t="s">
        <v>148</v>
      </c>
      <c r="K140" t="s">
        <v>45</v>
      </c>
      <c r="L140" t="s">
        <v>212</v>
      </c>
      <c r="M140" t="s">
        <v>47</v>
      </c>
      <c r="N140">
        <v>160000</v>
      </c>
      <c r="O140">
        <v>27051</v>
      </c>
      <c r="P140">
        <v>132949</v>
      </c>
      <c r="Q140" t="s">
        <v>495</v>
      </c>
      <c r="R140" t="s">
        <v>211</v>
      </c>
      <c r="S140" s="2" t="s">
        <v>49</v>
      </c>
      <c r="T140">
        <v>445383</v>
      </c>
      <c r="U140" t="s">
        <v>50</v>
      </c>
      <c r="V140">
        <v>2020</v>
      </c>
      <c r="W140">
        <v>1173</v>
      </c>
      <c r="X140" t="s">
        <v>170</v>
      </c>
      <c r="Y140">
        <v>29</v>
      </c>
      <c r="Z140">
        <v>30</v>
      </c>
      <c r="AA140">
        <v>63</v>
      </c>
      <c r="AB140">
        <v>63</v>
      </c>
      <c r="AC140" s="2" t="s">
        <v>49</v>
      </c>
      <c r="AD140">
        <v>446096</v>
      </c>
      <c r="AE140" t="s">
        <v>50</v>
      </c>
      <c r="AF140">
        <v>2020</v>
      </c>
      <c r="AG140">
        <v>1173</v>
      </c>
      <c r="AH140" t="s">
        <v>170</v>
      </c>
      <c r="AI140">
        <v>30</v>
      </c>
      <c r="AJ140">
        <v>29</v>
      </c>
      <c r="AK140">
        <v>62</v>
      </c>
      <c r="AL140">
        <v>63</v>
      </c>
      <c r="AM140" s="2" t="s">
        <v>49</v>
      </c>
      <c r="AN140">
        <v>726142</v>
      </c>
      <c r="AO140" t="s">
        <v>62</v>
      </c>
      <c r="AP140">
        <v>2020</v>
      </c>
      <c r="AQ140">
        <v>1173</v>
      </c>
      <c r="AR140" t="s">
        <v>170</v>
      </c>
      <c r="AS140">
        <v>29</v>
      </c>
      <c r="AT140">
        <v>29</v>
      </c>
      <c r="AU140">
        <v>61</v>
      </c>
      <c r="AV140">
        <v>61</v>
      </c>
      <c r="AW140" s="2" t="s">
        <v>49</v>
      </c>
      <c r="AX140">
        <v>446061</v>
      </c>
      <c r="AY140" t="s">
        <v>50</v>
      </c>
      <c r="AZ140">
        <v>2020</v>
      </c>
      <c r="BA140">
        <v>1173</v>
      </c>
      <c r="BB140" t="s">
        <v>170</v>
      </c>
      <c r="BC140">
        <v>29</v>
      </c>
      <c r="BD140">
        <v>29</v>
      </c>
      <c r="BE140">
        <v>60</v>
      </c>
      <c r="BF140">
        <v>60</v>
      </c>
      <c r="BG140" s="2" t="s">
        <v>49</v>
      </c>
      <c r="BH140">
        <v>24860</v>
      </c>
      <c r="BI140">
        <v>1275</v>
      </c>
      <c r="BJ140">
        <v>2020</v>
      </c>
      <c r="BM140" s="2" t="s">
        <v>49</v>
      </c>
      <c r="BN140">
        <v>26040</v>
      </c>
      <c r="BO140">
        <v>1275</v>
      </c>
      <c r="BP140">
        <v>2020</v>
      </c>
      <c r="BS140" s="2" t="s">
        <v>49</v>
      </c>
      <c r="BT140">
        <v>42476</v>
      </c>
      <c r="BU140">
        <v>1275</v>
      </c>
      <c r="BV140">
        <v>2020</v>
      </c>
      <c r="BY140" s="2" t="s">
        <v>49</v>
      </c>
      <c r="BZ140">
        <v>42176</v>
      </c>
      <c r="CA140">
        <v>1275</v>
      </c>
      <c r="CB140">
        <v>2020</v>
      </c>
      <c r="CE140" s="2" t="s">
        <v>49</v>
      </c>
      <c r="CF140">
        <v>38813</v>
      </c>
      <c r="CG140">
        <v>1275</v>
      </c>
      <c r="CH140">
        <v>2020</v>
      </c>
      <c r="CK140" s="2" t="s">
        <v>49</v>
      </c>
      <c r="CL140">
        <v>43822</v>
      </c>
      <c r="CM140">
        <v>1275</v>
      </c>
      <c r="CN140">
        <v>2020</v>
      </c>
    </row>
    <row r="141" spans="1:92" x14ac:dyDescent="0.25">
      <c r="A141">
        <v>75189191</v>
      </c>
      <c r="B141" s="3" t="s">
        <v>37</v>
      </c>
      <c r="C141" t="s">
        <v>144</v>
      </c>
      <c r="D141" t="s">
        <v>158</v>
      </c>
      <c r="E141">
        <v>2020</v>
      </c>
      <c r="F141" t="s">
        <v>159</v>
      </c>
      <c r="G141" t="s">
        <v>181</v>
      </c>
      <c r="H141" t="s">
        <v>42</v>
      </c>
      <c r="K141" t="s">
        <v>45</v>
      </c>
      <c r="L141" t="s">
        <v>182</v>
      </c>
      <c r="M141" t="s">
        <v>47</v>
      </c>
      <c r="N141">
        <v>160000</v>
      </c>
      <c r="O141">
        <v>31412</v>
      </c>
      <c r="P141">
        <v>128588</v>
      </c>
      <c r="Q141" t="s">
        <v>496</v>
      </c>
      <c r="R141" t="s">
        <v>181</v>
      </c>
      <c r="S141" s="2" t="s">
        <v>49</v>
      </c>
      <c r="T141">
        <v>748775</v>
      </c>
      <c r="U141" t="s">
        <v>62</v>
      </c>
      <c r="V141">
        <v>2020</v>
      </c>
      <c r="W141">
        <v>301</v>
      </c>
      <c r="X141" t="s">
        <v>170</v>
      </c>
      <c r="Y141">
        <v>30</v>
      </c>
      <c r="Z141">
        <v>30</v>
      </c>
      <c r="AA141">
        <v>64</v>
      </c>
      <c r="AB141">
        <v>64</v>
      </c>
      <c r="AC141" s="2" t="s">
        <v>49</v>
      </c>
      <c r="AD141">
        <v>9264</v>
      </c>
      <c r="AE141">
        <v>2002</v>
      </c>
      <c r="AF141">
        <v>2020</v>
      </c>
      <c r="AG141">
        <v>301</v>
      </c>
      <c r="AH141" t="s">
        <v>170</v>
      </c>
      <c r="AI141">
        <v>30</v>
      </c>
      <c r="AJ141">
        <v>30</v>
      </c>
      <c r="AK141">
        <v>63</v>
      </c>
      <c r="AL141">
        <v>63</v>
      </c>
      <c r="AM141" s="2" t="s">
        <v>49</v>
      </c>
      <c r="AN141">
        <v>748714</v>
      </c>
      <c r="AO141" t="s">
        <v>62</v>
      </c>
      <c r="AP141">
        <v>2020</v>
      </c>
      <c r="AQ141">
        <v>301</v>
      </c>
      <c r="AR141" t="s">
        <v>170</v>
      </c>
      <c r="AS141">
        <v>31</v>
      </c>
      <c r="AT141">
        <v>31</v>
      </c>
      <c r="AU141">
        <v>59</v>
      </c>
      <c r="AV141">
        <v>59</v>
      </c>
      <c r="AW141" s="2" t="s">
        <v>49</v>
      </c>
      <c r="AX141">
        <v>749164</v>
      </c>
      <c r="AY141" t="s">
        <v>62</v>
      </c>
      <c r="AZ141">
        <v>2020</v>
      </c>
      <c r="BA141">
        <v>301</v>
      </c>
      <c r="BB141" t="s">
        <v>170</v>
      </c>
      <c r="BC141">
        <v>30</v>
      </c>
      <c r="BD141">
        <v>30</v>
      </c>
      <c r="BE141">
        <v>61</v>
      </c>
      <c r="BF141">
        <v>61</v>
      </c>
      <c r="BG141" s="2" t="s">
        <v>49</v>
      </c>
      <c r="BH141">
        <v>27705</v>
      </c>
      <c r="BI141">
        <v>1275</v>
      </c>
      <c r="BJ141">
        <v>2020</v>
      </c>
      <c r="BM141" s="2" t="s">
        <v>49</v>
      </c>
      <c r="BN141">
        <v>27531</v>
      </c>
      <c r="BO141">
        <v>1275</v>
      </c>
      <c r="BP141">
        <v>2020</v>
      </c>
      <c r="BS141" s="2" t="s">
        <v>49</v>
      </c>
      <c r="BT141">
        <v>46815</v>
      </c>
      <c r="BU141">
        <v>1275</v>
      </c>
      <c r="BV141">
        <v>2020</v>
      </c>
      <c r="BY141" s="2" t="s">
        <v>49</v>
      </c>
      <c r="BZ141">
        <v>46745</v>
      </c>
      <c r="CA141">
        <v>1275</v>
      </c>
      <c r="CB141">
        <v>2020</v>
      </c>
      <c r="CE141" s="2" t="s">
        <v>49</v>
      </c>
      <c r="CF141">
        <v>46792</v>
      </c>
      <c r="CG141">
        <v>1275</v>
      </c>
      <c r="CH141">
        <v>2020</v>
      </c>
      <c r="CK141" s="2" t="s">
        <v>49</v>
      </c>
      <c r="CL141">
        <v>46704</v>
      </c>
      <c r="CM141">
        <v>1275</v>
      </c>
      <c r="CN141">
        <v>2020</v>
      </c>
    </row>
    <row r="142" spans="1:92" x14ac:dyDescent="0.25">
      <c r="A142">
        <v>75182899</v>
      </c>
      <c r="B142" s="3" t="s">
        <v>37</v>
      </c>
      <c r="C142" t="s">
        <v>144</v>
      </c>
      <c r="D142" t="s">
        <v>145</v>
      </c>
      <c r="E142">
        <v>2020</v>
      </c>
      <c r="F142" t="s">
        <v>146</v>
      </c>
      <c r="G142" t="s">
        <v>497</v>
      </c>
      <c r="H142" t="s">
        <v>498</v>
      </c>
      <c r="K142" t="s">
        <v>45</v>
      </c>
      <c r="L142" t="s">
        <v>499</v>
      </c>
      <c r="M142" t="s">
        <v>47</v>
      </c>
      <c r="N142">
        <v>160000</v>
      </c>
      <c r="O142">
        <v>18464</v>
      </c>
      <c r="P142">
        <v>141536</v>
      </c>
      <c r="Q142" t="s">
        <v>500</v>
      </c>
      <c r="R142" t="s">
        <v>497</v>
      </c>
      <c r="S142" s="2" t="s">
        <v>49</v>
      </c>
      <c r="T142">
        <v>751465</v>
      </c>
      <c r="U142" t="s">
        <v>62</v>
      </c>
      <c r="V142">
        <v>2020</v>
      </c>
      <c r="W142">
        <v>771</v>
      </c>
      <c r="X142" t="s">
        <v>163</v>
      </c>
      <c r="Y142">
        <v>29.5</v>
      </c>
      <c r="Z142">
        <v>29.5</v>
      </c>
      <c r="AA142">
        <v>59</v>
      </c>
      <c r="AB142">
        <v>59</v>
      </c>
      <c r="AC142" s="2" t="s">
        <v>49</v>
      </c>
      <c r="AD142">
        <v>751214</v>
      </c>
      <c r="AE142" t="s">
        <v>62</v>
      </c>
      <c r="AF142">
        <v>2020</v>
      </c>
      <c r="AG142">
        <v>771</v>
      </c>
      <c r="AH142" t="s">
        <v>163</v>
      </c>
      <c r="AI142">
        <v>29.5</v>
      </c>
      <c r="AJ142">
        <v>29.5</v>
      </c>
      <c r="AK142">
        <v>55</v>
      </c>
      <c r="AL142">
        <v>55</v>
      </c>
      <c r="AM142" s="2" t="s">
        <v>49</v>
      </c>
      <c r="AN142">
        <v>741919</v>
      </c>
      <c r="AO142" t="s">
        <v>62</v>
      </c>
      <c r="AP142">
        <v>2020</v>
      </c>
      <c r="AQ142">
        <v>771</v>
      </c>
      <c r="AR142" t="s">
        <v>163</v>
      </c>
      <c r="AS142">
        <v>29.5</v>
      </c>
      <c r="AT142">
        <v>29.5</v>
      </c>
      <c r="AU142">
        <v>53</v>
      </c>
      <c r="AV142">
        <v>53</v>
      </c>
      <c r="AW142" s="2" t="s">
        <v>49</v>
      </c>
      <c r="AX142">
        <v>447584</v>
      </c>
      <c r="AY142" t="s">
        <v>50</v>
      </c>
      <c r="AZ142">
        <v>2020</v>
      </c>
      <c r="BA142">
        <v>771</v>
      </c>
      <c r="BB142" t="s">
        <v>163</v>
      </c>
      <c r="BC142">
        <v>29.5</v>
      </c>
      <c r="BD142">
        <v>29.5</v>
      </c>
      <c r="BE142">
        <v>54</v>
      </c>
      <c r="BF142">
        <v>54</v>
      </c>
      <c r="BG142" s="2" t="s">
        <v>49</v>
      </c>
      <c r="BH142">
        <v>27150</v>
      </c>
      <c r="BI142">
        <v>1275</v>
      </c>
      <c r="BJ142">
        <v>2020</v>
      </c>
      <c r="BM142" s="2" t="s">
        <v>49</v>
      </c>
      <c r="BN142">
        <v>26657</v>
      </c>
      <c r="BO142">
        <v>1275</v>
      </c>
      <c r="BP142">
        <v>2020</v>
      </c>
      <c r="BS142" s="2" t="s">
        <v>49</v>
      </c>
      <c r="BT142">
        <v>43843</v>
      </c>
      <c r="BU142">
        <v>1275</v>
      </c>
      <c r="BV142">
        <v>2020</v>
      </c>
      <c r="BY142" s="2" t="s">
        <v>49</v>
      </c>
      <c r="BZ142">
        <v>45017</v>
      </c>
      <c r="CA142">
        <v>1275</v>
      </c>
      <c r="CB142">
        <v>2020</v>
      </c>
      <c r="CE142" s="2" t="s">
        <v>49</v>
      </c>
      <c r="CF142">
        <v>41288</v>
      </c>
      <c r="CG142">
        <v>1275</v>
      </c>
      <c r="CH142">
        <v>2020</v>
      </c>
      <c r="CK142" s="2" t="s">
        <v>49</v>
      </c>
      <c r="CL142">
        <v>44072</v>
      </c>
      <c r="CM142">
        <v>1275</v>
      </c>
      <c r="CN142">
        <v>2020</v>
      </c>
    </row>
    <row r="143" spans="1:92" x14ac:dyDescent="0.25">
      <c r="A143">
        <v>75183095</v>
      </c>
      <c r="B143" s="3" t="s">
        <v>37</v>
      </c>
      <c r="C143" t="s">
        <v>144</v>
      </c>
      <c r="D143" t="s">
        <v>145</v>
      </c>
      <c r="E143">
        <v>2020</v>
      </c>
      <c r="F143" t="s">
        <v>146</v>
      </c>
      <c r="G143" t="s">
        <v>184</v>
      </c>
      <c r="H143" t="s">
        <v>148</v>
      </c>
      <c r="K143" t="s">
        <v>45</v>
      </c>
      <c r="L143" t="s">
        <v>185</v>
      </c>
      <c r="M143" t="s">
        <v>47</v>
      </c>
      <c r="N143">
        <v>160000</v>
      </c>
      <c r="O143">
        <v>1903</v>
      </c>
      <c r="P143">
        <v>158097</v>
      </c>
      <c r="Q143" t="s">
        <v>501</v>
      </c>
      <c r="R143" t="s">
        <v>184</v>
      </c>
      <c r="S143" s="2" t="s">
        <v>49</v>
      </c>
      <c r="T143">
        <v>744532</v>
      </c>
      <c r="U143" t="s">
        <v>62</v>
      </c>
      <c r="V143">
        <v>2020</v>
      </c>
      <c r="W143">
        <v>1173</v>
      </c>
      <c r="X143" t="s">
        <v>151</v>
      </c>
      <c r="Y143">
        <v>30</v>
      </c>
      <c r="Z143">
        <v>29</v>
      </c>
      <c r="AA143">
        <v>57</v>
      </c>
      <c r="AB143">
        <v>57</v>
      </c>
      <c r="AC143" s="2" t="s">
        <v>49</v>
      </c>
      <c r="AD143">
        <v>743044</v>
      </c>
      <c r="AE143" t="s">
        <v>62</v>
      </c>
      <c r="AF143">
        <v>2020</v>
      </c>
      <c r="AG143">
        <v>1173</v>
      </c>
      <c r="AH143" t="s">
        <v>151</v>
      </c>
      <c r="AI143">
        <v>30</v>
      </c>
      <c r="AJ143">
        <v>30</v>
      </c>
      <c r="AK143">
        <v>65</v>
      </c>
      <c r="AL143">
        <v>66</v>
      </c>
      <c r="AM143" s="2" t="s">
        <v>49</v>
      </c>
      <c r="AN143">
        <v>12222</v>
      </c>
      <c r="AO143">
        <v>2002</v>
      </c>
      <c r="AP143">
        <v>2020</v>
      </c>
      <c r="AQ143">
        <v>1173</v>
      </c>
      <c r="AR143" t="s">
        <v>151</v>
      </c>
      <c r="AS143">
        <v>30</v>
      </c>
      <c r="AT143">
        <v>30</v>
      </c>
      <c r="AU143">
        <v>54</v>
      </c>
      <c r="AV143">
        <v>56</v>
      </c>
      <c r="AW143" s="2" t="s">
        <v>49</v>
      </c>
      <c r="AX143">
        <v>446284</v>
      </c>
      <c r="AY143" t="s">
        <v>50</v>
      </c>
      <c r="AZ143">
        <v>2020</v>
      </c>
      <c r="BA143">
        <v>1173</v>
      </c>
      <c r="BB143" t="s">
        <v>151</v>
      </c>
      <c r="BC143">
        <v>29</v>
      </c>
      <c r="BD143">
        <v>30</v>
      </c>
      <c r="BE143">
        <v>56</v>
      </c>
      <c r="BF143">
        <v>56</v>
      </c>
      <c r="BG143" s="2" t="s">
        <v>49</v>
      </c>
      <c r="BH143">
        <v>27348</v>
      </c>
      <c r="BI143">
        <v>1275</v>
      </c>
      <c r="BJ143">
        <v>2020</v>
      </c>
      <c r="BM143" s="2" t="s">
        <v>49</v>
      </c>
      <c r="BN143">
        <v>27192</v>
      </c>
      <c r="BO143">
        <v>1275</v>
      </c>
      <c r="BP143">
        <v>2020</v>
      </c>
      <c r="BS143" s="2" t="s">
        <v>49</v>
      </c>
      <c r="BT143">
        <v>45768</v>
      </c>
      <c r="BU143">
        <v>1275</v>
      </c>
      <c r="BV143">
        <v>2020</v>
      </c>
      <c r="BY143" s="2" t="s">
        <v>49</v>
      </c>
      <c r="BZ143">
        <v>45463</v>
      </c>
      <c r="CA143">
        <v>1275</v>
      </c>
      <c r="CB143">
        <v>2020</v>
      </c>
      <c r="CE143" s="2" t="s">
        <v>49</v>
      </c>
      <c r="CF143">
        <v>45410</v>
      </c>
      <c r="CG143">
        <v>1275</v>
      </c>
      <c r="CH143">
        <v>2020</v>
      </c>
      <c r="CK143" s="2" t="s">
        <v>49</v>
      </c>
      <c r="CL143">
        <v>45425</v>
      </c>
      <c r="CM143">
        <v>1275</v>
      </c>
      <c r="CN143">
        <v>2020</v>
      </c>
    </row>
    <row r="144" spans="1:92" x14ac:dyDescent="0.25">
      <c r="A144">
        <v>75176198</v>
      </c>
      <c r="B144" s="3" t="s">
        <v>37</v>
      </c>
      <c r="C144" t="s">
        <v>144</v>
      </c>
      <c r="D144" t="s">
        <v>191</v>
      </c>
      <c r="E144">
        <v>2020</v>
      </c>
      <c r="F144" t="s">
        <v>192</v>
      </c>
      <c r="G144" t="s">
        <v>239</v>
      </c>
      <c r="H144" t="s">
        <v>148</v>
      </c>
      <c r="K144" t="s">
        <v>45</v>
      </c>
      <c r="L144" t="s">
        <v>240</v>
      </c>
      <c r="M144" t="s">
        <v>47</v>
      </c>
      <c r="N144">
        <v>160000</v>
      </c>
      <c r="O144">
        <v>16053</v>
      </c>
      <c r="P144">
        <v>143947</v>
      </c>
      <c r="Q144" t="s">
        <v>502</v>
      </c>
      <c r="R144" t="s">
        <v>239</v>
      </c>
      <c r="S144" s="2" t="s">
        <v>49</v>
      </c>
      <c r="T144">
        <v>445170</v>
      </c>
      <c r="U144" t="s">
        <v>50</v>
      </c>
      <c r="V144">
        <v>2020</v>
      </c>
      <c r="W144">
        <v>1173</v>
      </c>
      <c r="X144" t="s">
        <v>170</v>
      </c>
      <c r="Y144">
        <v>30</v>
      </c>
      <c r="Z144">
        <v>30</v>
      </c>
      <c r="AA144">
        <v>62</v>
      </c>
      <c r="AB144">
        <v>63</v>
      </c>
      <c r="AC144" s="2" t="s">
        <v>49</v>
      </c>
      <c r="AD144">
        <v>744298</v>
      </c>
      <c r="AE144" t="s">
        <v>62</v>
      </c>
      <c r="AF144">
        <v>2020</v>
      </c>
      <c r="AG144">
        <v>1173</v>
      </c>
      <c r="AH144" t="s">
        <v>170</v>
      </c>
      <c r="AI144">
        <v>30</v>
      </c>
      <c r="AJ144">
        <v>30</v>
      </c>
      <c r="AK144">
        <v>58</v>
      </c>
      <c r="AL144">
        <v>60</v>
      </c>
      <c r="AM144" s="2" t="s">
        <v>49</v>
      </c>
      <c r="AN144">
        <v>751783</v>
      </c>
      <c r="AO144" t="s">
        <v>62</v>
      </c>
      <c r="AP144">
        <v>2020</v>
      </c>
      <c r="AQ144">
        <v>1173</v>
      </c>
      <c r="AR144" t="s">
        <v>170</v>
      </c>
      <c r="AS144">
        <v>30</v>
      </c>
      <c r="AT144">
        <v>31</v>
      </c>
      <c r="AU144">
        <v>60</v>
      </c>
      <c r="AV144">
        <v>60</v>
      </c>
      <c r="AW144" s="2" t="s">
        <v>49</v>
      </c>
      <c r="AX144">
        <v>744705</v>
      </c>
      <c r="AY144" t="s">
        <v>62</v>
      </c>
      <c r="AZ144">
        <v>2020</v>
      </c>
      <c r="BA144">
        <v>1173</v>
      </c>
      <c r="BB144" t="s">
        <v>170</v>
      </c>
      <c r="BC144">
        <v>32</v>
      </c>
      <c r="BD144">
        <v>30</v>
      </c>
      <c r="BE144">
        <v>58</v>
      </c>
      <c r="BF144">
        <v>56</v>
      </c>
      <c r="BG144" s="2" t="s">
        <v>49</v>
      </c>
      <c r="BH144">
        <v>26900</v>
      </c>
      <c r="BI144">
        <v>1275</v>
      </c>
      <c r="BJ144">
        <v>2020</v>
      </c>
      <c r="BM144" s="2" t="s">
        <v>49</v>
      </c>
      <c r="BN144">
        <v>26936</v>
      </c>
      <c r="BO144">
        <v>1275</v>
      </c>
      <c r="BP144">
        <v>2020</v>
      </c>
      <c r="BS144" s="2" t="s">
        <v>49</v>
      </c>
      <c r="BT144">
        <v>44371</v>
      </c>
      <c r="BU144">
        <v>1275</v>
      </c>
      <c r="BV144">
        <v>2020</v>
      </c>
      <c r="BY144" s="2" t="s">
        <v>49</v>
      </c>
      <c r="BZ144">
        <v>41695</v>
      </c>
      <c r="CA144">
        <v>1275</v>
      </c>
      <c r="CB144">
        <v>2020</v>
      </c>
      <c r="CE144" s="2" t="s">
        <v>49</v>
      </c>
      <c r="CF144">
        <v>42982</v>
      </c>
      <c r="CG144">
        <v>1275</v>
      </c>
      <c r="CH144">
        <v>2020</v>
      </c>
      <c r="CK144" s="2" t="s">
        <v>49</v>
      </c>
      <c r="CL144">
        <v>44827</v>
      </c>
      <c r="CM144">
        <v>1275</v>
      </c>
      <c r="CN144">
        <v>2020</v>
      </c>
    </row>
    <row r="145" spans="1:92" x14ac:dyDescent="0.25">
      <c r="A145">
        <v>75183699</v>
      </c>
      <c r="B145" s="3" t="s">
        <v>37</v>
      </c>
      <c r="C145" t="s">
        <v>144</v>
      </c>
      <c r="D145" t="s">
        <v>145</v>
      </c>
      <c r="E145">
        <v>2020</v>
      </c>
      <c r="F145" t="s">
        <v>146</v>
      </c>
      <c r="G145" t="s">
        <v>197</v>
      </c>
      <c r="H145" t="s">
        <v>148</v>
      </c>
      <c r="K145" t="s">
        <v>45</v>
      </c>
      <c r="L145" t="s">
        <v>198</v>
      </c>
      <c r="M145" t="s">
        <v>47</v>
      </c>
      <c r="N145">
        <v>160000</v>
      </c>
      <c r="O145">
        <v>28944</v>
      </c>
      <c r="P145">
        <v>131056</v>
      </c>
      <c r="Q145" t="s">
        <v>503</v>
      </c>
      <c r="R145" t="s">
        <v>197</v>
      </c>
      <c r="S145" s="2" t="s">
        <v>49</v>
      </c>
      <c r="T145">
        <v>445894</v>
      </c>
      <c r="U145" t="s">
        <v>50</v>
      </c>
      <c r="V145">
        <v>2020</v>
      </c>
      <c r="W145">
        <v>1173</v>
      </c>
      <c r="X145" t="s">
        <v>151</v>
      </c>
      <c r="Y145">
        <v>31</v>
      </c>
      <c r="Z145">
        <v>29</v>
      </c>
      <c r="AA145">
        <v>61</v>
      </c>
      <c r="AB145">
        <v>63</v>
      </c>
      <c r="AC145" s="2" t="s">
        <v>49</v>
      </c>
      <c r="AD145">
        <v>742329</v>
      </c>
      <c r="AE145" t="s">
        <v>62</v>
      </c>
      <c r="AF145">
        <v>2020</v>
      </c>
      <c r="AG145">
        <v>1173</v>
      </c>
      <c r="AH145" t="s">
        <v>151</v>
      </c>
      <c r="AI145">
        <v>31</v>
      </c>
      <c r="AJ145">
        <v>29</v>
      </c>
      <c r="AK145">
        <v>60</v>
      </c>
      <c r="AL145">
        <v>61</v>
      </c>
      <c r="AM145" s="2" t="s">
        <v>49</v>
      </c>
      <c r="AN145">
        <v>742392</v>
      </c>
      <c r="AO145" t="s">
        <v>62</v>
      </c>
      <c r="AP145">
        <v>2020</v>
      </c>
      <c r="AQ145">
        <v>1173</v>
      </c>
      <c r="AR145" t="s">
        <v>151</v>
      </c>
      <c r="AS145">
        <v>29</v>
      </c>
      <c r="AT145">
        <v>30</v>
      </c>
      <c r="AU145">
        <v>62</v>
      </c>
      <c r="AV145">
        <v>63</v>
      </c>
      <c r="AW145" s="2" t="s">
        <v>49</v>
      </c>
      <c r="AX145">
        <v>446131</v>
      </c>
      <c r="AY145" t="s">
        <v>50</v>
      </c>
      <c r="AZ145">
        <v>2020</v>
      </c>
      <c r="BA145">
        <v>1173</v>
      </c>
      <c r="BB145" t="s">
        <v>151</v>
      </c>
      <c r="BC145">
        <v>33</v>
      </c>
      <c r="BD145">
        <v>33</v>
      </c>
      <c r="BE145">
        <v>72</v>
      </c>
      <c r="BF145">
        <v>72</v>
      </c>
      <c r="BG145" s="2" t="s">
        <v>49</v>
      </c>
      <c r="BH145">
        <v>27541</v>
      </c>
      <c r="BI145">
        <v>1275</v>
      </c>
      <c r="BJ145">
        <v>2020</v>
      </c>
      <c r="BM145" s="2" t="s">
        <v>49</v>
      </c>
      <c r="BN145">
        <v>27542</v>
      </c>
      <c r="BO145">
        <v>1275</v>
      </c>
      <c r="BP145">
        <v>2020</v>
      </c>
      <c r="BS145" s="2" t="s">
        <v>49</v>
      </c>
      <c r="BT145">
        <v>44551</v>
      </c>
      <c r="BU145">
        <v>1275</v>
      </c>
      <c r="BV145">
        <v>2020</v>
      </c>
      <c r="BY145" s="2" t="s">
        <v>49</v>
      </c>
      <c r="BZ145">
        <v>40617</v>
      </c>
      <c r="CA145">
        <v>1275</v>
      </c>
      <c r="CB145">
        <v>2020</v>
      </c>
      <c r="CE145" s="2" t="s">
        <v>49</v>
      </c>
      <c r="CF145">
        <v>41159</v>
      </c>
      <c r="CG145">
        <v>1275</v>
      </c>
      <c r="CH145">
        <v>2020</v>
      </c>
      <c r="CK145" s="2" t="s">
        <v>49</v>
      </c>
      <c r="CL145">
        <v>40775</v>
      </c>
      <c r="CM145">
        <v>1275</v>
      </c>
      <c r="CN145">
        <v>2020</v>
      </c>
    </row>
    <row r="146" spans="1:92" x14ac:dyDescent="0.25">
      <c r="A146">
        <v>75164897</v>
      </c>
      <c r="B146" s="3" t="s">
        <v>37</v>
      </c>
      <c r="C146" t="s">
        <v>144</v>
      </c>
      <c r="D146" t="s">
        <v>200</v>
      </c>
      <c r="E146">
        <v>2020</v>
      </c>
      <c r="F146" t="s">
        <v>201</v>
      </c>
      <c r="G146" t="s">
        <v>504</v>
      </c>
      <c r="H146" t="s">
        <v>148</v>
      </c>
      <c r="K146" t="s">
        <v>45</v>
      </c>
      <c r="L146" t="s">
        <v>505</v>
      </c>
      <c r="M146" t="s">
        <v>47</v>
      </c>
      <c r="N146">
        <v>160000</v>
      </c>
      <c r="O146">
        <v>25019</v>
      </c>
      <c r="P146">
        <v>134981</v>
      </c>
      <c r="Q146" t="s">
        <v>506</v>
      </c>
      <c r="R146" t="s">
        <v>504</v>
      </c>
      <c r="S146" s="2" t="s">
        <v>49</v>
      </c>
      <c r="T146">
        <v>746502</v>
      </c>
      <c r="U146" t="s">
        <v>62</v>
      </c>
      <c r="V146">
        <v>2020</v>
      </c>
      <c r="W146">
        <v>1173</v>
      </c>
      <c r="X146" t="s">
        <v>163</v>
      </c>
      <c r="Y146">
        <v>30</v>
      </c>
      <c r="Z146">
        <v>29</v>
      </c>
      <c r="AA146">
        <v>56</v>
      </c>
      <c r="AB146">
        <v>55</v>
      </c>
      <c r="AC146" s="2" t="s">
        <v>49</v>
      </c>
      <c r="AD146">
        <v>747129</v>
      </c>
      <c r="AE146" t="s">
        <v>62</v>
      </c>
      <c r="AF146">
        <v>2020</v>
      </c>
      <c r="AG146">
        <v>1173</v>
      </c>
      <c r="AH146" t="s">
        <v>163</v>
      </c>
      <c r="AI146">
        <v>30</v>
      </c>
      <c r="AJ146">
        <v>29</v>
      </c>
      <c r="AK146">
        <v>55</v>
      </c>
      <c r="AL146">
        <v>55</v>
      </c>
      <c r="AM146" s="2" t="s">
        <v>49</v>
      </c>
      <c r="AN146">
        <v>746117</v>
      </c>
      <c r="AO146" t="s">
        <v>62</v>
      </c>
      <c r="AP146">
        <v>2020</v>
      </c>
      <c r="AQ146">
        <v>1173</v>
      </c>
      <c r="AR146" t="s">
        <v>163</v>
      </c>
      <c r="AS146">
        <v>30</v>
      </c>
      <c r="AT146">
        <v>30</v>
      </c>
      <c r="AU146">
        <v>59</v>
      </c>
      <c r="AV146">
        <v>58</v>
      </c>
      <c r="AW146" s="2" t="s">
        <v>49</v>
      </c>
      <c r="AX146">
        <v>746631</v>
      </c>
      <c r="AY146" t="s">
        <v>62</v>
      </c>
      <c r="AZ146">
        <v>2020</v>
      </c>
      <c r="BA146">
        <v>1173</v>
      </c>
      <c r="BB146" t="s">
        <v>163</v>
      </c>
      <c r="BC146">
        <v>31</v>
      </c>
      <c r="BD146">
        <v>30</v>
      </c>
      <c r="BE146">
        <v>59</v>
      </c>
      <c r="BF146">
        <v>60</v>
      </c>
      <c r="BG146" s="2" t="s">
        <v>49</v>
      </c>
      <c r="BH146">
        <v>26538</v>
      </c>
      <c r="BI146">
        <v>1275</v>
      </c>
      <c r="BJ146">
        <v>2020</v>
      </c>
      <c r="BM146" s="2" t="s">
        <v>49</v>
      </c>
      <c r="BN146">
        <v>26493</v>
      </c>
      <c r="BO146">
        <v>1275</v>
      </c>
      <c r="BP146">
        <v>2020</v>
      </c>
      <c r="BS146" s="2" t="s">
        <v>49</v>
      </c>
      <c r="BT146">
        <v>43428</v>
      </c>
      <c r="BU146">
        <v>1275</v>
      </c>
      <c r="BV146">
        <v>2020</v>
      </c>
      <c r="BY146" s="2" t="s">
        <v>49</v>
      </c>
      <c r="BZ146">
        <v>43967</v>
      </c>
      <c r="CA146">
        <v>1275</v>
      </c>
      <c r="CB146">
        <v>2020</v>
      </c>
      <c r="CE146" s="2" t="s">
        <v>49</v>
      </c>
      <c r="CF146">
        <v>43887</v>
      </c>
      <c r="CG146">
        <v>1275</v>
      </c>
      <c r="CH146">
        <v>2020</v>
      </c>
      <c r="CK146" s="2" t="s">
        <v>49</v>
      </c>
      <c r="CL146">
        <v>43662</v>
      </c>
      <c r="CM146">
        <v>1275</v>
      </c>
      <c r="CN146">
        <v>2020</v>
      </c>
    </row>
    <row r="147" spans="1:92" x14ac:dyDescent="0.25">
      <c r="A147">
        <v>75175893</v>
      </c>
      <c r="B147" s="3" t="s">
        <v>37</v>
      </c>
      <c r="C147" t="s">
        <v>144</v>
      </c>
      <c r="D147" t="s">
        <v>191</v>
      </c>
      <c r="E147">
        <v>2020</v>
      </c>
      <c r="F147" t="s">
        <v>192</v>
      </c>
      <c r="G147" t="s">
        <v>507</v>
      </c>
      <c r="H147" t="s">
        <v>148</v>
      </c>
      <c r="K147" t="s">
        <v>45</v>
      </c>
      <c r="L147" t="s">
        <v>508</v>
      </c>
      <c r="M147" t="s">
        <v>47</v>
      </c>
      <c r="N147">
        <v>160000</v>
      </c>
      <c r="O147">
        <v>22164</v>
      </c>
      <c r="P147">
        <v>137836</v>
      </c>
      <c r="Q147" t="s">
        <v>509</v>
      </c>
      <c r="R147" t="s">
        <v>507</v>
      </c>
      <c r="S147" s="2" t="s">
        <v>49</v>
      </c>
      <c r="T147">
        <v>417202</v>
      </c>
      <c r="U147" t="s">
        <v>50</v>
      </c>
      <c r="V147">
        <v>2020</v>
      </c>
      <c r="W147">
        <v>1173</v>
      </c>
      <c r="X147" t="s">
        <v>116</v>
      </c>
      <c r="Y147">
        <v>30</v>
      </c>
      <c r="Z147">
        <v>30</v>
      </c>
      <c r="AA147">
        <v>60</v>
      </c>
      <c r="AB147">
        <v>60</v>
      </c>
      <c r="AC147" s="2" t="s">
        <v>49</v>
      </c>
      <c r="AD147">
        <v>417156</v>
      </c>
      <c r="AE147" t="s">
        <v>50</v>
      </c>
      <c r="AF147">
        <v>2020</v>
      </c>
      <c r="AG147">
        <v>1173</v>
      </c>
      <c r="AH147" t="s">
        <v>116</v>
      </c>
      <c r="AI147">
        <v>29</v>
      </c>
      <c r="AJ147">
        <v>30</v>
      </c>
      <c r="AK147">
        <v>60</v>
      </c>
      <c r="AL147">
        <v>58</v>
      </c>
      <c r="AM147" s="2" t="s">
        <v>49</v>
      </c>
      <c r="AN147">
        <v>417336</v>
      </c>
      <c r="AO147" t="s">
        <v>50</v>
      </c>
      <c r="AP147">
        <v>2020</v>
      </c>
      <c r="AQ147">
        <v>1173</v>
      </c>
      <c r="AR147" t="s">
        <v>116</v>
      </c>
      <c r="AS147">
        <v>30</v>
      </c>
      <c r="AT147">
        <v>30</v>
      </c>
      <c r="AU147">
        <v>59</v>
      </c>
      <c r="AV147">
        <v>59</v>
      </c>
      <c r="AW147" s="2" t="s">
        <v>49</v>
      </c>
      <c r="AX147">
        <v>415336</v>
      </c>
      <c r="AY147" t="s">
        <v>50</v>
      </c>
      <c r="AZ147">
        <v>2020</v>
      </c>
      <c r="BA147">
        <v>1173</v>
      </c>
      <c r="BB147" t="s">
        <v>116</v>
      </c>
      <c r="BC147">
        <v>31</v>
      </c>
      <c r="BD147">
        <v>30</v>
      </c>
      <c r="BE147">
        <v>58</v>
      </c>
      <c r="BF147">
        <v>58</v>
      </c>
      <c r="BG147" s="2" t="s">
        <v>49</v>
      </c>
      <c r="BH147">
        <v>26942</v>
      </c>
      <c r="BI147">
        <v>1275</v>
      </c>
      <c r="BJ147">
        <v>2020</v>
      </c>
      <c r="BM147" s="2" t="s">
        <v>49</v>
      </c>
      <c r="BN147">
        <v>26977</v>
      </c>
      <c r="BO147">
        <v>1275</v>
      </c>
      <c r="BP147">
        <v>2020</v>
      </c>
      <c r="BS147" s="2" t="s">
        <v>49</v>
      </c>
      <c r="BT147">
        <v>44311</v>
      </c>
      <c r="BU147">
        <v>1275</v>
      </c>
      <c r="BV147">
        <v>2020</v>
      </c>
      <c r="BY147" s="2" t="s">
        <v>49</v>
      </c>
      <c r="BZ147">
        <v>44863</v>
      </c>
      <c r="CA147">
        <v>1275</v>
      </c>
      <c r="CB147">
        <v>2020</v>
      </c>
      <c r="CE147" s="2" t="s">
        <v>49</v>
      </c>
      <c r="CF147">
        <v>43710</v>
      </c>
      <c r="CG147">
        <v>1275</v>
      </c>
      <c r="CH147">
        <v>2020</v>
      </c>
      <c r="CK147" s="2" t="s">
        <v>49</v>
      </c>
      <c r="CL147">
        <v>44629</v>
      </c>
      <c r="CM147">
        <v>1275</v>
      </c>
      <c r="CN147">
        <v>2020</v>
      </c>
    </row>
    <row r="148" spans="1:92" x14ac:dyDescent="0.25">
      <c r="A148">
        <v>75182493</v>
      </c>
      <c r="B148" s="3" t="s">
        <v>37</v>
      </c>
      <c r="C148" t="s">
        <v>144</v>
      </c>
      <c r="D148" t="s">
        <v>145</v>
      </c>
      <c r="E148">
        <v>2020</v>
      </c>
      <c r="F148" t="s">
        <v>146</v>
      </c>
      <c r="G148" t="s">
        <v>152</v>
      </c>
      <c r="H148" t="s">
        <v>148</v>
      </c>
      <c r="K148" t="s">
        <v>45</v>
      </c>
      <c r="L148" t="s">
        <v>153</v>
      </c>
      <c r="M148" t="s">
        <v>47</v>
      </c>
      <c r="N148">
        <v>160000</v>
      </c>
      <c r="O148">
        <v>30867</v>
      </c>
      <c r="P148">
        <v>129133</v>
      </c>
      <c r="Q148" t="s">
        <v>510</v>
      </c>
      <c r="R148" t="s">
        <v>152</v>
      </c>
      <c r="S148" s="2" t="s">
        <v>49</v>
      </c>
      <c r="T148">
        <v>741929</v>
      </c>
      <c r="U148" t="s">
        <v>62</v>
      </c>
      <c r="V148">
        <v>2020</v>
      </c>
      <c r="W148">
        <v>1173</v>
      </c>
      <c r="X148" t="s">
        <v>151</v>
      </c>
      <c r="Y148">
        <v>30</v>
      </c>
      <c r="Z148">
        <v>30</v>
      </c>
      <c r="AA148">
        <v>54</v>
      </c>
      <c r="AB148">
        <v>53</v>
      </c>
      <c r="AC148" s="2" t="s">
        <v>49</v>
      </c>
      <c r="AD148">
        <v>447517</v>
      </c>
      <c r="AE148" t="s">
        <v>50</v>
      </c>
      <c r="AF148">
        <v>2020</v>
      </c>
      <c r="AG148">
        <v>1173</v>
      </c>
      <c r="AH148" t="s">
        <v>151</v>
      </c>
      <c r="AI148">
        <v>31</v>
      </c>
      <c r="AJ148">
        <v>30</v>
      </c>
      <c r="AK148">
        <v>50</v>
      </c>
      <c r="AL148">
        <v>51</v>
      </c>
      <c r="AM148" s="2" t="s">
        <v>49</v>
      </c>
      <c r="AN148">
        <v>448121</v>
      </c>
      <c r="AO148" t="s">
        <v>50</v>
      </c>
      <c r="AP148">
        <v>2020</v>
      </c>
      <c r="AQ148">
        <v>1173</v>
      </c>
      <c r="AR148" t="s">
        <v>151</v>
      </c>
      <c r="AS148">
        <v>30</v>
      </c>
      <c r="AT148">
        <v>30</v>
      </c>
      <c r="AU148">
        <v>52</v>
      </c>
      <c r="AV148">
        <v>52</v>
      </c>
      <c r="AW148" s="2" t="s">
        <v>49</v>
      </c>
      <c r="AX148">
        <v>749587</v>
      </c>
      <c r="AY148" t="s">
        <v>62</v>
      </c>
      <c r="AZ148">
        <v>2020</v>
      </c>
      <c r="BA148">
        <v>1173</v>
      </c>
      <c r="BB148" t="s">
        <v>151</v>
      </c>
      <c r="BC148">
        <v>30</v>
      </c>
      <c r="BD148">
        <v>30</v>
      </c>
      <c r="BE148">
        <v>49</v>
      </c>
      <c r="BF148">
        <v>49</v>
      </c>
      <c r="BG148" s="2" t="s">
        <v>49</v>
      </c>
      <c r="BH148">
        <v>26065</v>
      </c>
      <c r="BI148">
        <v>1275</v>
      </c>
      <c r="BJ148">
        <v>2020</v>
      </c>
      <c r="BM148" s="2" t="s">
        <v>49</v>
      </c>
      <c r="BN148">
        <v>26537</v>
      </c>
      <c r="BO148">
        <v>1275</v>
      </c>
      <c r="BP148">
        <v>2020</v>
      </c>
      <c r="BS148" s="2" t="s">
        <v>49</v>
      </c>
      <c r="BT148">
        <v>43433</v>
      </c>
      <c r="BU148">
        <v>1275</v>
      </c>
      <c r="BV148">
        <v>2020</v>
      </c>
      <c r="BY148" s="2" t="s">
        <v>49</v>
      </c>
      <c r="BZ148">
        <v>43429</v>
      </c>
      <c r="CA148">
        <v>1275</v>
      </c>
      <c r="CB148">
        <v>2020</v>
      </c>
      <c r="CE148" s="2" t="s">
        <v>49</v>
      </c>
      <c r="CF148">
        <v>44062</v>
      </c>
      <c r="CG148">
        <v>1275</v>
      </c>
      <c r="CH148">
        <v>2020</v>
      </c>
      <c r="CK148" s="2" t="s">
        <v>49</v>
      </c>
      <c r="CL148">
        <v>44086</v>
      </c>
      <c r="CM148">
        <v>1275</v>
      </c>
      <c r="CN148">
        <v>2020</v>
      </c>
    </row>
    <row r="149" spans="1:92" x14ac:dyDescent="0.25">
      <c r="A149">
        <v>75175992</v>
      </c>
      <c r="B149" s="3" t="s">
        <v>37</v>
      </c>
      <c r="C149" t="s">
        <v>144</v>
      </c>
      <c r="D149" t="s">
        <v>191</v>
      </c>
      <c r="E149">
        <v>2020</v>
      </c>
      <c r="F149" t="s">
        <v>192</v>
      </c>
      <c r="G149" t="s">
        <v>181</v>
      </c>
      <c r="H149" t="s">
        <v>42</v>
      </c>
      <c r="K149" t="s">
        <v>45</v>
      </c>
      <c r="L149" t="s">
        <v>182</v>
      </c>
      <c r="M149" t="s">
        <v>47</v>
      </c>
      <c r="N149">
        <v>160000</v>
      </c>
      <c r="O149">
        <v>24405</v>
      </c>
      <c r="P149">
        <v>135595</v>
      </c>
      <c r="Q149" t="s">
        <v>511</v>
      </c>
      <c r="R149" t="s">
        <v>181</v>
      </c>
      <c r="S149" s="2" t="s">
        <v>49</v>
      </c>
      <c r="T149">
        <v>751739</v>
      </c>
      <c r="U149" t="s">
        <v>62</v>
      </c>
      <c r="V149">
        <v>2020</v>
      </c>
      <c r="W149">
        <v>301</v>
      </c>
      <c r="X149" t="s">
        <v>170</v>
      </c>
      <c r="Y149">
        <v>30</v>
      </c>
      <c r="Z149">
        <v>30</v>
      </c>
      <c r="AA149">
        <v>43</v>
      </c>
      <c r="AB149">
        <v>43</v>
      </c>
      <c r="AC149" s="2" t="s">
        <v>49</v>
      </c>
      <c r="AD149">
        <v>445404</v>
      </c>
      <c r="AE149" t="s">
        <v>50</v>
      </c>
      <c r="AF149">
        <v>2020</v>
      </c>
      <c r="AG149">
        <v>301</v>
      </c>
      <c r="AH149" t="s">
        <v>170</v>
      </c>
      <c r="AI149">
        <v>30</v>
      </c>
      <c r="AJ149">
        <v>30</v>
      </c>
      <c r="AK149">
        <v>51</v>
      </c>
      <c r="AL149">
        <v>51</v>
      </c>
      <c r="AM149" s="2" t="s">
        <v>49</v>
      </c>
      <c r="AN149">
        <v>751749</v>
      </c>
      <c r="AO149" t="s">
        <v>62</v>
      </c>
      <c r="AP149">
        <v>2020</v>
      </c>
      <c r="AQ149">
        <v>301</v>
      </c>
      <c r="AR149" t="s">
        <v>170</v>
      </c>
      <c r="AS149">
        <v>31</v>
      </c>
      <c r="AT149">
        <v>30</v>
      </c>
      <c r="AU149">
        <v>59</v>
      </c>
      <c r="AV149">
        <v>59</v>
      </c>
      <c r="AW149" s="2" t="s">
        <v>49</v>
      </c>
      <c r="AX149">
        <v>746725</v>
      </c>
      <c r="AY149" t="s">
        <v>62</v>
      </c>
      <c r="AZ149">
        <v>2020</v>
      </c>
      <c r="BA149">
        <v>301</v>
      </c>
      <c r="BB149" t="s">
        <v>170</v>
      </c>
      <c r="BC149">
        <v>30</v>
      </c>
      <c r="BD149">
        <v>30</v>
      </c>
      <c r="BE149">
        <v>56</v>
      </c>
      <c r="BF149">
        <v>56</v>
      </c>
      <c r="BG149" s="2" t="s">
        <v>49</v>
      </c>
      <c r="BH149">
        <v>26916</v>
      </c>
      <c r="BI149">
        <v>1275</v>
      </c>
      <c r="BJ149">
        <v>2020</v>
      </c>
      <c r="BM149" s="2" t="s">
        <v>49</v>
      </c>
      <c r="BN149">
        <v>24951</v>
      </c>
      <c r="BO149">
        <v>1275</v>
      </c>
      <c r="BP149">
        <v>2020</v>
      </c>
      <c r="BS149" s="2" t="s">
        <v>49</v>
      </c>
      <c r="BT149">
        <v>44786</v>
      </c>
      <c r="BU149">
        <v>1275</v>
      </c>
      <c r="BV149">
        <v>2020</v>
      </c>
      <c r="BY149" s="2" t="s">
        <v>49</v>
      </c>
      <c r="BZ149">
        <v>44990</v>
      </c>
      <c r="CA149">
        <v>1275</v>
      </c>
      <c r="CB149">
        <v>2020</v>
      </c>
      <c r="CE149" s="2" t="s">
        <v>49</v>
      </c>
      <c r="CF149">
        <v>44982</v>
      </c>
      <c r="CG149">
        <v>1275</v>
      </c>
      <c r="CH149">
        <v>2020</v>
      </c>
      <c r="CK149" s="2" t="s">
        <v>49</v>
      </c>
      <c r="CL149">
        <v>44966</v>
      </c>
      <c r="CM149">
        <v>1275</v>
      </c>
      <c r="CN149">
        <v>2020</v>
      </c>
    </row>
    <row r="150" spans="1:92" x14ac:dyDescent="0.25">
      <c r="A150">
        <v>77205649</v>
      </c>
      <c r="B150" s="3" t="s">
        <v>37</v>
      </c>
      <c r="C150" t="s">
        <v>53</v>
      </c>
      <c r="D150" t="s">
        <v>54</v>
      </c>
      <c r="E150">
        <v>2013</v>
      </c>
      <c r="F150" t="s">
        <v>55</v>
      </c>
      <c r="G150" t="s">
        <v>437</v>
      </c>
      <c r="H150" t="s">
        <v>44</v>
      </c>
      <c r="I150" t="s">
        <v>57</v>
      </c>
      <c r="J150" t="s">
        <v>58</v>
      </c>
      <c r="K150" t="s">
        <v>45</v>
      </c>
      <c r="L150" t="s">
        <v>512</v>
      </c>
      <c r="M150" t="s">
        <v>47</v>
      </c>
      <c r="N150">
        <v>160000</v>
      </c>
      <c r="O150">
        <v>15498</v>
      </c>
      <c r="P150">
        <v>144502</v>
      </c>
      <c r="Q150" t="s">
        <v>513</v>
      </c>
      <c r="R150" t="s">
        <v>413</v>
      </c>
      <c r="S150" s="2" t="s">
        <v>49</v>
      </c>
      <c r="T150">
        <v>434215</v>
      </c>
      <c r="U150" t="s">
        <v>62</v>
      </c>
      <c r="V150">
        <v>2013</v>
      </c>
      <c r="W150">
        <v>4042</v>
      </c>
      <c r="X150" t="s">
        <v>66</v>
      </c>
      <c r="Y150">
        <v>0</v>
      </c>
      <c r="Z150">
        <v>0</v>
      </c>
      <c r="AA150">
        <v>54</v>
      </c>
      <c r="AB150">
        <v>54</v>
      </c>
      <c r="AC150" s="2" t="s">
        <v>49</v>
      </c>
      <c r="AD150">
        <v>433982</v>
      </c>
      <c r="AE150" t="s">
        <v>62</v>
      </c>
      <c r="AF150">
        <v>2013</v>
      </c>
      <c r="AG150">
        <v>4042</v>
      </c>
      <c r="AH150" t="s">
        <v>66</v>
      </c>
      <c r="AI150">
        <v>0</v>
      </c>
      <c r="AJ150">
        <v>0</v>
      </c>
      <c r="AK150">
        <v>54</v>
      </c>
      <c r="AL150">
        <v>54</v>
      </c>
      <c r="AM150" s="2" t="s">
        <v>49</v>
      </c>
      <c r="AN150">
        <v>444215</v>
      </c>
      <c r="AO150" t="s">
        <v>62</v>
      </c>
      <c r="AP150">
        <v>2013</v>
      </c>
      <c r="AQ150">
        <v>4042</v>
      </c>
      <c r="AR150" t="s">
        <v>66</v>
      </c>
      <c r="AS150">
        <v>0</v>
      </c>
      <c r="AT150">
        <v>0</v>
      </c>
      <c r="AU150">
        <v>58</v>
      </c>
      <c r="AV150">
        <v>58</v>
      </c>
      <c r="AW150" s="2" t="s">
        <v>49</v>
      </c>
      <c r="AX150">
        <v>444845</v>
      </c>
      <c r="AY150" t="s">
        <v>62</v>
      </c>
      <c r="AZ150">
        <v>2013</v>
      </c>
      <c r="BA150">
        <v>4042</v>
      </c>
      <c r="BB150" t="s">
        <v>66</v>
      </c>
      <c r="BC150">
        <v>0</v>
      </c>
      <c r="BD150">
        <v>0</v>
      </c>
      <c r="BE150">
        <v>59</v>
      </c>
      <c r="BF150">
        <v>59</v>
      </c>
      <c r="BG150" s="2" t="s">
        <v>49</v>
      </c>
      <c r="BH150">
        <v>14611</v>
      </c>
      <c r="BI150">
        <v>1291</v>
      </c>
      <c r="BJ150">
        <v>2013</v>
      </c>
      <c r="BM150" s="2" t="s">
        <v>49</v>
      </c>
      <c r="BN150">
        <v>15590</v>
      </c>
      <c r="BO150">
        <v>1291</v>
      </c>
      <c r="BP150">
        <v>2013</v>
      </c>
      <c r="BS150" s="2" t="s">
        <v>49</v>
      </c>
      <c r="BT150">
        <v>42725</v>
      </c>
      <c r="BU150">
        <v>1291</v>
      </c>
      <c r="BV150">
        <v>2013</v>
      </c>
      <c r="BY150" s="2" t="s">
        <v>49</v>
      </c>
      <c r="BZ150">
        <v>42628</v>
      </c>
      <c r="CA150">
        <v>1291</v>
      </c>
      <c r="CB150">
        <v>2013</v>
      </c>
      <c r="CE150" s="2" t="s">
        <v>49</v>
      </c>
      <c r="CF150">
        <v>44099</v>
      </c>
      <c r="CG150">
        <v>1291</v>
      </c>
      <c r="CH150">
        <v>2013</v>
      </c>
      <c r="CK150" s="2" t="s">
        <v>49</v>
      </c>
      <c r="CL150">
        <v>45002</v>
      </c>
      <c r="CM150">
        <v>1291</v>
      </c>
      <c r="CN150">
        <v>2013</v>
      </c>
    </row>
    <row r="151" spans="1:92" x14ac:dyDescent="0.25">
      <c r="A151">
        <v>75187096</v>
      </c>
      <c r="B151" s="3" t="s">
        <v>37</v>
      </c>
      <c r="C151" t="s">
        <v>144</v>
      </c>
      <c r="D151" t="s">
        <v>158</v>
      </c>
      <c r="E151">
        <v>2020</v>
      </c>
      <c r="F151" t="s">
        <v>159</v>
      </c>
      <c r="G151" t="s">
        <v>514</v>
      </c>
      <c r="H151" t="s">
        <v>148</v>
      </c>
      <c r="K151" t="s">
        <v>45</v>
      </c>
      <c r="L151" t="s">
        <v>515</v>
      </c>
      <c r="M151" t="s">
        <v>47</v>
      </c>
      <c r="N151">
        <v>160000</v>
      </c>
      <c r="O151">
        <v>28579</v>
      </c>
      <c r="P151">
        <v>131421</v>
      </c>
      <c r="Q151" t="s">
        <v>516</v>
      </c>
      <c r="R151" t="s">
        <v>514</v>
      </c>
      <c r="S151" s="2" t="s">
        <v>49</v>
      </c>
      <c r="T151">
        <v>751909</v>
      </c>
      <c r="U151" t="s">
        <v>62</v>
      </c>
      <c r="V151">
        <v>2020</v>
      </c>
      <c r="W151">
        <v>1173</v>
      </c>
      <c r="X151" t="s">
        <v>151</v>
      </c>
      <c r="Y151">
        <v>30</v>
      </c>
      <c r="Z151">
        <v>31</v>
      </c>
      <c r="AA151">
        <v>59</v>
      </c>
      <c r="AB151">
        <v>59</v>
      </c>
      <c r="AC151" s="2" t="s">
        <v>49</v>
      </c>
      <c r="AD151">
        <v>751923</v>
      </c>
      <c r="AE151" t="s">
        <v>62</v>
      </c>
      <c r="AF151">
        <v>2020</v>
      </c>
      <c r="AG151">
        <v>1173</v>
      </c>
      <c r="AH151" t="s">
        <v>151</v>
      </c>
      <c r="AI151">
        <v>31</v>
      </c>
      <c r="AJ151">
        <v>30</v>
      </c>
      <c r="AK151">
        <v>55</v>
      </c>
      <c r="AL151">
        <v>55</v>
      </c>
      <c r="AM151" s="2" t="s">
        <v>49</v>
      </c>
      <c r="AN151">
        <v>748751</v>
      </c>
      <c r="AO151" t="s">
        <v>62</v>
      </c>
      <c r="AP151">
        <v>2020</v>
      </c>
      <c r="AQ151">
        <v>1173</v>
      </c>
      <c r="AR151" t="s">
        <v>151</v>
      </c>
      <c r="AS151">
        <v>31</v>
      </c>
      <c r="AT151">
        <v>30</v>
      </c>
      <c r="AU151">
        <v>62</v>
      </c>
      <c r="AV151">
        <v>62</v>
      </c>
      <c r="AW151" s="2" t="s">
        <v>49</v>
      </c>
      <c r="AX151">
        <v>751714</v>
      </c>
      <c r="AY151" t="s">
        <v>62</v>
      </c>
      <c r="AZ151">
        <v>2020</v>
      </c>
      <c r="BA151">
        <v>1173</v>
      </c>
      <c r="BB151" t="s">
        <v>151</v>
      </c>
      <c r="BC151">
        <v>30</v>
      </c>
      <c r="BD151">
        <v>30</v>
      </c>
      <c r="BE151">
        <v>61</v>
      </c>
      <c r="BF151">
        <v>63</v>
      </c>
      <c r="BG151" s="2" t="s">
        <v>49</v>
      </c>
      <c r="BH151">
        <v>25497</v>
      </c>
      <c r="BI151">
        <v>1275</v>
      </c>
      <c r="BJ151">
        <v>2020</v>
      </c>
      <c r="BM151" s="2" t="s">
        <v>49</v>
      </c>
      <c r="BN151">
        <v>25427</v>
      </c>
      <c r="BO151">
        <v>1275</v>
      </c>
      <c r="BP151">
        <v>2020</v>
      </c>
      <c r="BS151" s="2" t="s">
        <v>49</v>
      </c>
      <c r="BT151">
        <v>45746</v>
      </c>
      <c r="BU151">
        <v>1275</v>
      </c>
      <c r="BV151">
        <v>2020</v>
      </c>
      <c r="BY151" s="2" t="s">
        <v>49</v>
      </c>
      <c r="BZ151">
        <v>43966</v>
      </c>
      <c r="CA151">
        <v>1275</v>
      </c>
      <c r="CB151">
        <v>2020</v>
      </c>
      <c r="CE151" s="2" t="s">
        <v>49</v>
      </c>
      <c r="CF151">
        <v>43024</v>
      </c>
      <c r="CG151">
        <v>1275</v>
      </c>
      <c r="CH151">
        <v>2020</v>
      </c>
      <c r="CK151" s="2" t="s">
        <v>49</v>
      </c>
      <c r="CL151">
        <v>45436</v>
      </c>
      <c r="CM151">
        <v>1275</v>
      </c>
      <c r="CN151">
        <v>2020</v>
      </c>
    </row>
    <row r="152" spans="1:92" x14ac:dyDescent="0.25">
      <c r="A152">
        <v>75182295</v>
      </c>
      <c r="B152" s="3" t="s">
        <v>37</v>
      </c>
      <c r="C152" t="s">
        <v>144</v>
      </c>
      <c r="D152" t="s">
        <v>145</v>
      </c>
      <c r="E152">
        <v>2020</v>
      </c>
      <c r="F152" t="s">
        <v>146</v>
      </c>
      <c r="G152" t="s">
        <v>164</v>
      </c>
      <c r="H152" t="s">
        <v>148</v>
      </c>
      <c r="K152" t="s">
        <v>45</v>
      </c>
      <c r="L152" t="s">
        <v>165</v>
      </c>
      <c r="M152" t="s">
        <v>47</v>
      </c>
      <c r="N152">
        <v>160000</v>
      </c>
      <c r="O152">
        <v>29395</v>
      </c>
      <c r="P152">
        <v>130605</v>
      </c>
      <c r="Q152" t="s">
        <v>517</v>
      </c>
      <c r="R152" t="s">
        <v>164</v>
      </c>
      <c r="S152" s="2" t="s">
        <v>49</v>
      </c>
      <c r="T152">
        <v>742774</v>
      </c>
      <c r="U152" t="s">
        <v>62</v>
      </c>
      <c r="V152">
        <v>2020</v>
      </c>
      <c r="W152">
        <v>1173</v>
      </c>
      <c r="X152" t="s">
        <v>151</v>
      </c>
      <c r="Y152">
        <v>30</v>
      </c>
      <c r="Z152">
        <v>29</v>
      </c>
      <c r="AA152">
        <v>62</v>
      </c>
      <c r="AB152">
        <v>64</v>
      </c>
      <c r="AC152" s="2" t="s">
        <v>49</v>
      </c>
      <c r="AD152">
        <v>734065</v>
      </c>
      <c r="AE152" t="s">
        <v>62</v>
      </c>
      <c r="AF152">
        <v>2020</v>
      </c>
      <c r="AG152">
        <v>1173</v>
      </c>
      <c r="AH152" t="s">
        <v>151</v>
      </c>
      <c r="AI152">
        <v>30</v>
      </c>
      <c r="AJ152">
        <v>29</v>
      </c>
      <c r="AK152">
        <v>60</v>
      </c>
      <c r="AL152">
        <v>61</v>
      </c>
      <c r="AM152" s="2" t="s">
        <v>49</v>
      </c>
      <c r="AN152">
        <v>742706</v>
      </c>
      <c r="AO152" t="s">
        <v>62</v>
      </c>
      <c r="AP152">
        <v>2020</v>
      </c>
      <c r="AQ152">
        <v>1173</v>
      </c>
      <c r="AR152" t="s">
        <v>151</v>
      </c>
      <c r="AS152">
        <v>30</v>
      </c>
      <c r="AT152">
        <v>30</v>
      </c>
      <c r="AU152">
        <v>61</v>
      </c>
      <c r="AV152">
        <v>59</v>
      </c>
      <c r="AW152" s="2" t="s">
        <v>49</v>
      </c>
      <c r="AX152">
        <v>445406</v>
      </c>
      <c r="AY152" t="s">
        <v>50</v>
      </c>
      <c r="AZ152">
        <v>2020</v>
      </c>
      <c r="BA152">
        <v>1173</v>
      </c>
      <c r="BB152" t="s">
        <v>151</v>
      </c>
      <c r="BC152">
        <v>30</v>
      </c>
      <c r="BD152">
        <v>30</v>
      </c>
      <c r="BE152">
        <v>58</v>
      </c>
      <c r="BF152">
        <v>58</v>
      </c>
      <c r="BG152" s="2" t="s">
        <v>49</v>
      </c>
      <c r="BH152">
        <v>27054</v>
      </c>
      <c r="BI152">
        <v>1275</v>
      </c>
      <c r="BJ152">
        <v>2020</v>
      </c>
      <c r="BM152" s="2" t="s">
        <v>49</v>
      </c>
      <c r="BN152">
        <v>27083</v>
      </c>
      <c r="BO152">
        <v>1275</v>
      </c>
      <c r="BP152">
        <v>2020</v>
      </c>
      <c r="BS152" s="2" t="s">
        <v>49</v>
      </c>
      <c r="BT152">
        <v>42063</v>
      </c>
      <c r="BU152">
        <v>1275</v>
      </c>
      <c r="BV152">
        <v>2020</v>
      </c>
      <c r="BY152" s="2" t="s">
        <v>49</v>
      </c>
      <c r="BZ152">
        <v>45174</v>
      </c>
      <c r="CA152">
        <v>1275</v>
      </c>
      <c r="CB152">
        <v>2020</v>
      </c>
      <c r="CE152" s="2" t="s">
        <v>49</v>
      </c>
      <c r="CF152">
        <v>41879</v>
      </c>
      <c r="CG152">
        <v>1275</v>
      </c>
      <c r="CH152">
        <v>2020</v>
      </c>
      <c r="CK152" s="2" t="s">
        <v>49</v>
      </c>
      <c r="CL152">
        <v>45069</v>
      </c>
      <c r="CM152">
        <v>1275</v>
      </c>
      <c r="CN152">
        <v>2020</v>
      </c>
    </row>
    <row r="153" spans="1:92" x14ac:dyDescent="0.25">
      <c r="A153">
        <v>75182790</v>
      </c>
      <c r="B153" s="3" t="s">
        <v>37</v>
      </c>
      <c r="C153" t="s">
        <v>144</v>
      </c>
      <c r="D153" t="s">
        <v>145</v>
      </c>
      <c r="E153">
        <v>2020</v>
      </c>
      <c r="F153" t="s">
        <v>146</v>
      </c>
      <c r="G153" t="s">
        <v>214</v>
      </c>
      <c r="H153" t="s">
        <v>148</v>
      </c>
      <c r="K153" t="s">
        <v>45</v>
      </c>
      <c r="L153" t="s">
        <v>215</v>
      </c>
      <c r="M153" t="s">
        <v>47</v>
      </c>
      <c r="N153">
        <v>160000</v>
      </c>
      <c r="O153">
        <v>26468</v>
      </c>
      <c r="P153">
        <v>133532</v>
      </c>
      <c r="Q153" t="s">
        <v>518</v>
      </c>
      <c r="R153" t="s">
        <v>214</v>
      </c>
      <c r="S153" s="2" t="s">
        <v>49</v>
      </c>
      <c r="T153">
        <v>449091</v>
      </c>
      <c r="U153" t="s">
        <v>50</v>
      </c>
      <c r="V153">
        <v>2020</v>
      </c>
      <c r="W153">
        <v>1173</v>
      </c>
      <c r="X153" t="s">
        <v>116</v>
      </c>
      <c r="Y153">
        <v>29</v>
      </c>
      <c r="Z153">
        <v>30</v>
      </c>
      <c r="AA153">
        <v>61</v>
      </c>
      <c r="AB153">
        <v>62</v>
      </c>
      <c r="AC153" s="2" t="s">
        <v>49</v>
      </c>
      <c r="AD153">
        <v>744881</v>
      </c>
      <c r="AE153" t="s">
        <v>62</v>
      </c>
      <c r="AF153">
        <v>2020</v>
      </c>
      <c r="AG153">
        <v>1173</v>
      </c>
      <c r="AH153" t="s">
        <v>116</v>
      </c>
      <c r="AI153">
        <v>30</v>
      </c>
      <c r="AJ153">
        <v>29</v>
      </c>
      <c r="AK153">
        <v>60</v>
      </c>
      <c r="AL153">
        <v>60</v>
      </c>
      <c r="AM153" s="2" t="s">
        <v>49</v>
      </c>
      <c r="AN153">
        <v>751409</v>
      </c>
      <c r="AO153" t="s">
        <v>62</v>
      </c>
      <c r="AP153">
        <v>2020</v>
      </c>
      <c r="AQ153">
        <v>1173</v>
      </c>
      <c r="AR153" t="s">
        <v>116</v>
      </c>
      <c r="AS153">
        <v>29</v>
      </c>
      <c r="AT153">
        <v>30</v>
      </c>
      <c r="AU153">
        <v>63</v>
      </c>
      <c r="AV153">
        <v>65</v>
      </c>
      <c r="AW153" s="2" t="s">
        <v>49</v>
      </c>
      <c r="AX153">
        <v>449112</v>
      </c>
      <c r="AY153" t="s">
        <v>50</v>
      </c>
      <c r="AZ153">
        <v>2020</v>
      </c>
      <c r="BA153">
        <v>1173</v>
      </c>
      <c r="BB153" t="s">
        <v>116</v>
      </c>
      <c r="BC153">
        <v>30</v>
      </c>
      <c r="BD153">
        <v>30</v>
      </c>
      <c r="BE153">
        <v>62</v>
      </c>
      <c r="BF153">
        <v>64</v>
      </c>
      <c r="BG153" s="2" t="s">
        <v>49</v>
      </c>
      <c r="BH153">
        <v>27133</v>
      </c>
      <c r="BI153">
        <v>1275</v>
      </c>
      <c r="BJ153">
        <v>2020</v>
      </c>
      <c r="BM153" s="2" t="s">
        <v>49</v>
      </c>
      <c r="BN153">
        <v>27370</v>
      </c>
      <c r="BO153">
        <v>1275</v>
      </c>
      <c r="BP153">
        <v>2020</v>
      </c>
      <c r="BS153" s="2" t="s">
        <v>49</v>
      </c>
      <c r="BT153">
        <v>41203</v>
      </c>
      <c r="BU153">
        <v>1275</v>
      </c>
      <c r="BV153">
        <v>2020</v>
      </c>
      <c r="BY153" s="2" t="s">
        <v>49</v>
      </c>
      <c r="BZ153">
        <v>40937</v>
      </c>
      <c r="CA153">
        <v>1275</v>
      </c>
      <c r="CB153">
        <v>2020</v>
      </c>
      <c r="CE153" s="2" t="s">
        <v>49</v>
      </c>
      <c r="CF153">
        <v>41298</v>
      </c>
      <c r="CG153">
        <v>1275</v>
      </c>
      <c r="CH153">
        <v>2020</v>
      </c>
      <c r="CK153" s="2" t="s">
        <v>49</v>
      </c>
      <c r="CL153">
        <v>38537</v>
      </c>
      <c r="CM153">
        <v>1275</v>
      </c>
      <c r="CN153">
        <v>2020</v>
      </c>
    </row>
    <row r="154" spans="1:92" x14ac:dyDescent="0.25">
      <c r="A154">
        <v>75165696</v>
      </c>
      <c r="B154" s="3" t="s">
        <v>37</v>
      </c>
      <c r="C154" t="s">
        <v>144</v>
      </c>
      <c r="D154" t="s">
        <v>200</v>
      </c>
      <c r="E154">
        <v>2020</v>
      </c>
      <c r="F154" t="s">
        <v>201</v>
      </c>
      <c r="G154" t="s">
        <v>155</v>
      </c>
      <c r="H154" t="s">
        <v>148</v>
      </c>
      <c r="K154" t="s">
        <v>45</v>
      </c>
      <c r="L154" t="s">
        <v>156</v>
      </c>
      <c r="M154" t="s">
        <v>47</v>
      </c>
      <c r="N154">
        <v>160000</v>
      </c>
      <c r="O154">
        <v>22224</v>
      </c>
      <c r="P154">
        <v>137776</v>
      </c>
      <c r="Q154" t="s">
        <v>519</v>
      </c>
      <c r="R154" t="s">
        <v>155</v>
      </c>
      <c r="S154" s="2" t="s">
        <v>49</v>
      </c>
      <c r="T154">
        <v>446076</v>
      </c>
      <c r="U154" t="s">
        <v>50</v>
      </c>
      <c r="V154">
        <v>2020</v>
      </c>
      <c r="W154">
        <v>1173</v>
      </c>
      <c r="X154" t="s">
        <v>116</v>
      </c>
      <c r="Y154">
        <v>30</v>
      </c>
      <c r="Z154">
        <v>30</v>
      </c>
      <c r="AA154">
        <v>68</v>
      </c>
      <c r="AB154">
        <v>68</v>
      </c>
      <c r="AC154" s="2" t="s">
        <v>49</v>
      </c>
      <c r="AD154">
        <v>749592</v>
      </c>
      <c r="AE154" t="s">
        <v>62</v>
      </c>
      <c r="AF154">
        <v>2020</v>
      </c>
      <c r="AG154">
        <v>1173</v>
      </c>
      <c r="AH154" t="s">
        <v>116</v>
      </c>
      <c r="AI154">
        <v>30</v>
      </c>
      <c r="AJ154">
        <v>30</v>
      </c>
      <c r="AK154">
        <v>61</v>
      </c>
      <c r="AL154">
        <v>61</v>
      </c>
      <c r="AM154" s="2" t="s">
        <v>49</v>
      </c>
      <c r="AN154">
        <v>445963</v>
      </c>
      <c r="AO154" t="s">
        <v>50</v>
      </c>
      <c r="AP154">
        <v>2020</v>
      </c>
      <c r="AQ154">
        <v>1173</v>
      </c>
      <c r="AR154" t="s">
        <v>116</v>
      </c>
      <c r="AS154">
        <v>30</v>
      </c>
      <c r="AT154">
        <v>30</v>
      </c>
      <c r="AU154">
        <v>60</v>
      </c>
      <c r="AV154">
        <v>60</v>
      </c>
      <c r="AW154" s="2" t="s">
        <v>49</v>
      </c>
      <c r="AX154">
        <v>731018</v>
      </c>
      <c r="AY154" t="s">
        <v>62</v>
      </c>
      <c r="AZ154">
        <v>2020</v>
      </c>
      <c r="BA154">
        <v>1173</v>
      </c>
      <c r="BB154" t="s">
        <v>116</v>
      </c>
      <c r="BC154">
        <v>30</v>
      </c>
      <c r="BD154">
        <v>30</v>
      </c>
      <c r="BE154">
        <v>64</v>
      </c>
      <c r="BF154">
        <v>64</v>
      </c>
      <c r="BG154" s="2" t="s">
        <v>49</v>
      </c>
      <c r="BH154">
        <v>26769</v>
      </c>
      <c r="BI154">
        <v>1275</v>
      </c>
      <c r="BJ154">
        <v>2020</v>
      </c>
      <c r="BM154" s="2" t="s">
        <v>49</v>
      </c>
      <c r="BN154">
        <v>26753</v>
      </c>
      <c r="BO154">
        <v>1275</v>
      </c>
      <c r="BP154">
        <v>2020</v>
      </c>
      <c r="BS154" s="2" t="s">
        <v>49</v>
      </c>
      <c r="BT154">
        <v>44196</v>
      </c>
      <c r="BU154">
        <v>1275</v>
      </c>
      <c r="BV154">
        <v>2020</v>
      </c>
      <c r="BY154" s="2" t="s">
        <v>49</v>
      </c>
      <c r="BZ154">
        <v>44478</v>
      </c>
      <c r="CA154">
        <v>1275</v>
      </c>
      <c r="CB154">
        <v>2020</v>
      </c>
      <c r="CE154" s="2" t="s">
        <v>49</v>
      </c>
      <c r="CF154">
        <v>44423</v>
      </c>
      <c r="CG154">
        <v>1275</v>
      </c>
      <c r="CH154">
        <v>2020</v>
      </c>
      <c r="CK154" s="2" t="s">
        <v>49</v>
      </c>
      <c r="CL154">
        <v>44069</v>
      </c>
      <c r="CM154">
        <v>1275</v>
      </c>
      <c r="CN154">
        <v>2020</v>
      </c>
    </row>
    <row r="155" spans="1:92" x14ac:dyDescent="0.25">
      <c r="A155">
        <v>75183194</v>
      </c>
      <c r="B155" s="3" t="s">
        <v>37</v>
      </c>
      <c r="C155" t="s">
        <v>144</v>
      </c>
      <c r="D155" t="s">
        <v>145</v>
      </c>
      <c r="E155">
        <v>2020</v>
      </c>
      <c r="F155" t="s">
        <v>146</v>
      </c>
      <c r="G155" t="s">
        <v>520</v>
      </c>
      <c r="H155" t="s">
        <v>42</v>
      </c>
      <c r="K155" t="s">
        <v>45</v>
      </c>
      <c r="L155" t="s">
        <v>521</v>
      </c>
      <c r="M155" t="s">
        <v>47</v>
      </c>
      <c r="N155">
        <v>160000</v>
      </c>
      <c r="O155">
        <v>24506</v>
      </c>
      <c r="P155">
        <v>135494</v>
      </c>
      <c r="Q155" t="s">
        <v>522</v>
      </c>
      <c r="R155" t="s">
        <v>520</v>
      </c>
      <c r="S155" s="2" t="s">
        <v>49</v>
      </c>
      <c r="T155">
        <v>751875</v>
      </c>
      <c r="U155" t="s">
        <v>62</v>
      </c>
      <c r="V155">
        <v>2020</v>
      </c>
      <c r="W155">
        <v>301</v>
      </c>
      <c r="X155" t="s">
        <v>61</v>
      </c>
      <c r="Y155">
        <v>31</v>
      </c>
      <c r="Z155">
        <v>31</v>
      </c>
      <c r="AA155">
        <v>64</v>
      </c>
      <c r="AB155">
        <v>64</v>
      </c>
      <c r="AC155" s="2" t="s">
        <v>49</v>
      </c>
      <c r="AD155">
        <v>751140</v>
      </c>
      <c r="AE155" t="s">
        <v>62</v>
      </c>
      <c r="AF155">
        <v>2020</v>
      </c>
      <c r="AG155">
        <v>301</v>
      </c>
      <c r="AH155" t="s">
        <v>61</v>
      </c>
      <c r="AI155">
        <v>31</v>
      </c>
      <c r="AJ155">
        <v>31</v>
      </c>
      <c r="AK155">
        <v>65</v>
      </c>
      <c r="AL155">
        <v>65</v>
      </c>
      <c r="AM155" s="2" t="s">
        <v>49</v>
      </c>
      <c r="AN155">
        <v>751906</v>
      </c>
      <c r="AO155" t="s">
        <v>62</v>
      </c>
      <c r="AP155">
        <v>2020</v>
      </c>
      <c r="AQ155">
        <v>301</v>
      </c>
      <c r="AR155" t="s">
        <v>61</v>
      </c>
      <c r="AS155">
        <v>31</v>
      </c>
      <c r="AT155">
        <v>31</v>
      </c>
      <c r="AU155">
        <v>63</v>
      </c>
      <c r="AV155">
        <v>63</v>
      </c>
      <c r="AW155" s="2" t="s">
        <v>49</v>
      </c>
      <c r="AX155">
        <v>449061</v>
      </c>
      <c r="AY155" t="s">
        <v>50</v>
      </c>
      <c r="AZ155">
        <v>2020</v>
      </c>
      <c r="BA155">
        <v>301</v>
      </c>
      <c r="BB155" t="s">
        <v>61</v>
      </c>
      <c r="BC155">
        <v>30</v>
      </c>
      <c r="BD155">
        <v>30</v>
      </c>
      <c r="BE155">
        <v>65</v>
      </c>
      <c r="BF155">
        <v>65</v>
      </c>
      <c r="BG155" s="2" t="s">
        <v>49</v>
      </c>
      <c r="BH155">
        <v>27237</v>
      </c>
      <c r="BI155">
        <v>1275</v>
      </c>
      <c r="BJ155">
        <v>2020</v>
      </c>
      <c r="BM155" s="2" t="s">
        <v>49</v>
      </c>
      <c r="BN155">
        <v>27162</v>
      </c>
      <c r="BO155">
        <v>1275</v>
      </c>
      <c r="BP155">
        <v>2020</v>
      </c>
      <c r="BS155" s="2" t="s">
        <v>49</v>
      </c>
      <c r="BT155">
        <v>45496</v>
      </c>
      <c r="BU155">
        <v>1275</v>
      </c>
      <c r="BV155">
        <v>2020</v>
      </c>
      <c r="BY155" s="2" t="s">
        <v>49</v>
      </c>
      <c r="BZ155">
        <v>45337</v>
      </c>
      <c r="CA155">
        <v>1275</v>
      </c>
      <c r="CB155">
        <v>2020</v>
      </c>
      <c r="CE155" s="2" t="s">
        <v>49</v>
      </c>
      <c r="CF155">
        <v>45506</v>
      </c>
      <c r="CG155">
        <v>1275</v>
      </c>
      <c r="CH155">
        <v>2020</v>
      </c>
      <c r="CK155" s="2" t="s">
        <v>49</v>
      </c>
      <c r="CL155">
        <v>45502</v>
      </c>
      <c r="CM155">
        <v>1275</v>
      </c>
      <c r="CN155">
        <v>2020</v>
      </c>
    </row>
    <row r="156" spans="1:92" x14ac:dyDescent="0.25">
      <c r="A156">
        <v>77223949</v>
      </c>
      <c r="B156" s="3" t="s">
        <v>37</v>
      </c>
      <c r="C156" t="s">
        <v>103</v>
      </c>
      <c r="D156" t="s">
        <v>94</v>
      </c>
      <c r="E156">
        <v>2011</v>
      </c>
      <c r="F156" t="s">
        <v>95</v>
      </c>
      <c r="G156" t="s">
        <v>523</v>
      </c>
      <c r="H156" t="s">
        <v>42</v>
      </c>
      <c r="I156" t="s">
        <v>524</v>
      </c>
      <c r="J156" t="s">
        <v>44</v>
      </c>
      <c r="K156" t="s">
        <v>45</v>
      </c>
      <c r="L156" t="s">
        <v>525</v>
      </c>
      <c r="M156" t="s">
        <v>47</v>
      </c>
      <c r="N156">
        <v>160000</v>
      </c>
      <c r="O156">
        <v>4609</v>
      </c>
      <c r="P156">
        <v>155391</v>
      </c>
      <c r="Q156" t="s">
        <v>526</v>
      </c>
      <c r="R156" t="s">
        <v>524</v>
      </c>
      <c r="S156" s="2" t="s">
        <v>49</v>
      </c>
      <c r="T156">
        <v>48371</v>
      </c>
      <c r="U156" t="s">
        <v>85</v>
      </c>
      <c r="V156">
        <v>1996</v>
      </c>
      <c r="W156">
        <v>745</v>
      </c>
      <c r="X156" t="s">
        <v>66</v>
      </c>
      <c r="Y156">
        <v>0</v>
      </c>
      <c r="Z156">
        <v>0</v>
      </c>
      <c r="AA156">
        <v>64</v>
      </c>
      <c r="AB156">
        <v>64</v>
      </c>
      <c r="AC156" s="2" t="s">
        <v>49</v>
      </c>
      <c r="AD156">
        <v>3871</v>
      </c>
      <c r="AE156" t="s">
        <v>527</v>
      </c>
      <c r="AF156">
        <v>1991</v>
      </c>
      <c r="AG156">
        <v>745</v>
      </c>
      <c r="AH156" t="s">
        <v>66</v>
      </c>
      <c r="AI156">
        <v>0</v>
      </c>
      <c r="AJ156">
        <v>0</v>
      </c>
      <c r="AK156">
        <v>64</v>
      </c>
      <c r="AL156">
        <v>64</v>
      </c>
      <c r="AM156" s="2" t="s">
        <v>49</v>
      </c>
      <c r="AN156">
        <v>286181</v>
      </c>
      <c r="AO156" t="s">
        <v>50</v>
      </c>
      <c r="AP156">
        <v>2011</v>
      </c>
      <c r="AQ156">
        <v>745</v>
      </c>
      <c r="AR156" t="s">
        <v>66</v>
      </c>
      <c r="AS156">
        <v>0</v>
      </c>
      <c r="AT156">
        <v>0</v>
      </c>
      <c r="AU156">
        <v>64</v>
      </c>
      <c r="AV156">
        <v>64</v>
      </c>
      <c r="AW156" s="2" t="s">
        <v>49</v>
      </c>
      <c r="AX156">
        <v>286876</v>
      </c>
      <c r="AY156" t="s">
        <v>50</v>
      </c>
      <c r="AZ156">
        <v>2011</v>
      </c>
      <c r="BA156">
        <v>745</v>
      </c>
      <c r="BB156" t="s">
        <v>66</v>
      </c>
      <c r="BC156">
        <v>0</v>
      </c>
      <c r="BD156">
        <v>0</v>
      </c>
      <c r="BE156">
        <v>64</v>
      </c>
      <c r="BF156">
        <v>64</v>
      </c>
      <c r="BG156" s="2" t="s">
        <v>49</v>
      </c>
      <c r="BH156">
        <v>69758</v>
      </c>
      <c r="BI156" t="s">
        <v>52</v>
      </c>
      <c r="BJ156">
        <v>2011</v>
      </c>
      <c r="BM156" s="2" t="s">
        <v>49</v>
      </c>
      <c r="BN156">
        <v>69216</v>
      </c>
      <c r="BO156" t="s">
        <v>52</v>
      </c>
      <c r="BP156">
        <v>2011</v>
      </c>
      <c r="BS156" s="2" t="s">
        <v>49</v>
      </c>
      <c r="BT156">
        <v>114063</v>
      </c>
      <c r="BU156" t="s">
        <v>52</v>
      </c>
      <c r="BV156">
        <v>2011</v>
      </c>
      <c r="BY156" s="2" t="s">
        <v>49</v>
      </c>
      <c r="BZ156">
        <v>114142</v>
      </c>
      <c r="CA156" t="s">
        <v>52</v>
      </c>
      <c r="CB156">
        <v>2011</v>
      </c>
      <c r="CE156" s="2" t="s">
        <v>49</v>
      </c>
      <c r="CF156">
        <v>116215</v>
      </c>
      <c r="CG156" t="s">
        <v>52</v>
      </c>
      <c r="CH156">
        <v>2011</v>
      </c>
      <c r="CK156" s="2" t="s">
        <v>49</v>
      </c>
      <c r="CL156">
        <v>114044</v>
      </c>
      <c r="CM156" t="s">
        <v>52</v>
      </c>
      <c r="CN156">
        <v>2011</v>
      </c>
    </row>
    <row r="157" spans="1:92" x14ac:dyDescent="0.25">
      <c r="A157">
        <v>77228740</v>
      </c>
      <c r="B157" s="3" t="s">
        <v>37</v>
      </c>
      <c r="C157" t="s">
        <v>38</v>
      </c>
      <c r="D157" t="s">
        <v>86</v>
      </c>
      <c r="E157">
        <v>2015</v>
      </c>
      <c r="F157" t="s">
        <v>87</v>
      </c>
      <c r="G157" t="s">
        <v>88</v>
      </c>
      <c r="H157" t="s">
        <v>89</v>
      </c>
      <c r="K157" t="s">
        <v>90</v>
      </c>
      <c r="L157" t="s">
        <v>91</v>
      </c>
      <c r="M157" t="s">
        <v>47</v>
      </c>
      <c r="N157">
        <v>160000</v>
      </c>
      <c r="O157">
        <v>37445</v>
      </c>
      <c r="P157">
        <v>122555</v>
      </c>
      <c r="Q157" t="s">
        <v>528</v>
      </c>
      <c r="R157" t="s">
        <v>88</v>
      </c>
      <c r="S157" s="2" t="s">
        <v>49</v>
      </c>
      <c r="T157">
        <v>300586</v>
      </c>
      <c r="U157" t="s">
        <v>50</v>
      </c>
      <c r="V157">
        <v>2015</v>
      </c>
      <c r="W157">
        <v>2348</v>
      </c>
      <c r="X157" t="s">
        <v>93</v>
      </c>
      <c r="Y157">
        <v>33</v>
      </c>
      <c r="Z157">
        <v>33</v>
      </c>
      <c r="AA157">
        <v>73</v>
      </c>
      <c r="AB157">
        <v>73</v>
      </c>
      <c r="AC157" s="2" t="s">
        <v>49</v>
      </c>
      <c r="AD157">
        <v>200220</v>
      </c>
      <c r="AE157" t="s">
        <v>50</v>
      </c>
      <c r="AF157">
        <v>2014</v>
      </c>
      <c r="AG157">
        <v>2348</v>
      </c>
      <c r="AH157" t="s">
        <v>93</v>
      </c>
      <c r="AI157">
        <v>33</v>
      </c>
      <c r="AJ157">
        <v>33</v>
      </c>
      <c r="AK157">
        <v>75</v>
      </c>
      <c r="AL157">
        <v>75</v>
      </c>
      <c r="AM157" s="2" t="s">
        <v>49</v>
      </c>
      <c r="AN157">
        <v>186644</v>
      </c>
      <c r="AO157" t="s">
        <v>50</v>
      </c>
      <c r="AP157">
        <v>2014</v>
      </c>
      <c r="AQ157">
        <v>2348</v>
      </c>
      <c r="AR157" t="s">
        <v>93</v>
      </c>
      <c r="AS157">
        <v>33</v>
      </c>
      <c r="AT157">
        <v>33</v>
      </c>
      <c r="AU157">
        <v>74</v>
      </c>
      <c r="AV157">
        <v>74</v>
      </c>
      <c r="AW157" s="2" t="s">
        <v>49</v>
      </c>
      <c r="AX157">
        <v>302110</v>
      </c>
      <c r="AY157" t="s">
        <v>50</v>
      </c>
      <c r="AZ157">
        <v>2015</v>
      </c>
      <c r="BA157">
        <v>2348</v>
      </c>
      <c r="BB157" t="s">
        <v>93</v>
      </c>
      <c r="BC157">
        <v>33</v>
      </c>
      <c r="BD157">
        <v>33</v>
      </c>
      <c r="BE157">
        <v>74</v>
      </c>
      <c r="BF157">
        <v>74</v>
      </c>
      <c r="BG157" s="2" t="s">
        <v>49</v>
      </c>
      <c r="BH157">
        <v>35337</v>
      </c>
      <c r="BI157" t="s">
        <v>50</v>
      </c>
      <c r="BJ157">
        <v>2014</v>
      </c>
      <c r="BM157" s="2" t="s">
        <v>49</v>
      </c>
      <c r="BN157">
        <v>35472</v>
      </c>
      <c r="BO157" t="s">
        <v>50</v>
      </c>
      <c r="BP157">
        <v>2014</v>
      </c>
      <c r="BS157" s="2" t="s">
        <v>49</v>
      </c>
      <c r="BT157">
        <v>1414</v>
      </c>
      <c r="BU157" t="s">
        <v>50</v>
      </c>
      <c r="BV157">
        <v>2015</v>
      </c>
      <c r="BY157" s="2" t="s">
        <v>49</v>
      </c>
      <c r="BZ157">
        <v>1602</v>
      </c>
      <c r="CA157" t="s">
        <v>50</v>
      </c>
      <c r="CB157">
        <v>2015</v>
      </c>
      <c r="CE157" s="2" t="s">
        <v>49</v>
      </c>
      <c r="CF157">
        <v>69531</v>
      </c>
      <c r="CG157" t="s">
        <v>50</v>
      </c>
      <c r="CH157">
        <v>2014</v>
      </c>
      <c r="CK157" s="2" t="s">
        <v>49</v>
      </c>
      <c r="CL157">
        <v>943</v>
      </c>
      <c r="CM157" t="s">
        <v>50</v>
      </c>
      <c r="CN157">
        <v>2015</v>
      </c>
    </row>
    <row r="158" spans="1:92" x14ac:dyDescent="0.25">
      <c r="A158">
        <v>77222081</v>
      </c>
      <c r="B158" s="3" t="s">
        <v>37</v>
      </c>
      <c r="C158" t="s">
        <v>38</v>
      </c>
      <c r="D158" t="s">
        <v>267</v>
      </c>
      <c r="E158">
        <v>2011</v>
      </c>
      <c r="F158" t="s">
        <v>268</v>
      </c>
      <c r="G158" t="s">
        <v>269</v>
      </c>
      <c r="H158" t="s">
        <v>42</v>
      </c>
      <c r="I158" t="s">
        <v>117</v>
      </c>
      <c r="J158" t="s">
        <v>99</v>
      </c>
      <c r="K158" t="s">
        <v>45</v>
      </c>
      <c r="L158" t="s">
        <v>118</v>
      </c>
      <c r="M158" t="s">
        <v>47</v>
      </c>
      <c r="N158">
        <v>160000</v>
      </c>
      <c r="O158">
        <v>44386</v>
      </c>
      <c r="P158">
        <v>115614</v>
      </c>
      <c r="Q158" t="s">
        <v>529</v>
      </c>
      <c r="R158" t="s">
        <v>117</v>
      </c>
      <c r="S158" s="2" t="s">
        <v>49</v>
      </c>
      <c r="T158">
        <v>285276</v>
      </c>
      <c r="U158" t="s">
        <v>50</v>
      </c>
      <c r="V158">
        <v>2011</v>
      </c>
      <c r="W158">
        <v>600</v>
      </c>
      <c r="X158" t="s">
        <v>93</v>
      </c>
      <c r="Y158">
        <v>30</v>
      </c>
      <c r="Z158">
        <v>30</v>
      </c>
      <c r="AA158">
        <v>66</v>
      </c>
      <c r="AB158">
        <v>67</v>
      </c>
      <c r="AC158" s="2" t="s">
        <v>49</v>
      </c>
      <c r="AD158">
        <v>285207</v>
      </c>
      <c r="AE158" t="s">
        <v>50</v>
      </c>
      <c r="AF158">
        <v>2011</v>
      </c>
      <c r="AG158">
        <v>600</v>
      </c>
      <c r="AH158" t="s">
        <v>93</v>
      </c>
      <c r="AI158">
        <v>30</v>
      </c>
      <c r="AJ158">
        <v>30</v>
      </c>
      <c r="AK158">
        <v>67</v>
      </c>
      <c r="AL158">
        <v>67</v>
      </c>
      <c r="AM158" s="2" t="s">
        <v>49</v>
      </c>
      <c r="AN158">
        <v>284609</v>
      </c>
      <c r="AO158" t="s">
        <v>50</v>
      </c>
      <c r="AP158">
        <v>2011</v>
      </c>
      <c r="AQ158">
        <v>600</v>
      </c>
      <c r="AR158" t="s">
        <v>93</v>
      </c>
      <c r="AS158">
        <v>30</v>
      </c>
      <c r="AT158">
        <v>30</v>
      </c>
      <c r="AU158">
        <v>68</v>
      </c>
      <c r="AV158">
        <v>67</v>
      </c>
      <c r="AW158" s="2" t="s">
        <v>49</v>
      </c>
      <c r="AX158">
        <v>282394</v>
      </c>
      <c r="AY158" t="s">
        <v>50</v>
      </c>
      <c r="AZ158">
        <v>2011</v>
      </c>
      <c r="BA158">
        <v>600</v>
      </c>
      <c r="BB158" t="s">
        <v>93</v>
      </c>
      <c r="BC158">
        <v>29</v>
      </c>
      <c r="BD158">
        <v>29</v>
      </c>
      <c r="BE158">
        <v>69</v>
      </c>
      <c r="BF158">
        <v>68</v>
      </c>
      <c r="BG158" s="2" t="s">
        <v>49</v>
      </c>
      <c r="BH158">
        <v>37648</v>
      </c>
      <c r="BI158" t="s">
        <v>50</v>
      </c>
      <c r="BJ158">
        <v>2011</v>
      </c>
      <c r="BM158" s="2" t="s">
        <v>49</v>
      </c>
      <c r="BN158">
        <v>37053</v>
      </c>
      <c r="BO158" t="s">
        <v>50</v>
      </c>
      <c r="BP158">
        <v>2011</v>
      </c>
      <c r="BS158" s="2" t="s">
        <v>49</v>
      </c>
      <c r="BT158">
        <v>65788</v>
      </c>
      <c r="BU158" t="s">
        <v>50</v>
      </c>
      <c r="BV158">
        <v>2011</v>
      </c>
      <c r="BY158" s="2" t="s">
        <v>49</v>
      </c>
      <c r="BZ158">
        <v>65833</v>
      </c>
      <c r="CA158" t="s">
        <v>50</v>
      </c>
      <c r="CB158">
        <v>2011</v>
      </c>
      <c r="CE158" s="2" t="s">
        <v>49</v>
      </c>
      <c r="CF158">
        <v>63992</v>
      </c>
      <c r="CG158" t="s">
        <v>50</v>
      </c>
      <c r="CH158">
        <v>2011</v>
      </c>
      <c r="CK158" s="2" t="s">
        <v>49</v>
      </c>
      <c r="CL158">
        <v>65980</v>
      </c>
      <c r="CM158" t="s">
        <v>50</v>
      </c>
      <c r="CN158">
        <v>2011</v>
      </c>
    </row>
    <row r="159" spans="1:92" x14ac:dyDescent="0.25">
      <c r="A159">
        <v>77224574</v>
      </c>
      <c r="B159" s="3" t="s">
        <v>37</v>
      </c>
      <c r="C159" t="s">
        <v>38</v>
      </c>
      <c r="D159" t="s">
        <v>322</v>
      </c>
      <c r="E159">
        <v>2012</v>
      </c>
      <c r="F159" t="s">
        <v>323</v>
      </c>
      <c r="G159" t="s">
        <v>530</v>
      </c>
      <c r="H159" t="s">
        <v>42</v>
      </c>
      <c r="I159" t="s">
        <v>371</v>
      </c>
      <c r="J159" t="s">
        <v>99</v>
      </c>
      <c r="K159" t="s">
        <v>45</v>
      </c>
      <c r="L159" t="s">
        <v>372</v>
      </c>
      <c r="M159" t="s">
        <v>47</v>
      </c>
      <c r="N159">
        <v>160000</v>
      </c>
      <c r="O159">
        <v>39611</v>
      </c>
      <c r="P159">
        <v>120389</v>
      </c>
      <c r="Q159" t="s">
        <v>433</v>
      </c>
      <c r="R159" t="s">
        <v>531</v>
      </c>
      <c r="S159" s="2" t="s">
        <v>49</v>
      </c>
      <c r="T159">
        <v>86503</v>
      </c>
      <c r="U159" t="s">
        <v>50</v>
      </c>
      <c r="V159">
        <v>2004</v>
      </c>
      <c r="W159">
        <v>9711</v>
      </c>
      <c r="X159" t="s">
        <v>163</v>
      </c>
      <c r="Y159">
        <v>0</v>
      </c>
      <c r="Z159">
        <v>0</v>
      </c>
      <c r="AA159">
        <v>64</v>
      </c>
      <c r="AB159">
        <v>64</v>
      </c>
      <c r="AC159" s="2" t="s">
        <v>49</v>
      </c>
      <c r="AD159">
        <v>944262</v>
      </c>
      <c r="AE159" t="s">
        <v>62</v>
      </c>
      <c r="AF159">
        <v>2002</v>
      </c>
      <c r="AG159">
        <v>9711</v>
      </c>
      <c r="AH159" t="s">
        <v>163</v>
      </c>
      <c r="AI159">
        <v>0</v>
      </c>
      <c r="AJ159">
        <v>0</v>
      </c>
      <c r="AK159">
        <v>65</v>
      </c>
      <c r="AL159">
        <v>65</v>
      </c>
      <c r="AM159" s="2" t="s">
        <v>49</v>
      </c>
      <c r="AN159">
        <v>597646</v>
      </c>
      <c r="AO159" t="s">
        <v>62</v>
      </c>
      <c r="AP159">
        <v>1988</v>
      </c>
      <c r="AQ159">
        <v>9711</v>
      </c>
      <c r="AR159" t="s">
        <v>163</v>
      </c>
      <c r="AS159">
        <v>0</v>
      </c>
      <c r="AT159">
        <v>0</v>
      </c>
      <c r="AU159">
        <v>68</v>
      </c>
      <c r="AV159">
        <v>68</v>
      </c>
      <c r="AW159" s="2" t="s">
        <v>49</v>
      </c>
      <c r="AX159">
        <v>16137</v>
      </c>
      <c r="AY159" t="s">
        <v>488</v>
      </c>
      <c r="AZ159">
        <v>1988</v>
      </c>
      <c r="BA159">
        <v>9711</v>
      </c>
      <c r="BB159" t="s">
        <v>163</v>
      </c>
      <c r="BC159">
        <v>0</v>
      </c>
      <c r="BD159">
        <v>0</v>
      </c>
      <c r="BE159">
        <v>69</v>
      </c>
      <c r="BF159">
        <v>68</v>
      </c>
      <c r="BG159" s="2" t="s">
        <v>49</v>
      </c>
      <c r="BH159">
        <v>10542</v>
      </c>
      <c r="BI159" t="s">
        <v>50</v>
      </c>
      <c r="BJ159">
        <v>2012</v>
      </c>
      <c r="BM159" s="2" t="s">
        <v>49</v>
      </c>
      <c r="BN159">
        <v>10575</v>
      </c>
      <c r="BO159" t="s">
        <v>50</v>
      </c>
      <c r="BP159">
        <v>2012</v>
      </c>
      <c r="BS159" s="2" t="s">
        <v>49</v>
      </c>
      <c r="BT159">
        <v>18202</v>
      </c>
      <c r="BU159" t="s">
        <v>50</v>
      </c>
      <c r="BV159">
        <v>2012</v>
      </c>
      <c r="BY159" s="2" t="s">
        <v>49</v>
      </c>
      <c r="BZ159">
        <v>17949</v>
      </c>
      <c r="CA159" t="s">
        <v>50</v>
      </c>
      <c r="CB159">
        <v>2012</v>
      </c>
      <c r="CE159" s="2" t="s">
        <v>49</v>
      </c>
      <c r="CF159">
        <v>24293</v>
      </c>
      <c r="CG159" t="s">
        <v>532</v>
      </c>
      <c r="CH159">
        <v>2014</v>
      </c>
      <c r="CK159" s="2" t="s">
        <v>49</v>
      </c>
      <c r="CL159">
        <v>17393</v>
      </c>
      <c r="CM159" t="s">
        <v>50</v>
      </c>
      <c r="CN159">
        <v>2012</v>
      </c>
    </row>
    <row r="160" spans="1:92" x14ac:dyDescent="0.25">
      <c r="A160">
        <v>77228732</v>
      </c>
      <c r="B160" s="3" t="s">
        <v>37</v>
      </c>
      <c r="C160" t="s">
        <v>38</v>
      </c>
      <c r="D160" t="s">
        <v>86</v>
      </c>
      <c r="E160">
        <v>2015</v>
      </c>
      <c r="F160" t="s">
        <v>87</v>
      </c>
      <c r="G160" t="s">
        <v>88</v>
      </c>
      <c r="H160" t="s">
        <v>89</v>
      </c>
      <c r="K160" t="s">
        <v>90</v>
      </c>
      <c r="L160" t="s">
        <v>91</v>
      </c>
      <c r="M160" t="s">
        <v>47</v>
      </c>
      <c r="N160">
        <v>160000</v>
      </c>
      <c r="O160">
        <v>38794</v>
      </c>
      <c r="P160">
        <v>121206</v>
      </c>
      <c r="Q160" t="s">
        <v>533</v>
      </c>
      <c r="R160" t="s">
        <v>88</v>
      </c>
      <c r="S160" s="2" t="s">
        <v>49</v>
      </c>
      <c r="T160">
        <v>285876</v>
      </c>
      <c r="U160" t="s">
        <v>50</v>
      </c>
      <c r="V160">
        <v>2011</v>
      </c>
      <c r="W160">
        <v>2348</v>
      </c>
      <c r="X160" t="s">
        <v>93</v>
      </c>
      <c r="Y160">
        <v>30</v>
      </c>
      <c r="Z160">
        <v>30</v>
      </c>
      <c r="AA160">
        <v>68</v>
      </c>
      <c r="AB160">
        <v>68</v>
      </c>
      <c r="AC160" s="2" t="s">
        <v>49</v>
      </c>
      <c r="AD160">
        <v>45021</v>
      </c>
      <c r="AE160" t="s">
        <v>85</v>
      </c>
      <c r="AF160">
        <v>2008</v>
      </c>
      <c r="AG160">
        <v>2348</v>
      </c>
      <c r="AH160" t="s">
        <v>93</v>
      </c>
      <c r="AI160">
        <v>30</v>
      </c>
      <c r="AJ160">
        <v>30</v>
      </c>
      <c r="AK160">
        <v>66</v>
      </c>
      <c r="AL160">
        <v>66</v>
      </c>
      <c r="AM160" s="2" t="s">
        <v>49</v>
      </c>
      <c r="AN160">
        <v>215182</v>
      </c>
      <c r="AO160" t="s">
        <v>50</v>
      </c>
      <c r="AP160">
        <v>2011</v>
      </c>
      <c r="AQ160">
        <v>2348</v>
      </c>
      <c r="AR160" t="s">
        <v>93</v>
      </c>
      <c r="AS160">
        <v>30</v>
      </c>
      <c r="AT160">
        <v>30</v>
      </c>
      <c r="AU160">
        <v>63</v>
      </c>
      <c r="AV160">
        <v>63</v>
      </c>
      <c r="AW160" s="2" t="s">
        <v>49</v>
      </c>
      <c r="AX160">
        <v>163725</v>
      </c>
      <c r="AY160" t="s">
        <v>62</v>
      </c>
      <c r="AZ160">
        <v>1987</v>
      </c>
      <c r="BA160">
        <v>2348</v>
      </c>
      <c r="BB160" t="s">
        <v>93</v>
      </c>
      <c r="BC160">
        <v>30</v>
      </c>
      <c r="BD160">
        <v>30</v>
      </c>
      <c r="BE160">
        <v>66</v>
      </c>
      <c r="BF160">
        <v>66</v>
      </c>
      <c r="BG160" s="2" t="s">
        <v>49</v>
      </c>
      <c r="BH160">
        <v>35438</v>
      </c>
      <c r="BI160" t="s">
        <v>50</v>
      </c>
      <c r="BJ160">
        <v>2014</v>
      </c>
      <c r="BM160" s="2" t="s">
        <v>49</v>
      </c>
      <c r="BN160">
        <v>35235</v>
      </c>
      <c r="BO160" t="s">
        <v>50</v>
      </c>
      <c r="BP160">
        <v>2014</v>
      </c>
      <c r="BS160" s="2" t="s">
        <v>49</v>
      </c>
      <c r="BT160">
        <v>2296</v>
      </c>
      <c r="BU160" t="s">
        <v>50</v>
      </c>
      <c r="BV160">
        <v>2015</v>
      </c>
      <c r="BY160" s="2" t="s">
        <v>49</v>
      </c>
      <c r="BZ160">
        <v>2637</v>
      </c>
      <c r="CA160" t="s">
        <v>50</v>
      </c>
      <c r="CB160">
        <v>2015</v>
      </c>
      <c r="CE160" s="2" t="s">
        <v>49</v>
      </c>
      <c r="CF160">
        <v>1240</v>
      </c>
      <c r="CG160" t="s">
        <v>50</v>
      </c>
      <c r="CH160">
        <v>2015</v>
      </c>
      <c r="CK160" s="2" t="s">
        <v>49</v>
      </c>
      <c r="CL160">
        <v>67130</v>
      </c>
      <c r="CM160" t="s">
        <v>534</v>
      </c>
      <c r="CN160">
        <v>2008</v>
      </c>
    </row>
    <row r="161" spans="1:92" x14ac:dyDescent="0.25">
      <c r="A161">
        <v>77227031</v>
      </c>
      <c r="B161" s="3" t="s">
        <v>37</v>
      </c>
      <c r="C161" t="s">
        <v>103</v>
      </c>
      <c r="D161" t="s">
        <v>120</v>
      </c>
      <c r="E161">
        <v>2012</v>
      </c>
      <c r="F161" t="s">
        <v>121</v>
      </c>
      <c r="G161" t="s">
        <v>535</v>
      </c>
      <c r="H161" t="s">
        <v>58</v>
      </c>
      <c r="I161" t="s">
        <v>117</v>
      </c>
      <c r="J161" t="s">
        <v>99</v>
      </c>
      <c r="K161" t="s">
        <v>45</v>
      </c>
      <c r="L161" t="s">
        <v>118</v>
      </c>
      <c r="M161" t="s">
        <v>47</v>
      </c>
      <c r="N161">
        <v>160000</v>
      </c>
      <c r="O161">
        <v>44386</v>
      </c>
      <c r="P161">
        <v>115614</v>
      </c>
      <c r="Q161" t="s">
        <v>529</v>
      </c>
      <c r="R161" t="s">
        <v>117</v>
      </c>
      <c r="S161" s="2" t="s">
        <v>49</v>
      </c>
      <c r="T161">
        <v>123380</v>
      </c>
      <c r="U161" t="s">
        <v>50</v>
      </c>
      <c r="V161">
        <v>2012</v>
      </c>
      <c r="W161">
        <v>600</v>
      </c>
      <c r="X161" t="s">
        <v>93</v>
      </c>
      <c r="Y161">
        <v>33</v>
      </c>
      <c r="Z161">
        <v>33</v>
      </c>
      <c r="AA161">
        <v>70</v>
      </c>
      <c r="AB161">
        <v>70</v>
      </c>
      <c r="AC161" s="2" t="s">
        <v>49</v>
      </c>
      <c r="AD161">
        <v>869450</v>
      </c>
      <c r="AE161" t="s">
        <v>50</v>
      </c>
      <c r="AF161">
        <v>2018</v>
      </c>
      <c r="AG161">
        <v>600</v>
      </c>
      <c r="AH161" t="s">
        <v>93</v>
      </c>
      <c r="AI161">
        <v>30</v>
      </c>
      <c r="AJ161">
        <v>30</v>
      </c>
      <c r="AK161">
        <v>73</v>
      </c>
      <c r="AL161">
        <v>73</v>
      </c>
      <c r="AM161" s="2" t="s">
        <v>49</v>
      </c>
      <c r="AN161">
        <v>180676</v>
      </c>
      <c r="AO161" t="s">
        <v>50</v>
      </c>
      <c r="AP161">
        <v>2014</v>
      </c>
      <c r="AQ161">
        <v>600</v>
      </c>
      <c r="AR161" t="s">
        <v>93</v>
      </c>
      <c r="AS161">
        <v>33</v>
      </c>
      <c r="AT161">
        <v>33</v>
      </c>
      <c r="AU161">
        <v>74</v>
      </c>
      <c r="AV161">
        <v>75</v>
      </c>
      <c r="AW161" s="2" t="s">
        <v>49</v>
      </c>
      <c r="AX161">
        <v>210823</v>
      </c>
      <c r="AY161" t="s">
        <v>85</v>
      </c>
      <c r="AZ161">
        <v>2008</v>
      </c>
      <c r="BA161">
        <v>600</v>
      </c>
      <c r="BB161" t="s">
        <v>93</v>
      </c>
      <c r="BC161">
        <v>33</v>
      </c>
      <c r="BD161">
        <v>33</v>
      </c>
      <c r="BE161">
        <v>74</v>
      </c>
      <c r="BF161">
        <v>74</v>
      </c>
      <c r="BG161" s="2" t="s">
        <v>49</v>
      </c>
      <c r="BH161">
        <v>9329</v>
      </c>
      <c r="BI161" t="s">
        <v>52</v>
      </c>
      <c r="BJ161">
        <v>2012</v>
      </c>
      <c r="BM161" s="2" t="s">
        <v>49</v>
      </c>
      <c r="BN161">
        <v>9480</v>
      </c>
      <c r="BO161" t="s">
        <v>52</v>
      </c>
      <c r="BP161">
        <v>2012</v>
      </c>
      <c r="BS161" s="2" t="s">
        <v>49</v>
      </c>
      <c r="BT161">
        <v>15700</v>
      </c>
      <c r="BU161" t="s">
        <v>52</v>
      </c>
      <c r="BV161">
        <v>2012</v>
      </c>
      <c r="BY161" s="2" t="s">
        <v>49</v>
      </c>
      <c r="BZ161">
        <v>15806</v>
      </c>
      <c r="CA161" t="s">
        <v>52</v>
      </c>
      <c r="CB161">
        <v>2012</v>
      </c>
      <c r="CE161" s="2" t="s">
        <v>49</v>
      </c>
      <c r="CF161">
        <v>504836</v>
      </c>
      <c r="CG161" t="s">
        <v>52</v>
      </c>
      <c r="CH161">
        <v>2012</v>
      </c>
      <c r="CK161" s="2" t="s">
        <v>49</v>
      </c>
      <c r="CL161">
        <v>506554</v>
      </c>
      <c r="CM161" t="s">
        <v>52</v>
      </c>
      <c r="CN161">
        <v>2012</v>
      </c>
    </row>
    <row r="162" spans="1:92" x14ac:dyDescent="0.25">
      <c r="A162">
        <v>77221901</v>
      </c>
      <c r="B162" s="3" t="s">
        <v>37</v>
      </c>
      <c r="C162" t="s">
        <v>38</v>
      </c>
      <c r="D162" t="s">
        <v>94</v>
      </c>
      <c r="E162">
        <v>2011</v>
      </c>
      <c r="F162" t="s">
        <v>95</v>
      </c>
      <c r="G162" t="s">
        <v>370</v>
      </c>
      <c r="H162" t="s">
        <v>42</v>
      </c>
      <c r="I162" t="s">
        <v>147</v>
      </c>
      <c r="J162" t="s">
        <v>89</v>
      </c>
      <c r="K162" t="s">
        <v>45</v>
      </c>
      <c r="L162" t="s">
        <v>324</v>
      </c>
      <c r="M162" t="s">
        <v>47</v>
      </c>
      <c r="N162">
        <v>160000</v>
      </c>
      <c r="O162">
        <v>23447</v>
      </c>
      <c r="P162">
        <v>136553</v>
      </c>
      <c r="Q162" t="s">
        <v>536</v>
      </c>
      <c r="R162" t="s">
        <v>147</v>
      </c>
      <c r="S162" s="2" t="s">
        <v>49</v>
      </c>
      <c r="T162">
        <v>444332</v>
      </c>
      <c r="U162" t="s">
        <v>62</v>
      </c>
      <c r="V162">
        <v>2013</v>
      </c>
      <c r="W162">
        <v>2348</v>
      </c>
      <c r="X162" t="s">
        <v>151</v>
      </c>
      <c r="Y162">
        <v>33</v>
      </c>
      <c r="Z162">
        <v>33</v>
      </c>
      <c r="AA162">
        <v>74</v>
      </c>
      <c r="AB162">
        <v>74</v>
      </c>
      <c r="AC162" s="2" t="s">
        <v>49</v>
      </c>
      <c r="AD162">
        <v>285242</v>
      </c>
      <c r="AE162" t="s">
        <v>50</v>
      </c>
      <c r="AF162">
        <v>2011</v>
      </c>
      <c r="AG162">
        <v>2348</v>
      </c>
      <c r="AH162" t="s">
        <v>151</v>
      </c>
      <c r="AI162">
        <v>33</v>
      </c>
      <c r="AJ162">
        <v>33</v>
      </c>
      <c r="AK162">
        <v>74</v>
      </c>
      <c r="AL162">
        <v>74</v>
      </c>
      <c r="AM162" s="2" t="s">
        <v>49</v>
      </c>
      <c r="AN162">
        <v>285089</v>
      </c>
      <c r="AO162" t="s">
        <v>50</v>
      </c>
      <c r="AP162">
        <v>2011</v>
      </c>
      <c r="AQ162">
        <v>2348</v>
      </c>
      <c r="AR162" t="s">
        <v>151</v>
      </c>
      <c r="AS162">
        <v>33</v>
      </c>
      <c r="AT162">
        <v>33</v>
      </c>
      <c r="AU162">
        <v>74</v>
      </c>
      <c r="AV162">
        <v>74</v>
      </c>
      <c r="AW162" s="2" t="s">
        <v>49</v>
      </c>
      <c r="AX162">
        <v>123538</v>
      </c>
      <c r="AY162" t="s">
        <v>50</v>
      </c>
      <c r="AZ162">
        <v>2012</v>
      </c>
      <c r="BA162">
        <v>2348</v>
      </c>
      <c r="BB162" t="s">
        <v>151</v>
      </c>
      <c r="BC162">
        <v>33</v>
      </c>
      <c r="BD162">
        <v>33</v>
      </c>
      <c r="BE162">
        <v>74</v>
      </c>
      <c r="BF162">
        <v>74</v>
      </c>
      <c r="BG162" s="2" t="s">
        <v>49</v>
      </c>
      <c r="BH162">
        <v>37529</v>
      </c>
      <c r="BI162" t="s">
        <v>50</v>
      </c>
      <c r="BJ162">
        <v>2011</v>
      </c>
      <c r="BM162" s="2" t="s">
        <v>49</v>
      </c>
      <c r="BN162">
        <v>38003</v>
      </c>
      <c r="BO162" t="s">
        <v>50</v>
      </c>
      <c r="BP162">
        <v>2011</v>
      </c>
      <c r="BS162" s="2" t="s">
        <v>49</v>
      </c>
      <c r="BT162">
        <v>66816</v>
      </c>
      <c r="BU162" t="s">
        <v>50</v>
      </c>
      <c r="BV162">
        <v>2011</v>
      </c>
      <c r="BY162" s="2" t="s">
        <v>49</v>
      </c>
      <c r="BZ162">
        <v>66810</v>
      </c>
      <c r="CA162" t="s">
        <v>50</v>
      </c>
      <c r="CB162">
        <v>2011</v>
      </c>
      <c r="CE162" s="2" t="s">
        <v>49</v>
      </c>
      <c r="CF162">
        <v>66744</v>
      </c>
      <c r="CG162" t="s">
        <v>50</v>
      </c>
      <c r="CH162">
        <v>2011</v>
      </c>
      <c r="CK162" s="2" t="s">
        <v>49</v>
      </c>
      <c r="CL162">
        <v>66406</v>
      </c>
      <c r="CM162" t="s">
        <v>50</v>
      </c>
      <c r="CN162">
        <v>2011</v>
      </c>
    </row>
    <row r="163" spans="1:92" x14ac:dyDescent="0.25">
      <c r="A163">
        <v>77221943</v>
      </c>
      <c r="B163" s="3" t="s">
        <v>37</v>
      </c>
      <c r="C163" t="s">
        <v>103</v>
      </c>
      <c r="D163" t="s">
        <v>120</v>
      </c>
      <c r="E163">
        <v>2012</v>
      </c>
      <c r="F163" t="s">
        <v>121</v>
      </c>
      <c r="G163" t="s">
        <v>537</v>
      </c>
      <c r="H163" t="s">
        <v>42</v>
      </c>
      <c r="K163" t="s">
        <v>90</v>
      </c>
      <c r="L163" t="s">
        <v>538</v>
      </c>
      <c r="M163" t="s">
        <v>47</v>
      </c>
      <c r="N163">
        <v>160000</v>
      </c>
      <c r="O163">
        <v>71918</v>
      </c>
      <c r="P163">
        <v>88082</v>
      </c>
      <c r="Q163" t="s">
        <v>539</v>
      </c>
      <c r="R163" t="s">
        <v>540</v>
      </c>
      <c r="S163" s="2" t="s">
        <v>49</v>
      </c>
      <c r="T163">
        <v>296202</v>
      </c>
      <c r="U163" t="s">
        <v>62</v>
      </c>
      <c r="V163">
        <v>2012</v>
      </c>
      <c r="W163">
        <v>4043</v>
      </c>
      <c r="X163" t="s">
        <v>61</v>
      </c>
      <c r="Y163">
        <v>0</v>
      </c>
      <c r="Z163">
        <v>0</v>
      </c>
      <c r="AA163">
        <v>75</v>
      </c>
      <c r="AB163">
        <v>75</v>
      </c>
      <c r="AC163" s="2" t="s">
        <v>49</v>
      </c>
      <c r="AD163">
        <v>691044</v>
      </c>
      <c r="AE163" t="s">
        <v>62</v>
      </c>
      <c r="AF163">
        <v>1986</v>
      </c>
      <c r="AG163">
        <v>4043</v>
      </c>
      <c r="AH163" t="s">
        <v>61</v>
      </c>
      <c r="AI163">
        <v>0</v>
      </c>
      <c r="AJ163">
        <v>0</v>
      </c>
      <c r="AK163">
        <v>75</v>
      </c>
      <c r="AL163">
        <v>75</v>
      </c>
      <c r="AM163" s="2" t="s">
        <v>49</v>
      </c>
      <c r="AN163">
        <v>25667</v>
      </c>
      <c r="AO163">
        <v>1175</v>
      </c>
      <c r="AP163">
        <v>2015</v>
      </c>
      <c r="AQ163">
        <v>4043</v>
      </c>
      <c r="AR163" t="s">
        <v>61</v>
      </c>
      <c r="AS163">
        <v>0</v>
      </c>
      <c r="AT163">
        <v>0</v>
      </c>
      <c r="AU163">
        <v>75</v>
      </c>
      <c r="AV163">
        <v>75</v>
      </c>
      <c r="AW163" s="2" t="s">
        <v>49</v>
      </c>
      <c r="AX163">
        <v>110986</v>
      </c>
      <c r="AY163" t="s">
        <v>50</v>
      </c>
      <c r="AZ163">
        <v>2012</v>
      </c>
      <c r="BA163">
        <v>4043</v>
      </c>
      <c r="BB163" t="s">
        <v>61</v>
      </c>
      <c r="BC163">
        <v>0</v>
      </c>
      <c r="BD163">
        <v>0</v>
      </c>
      <c r="BE163">
        <v>75</v>
      </c>
      <c r="BF163">
        <v>75</v>
      </c>
      <c r="BG163" s="2" t="s">
        <v>49</v>
      </c>
      <c r="BH163">
        <v>5249</v>
      </c>
      <c r="BI163" t="s">
        <v>50</v>
      </c>
      <c r="BJ163">
        <v>2012</v>
      </c>
      <c r="BM163" s="2" t="s">
        <v>49</v>
      </c>
      <c r="BN163">
        <v>72200</v>
      </c>
      <c r="BO163" t="s">
        <v>52</v>
      </c>
      <c r="BP163">
        <v>2011</v>
      </c>
      <c r="BS163" s="2" t="s">
        <v>49</v>
      </c>
      <c r="BT163">
        <v>13542</v>
      </c>
      <c r="BU163" t="s">
        <v>52</v>
      </c>
      <c r="BV163">
        <v>2012</v>
      </c>
      <c r="BY163" s="2" t="s">
        <v>49</v>
      </c>
      <c r="BZ163">
        <v>4545</v>
      </c>
      <c r="CA163" t="s">
        <v>52</v>
      </c>
      <c r="CB163">
        <v>2012</v>
      </c>
      <c r="CE163" s="2" t="s">
        <v>49</v>
      </c>
      <c r="CF163">
        <v>8625</v>
      </c>
      <c r="CG163" t="s">
        <v>52</v>
      </c>
      <c r="CH163">
        <v>2012</v>
      </c>
      <c r="CK163" s="2" t="s">
        <v>49</v>
      </c>
      <c r="CL163">
        <v>17385</v>
      </c>
      <c r="CM163" t="s">
        <v>52</v>
      </c>
      <c r="CN163">
        <v>2012</v>
      </c>
    </row>
    <row r="164" spans="1:92" x14ac:dyDescent="0.25">
      <c r="A164">
        <v>77223782</v>
      </c>
      <c r="B164" s="3" t="s">
        <v>37</v>
      </c>
      <c r="C164" t="s">
        <v>38</v>
      </c>
      <c r="D164" t="s">
        <v>541</v>
      </c>
      <c r="E164">
        <v>2011</v>
      </c>
      <c r="F164" t="s">
        <v>542</v>
      </c>
      <c r="G164" t="s">
        <v>543</v>
      </c>
      <c r="H164" t="s">
        <v>42</v>
      </c>
      <c r="I164" t="s">
        <v>544</v>
      </c>
      <c r="J164" t="s">
        <v>44</v>
      </c>
      <c r="K164" t="s">
        <v>45</v>
      </c>
      <c r="L164" t="s">
        <v>545</v>
      </c>
      <c r="M164" t="s">
        <v>47</v>
      </c>
      <c r="N164">
        <v>160000</v>
      </c>
      <c r="O164">
        <v>14599</v>
      </c>
      <c r="P164">
        <v>145401</v>
      </c>
      <c r="Q164" t="s">
        <v>546</v>
      </c>
      <c r="R164" t="s">
        <v>544</v>
      </c>
      <c r="S164" s="2" t="s">
        <v>49</v>
      </c>
      <c r="T164">
        <v>885090</v>
      </c>
      <c r="U164" t="s">
        <v>62</v>
      </c>
      <c r="V164">
        <v>2010</v>
      </c>
      <c r="W164">
        <v>745</v>
      </c>
      <c r="X164" t="s">
        <v>51</v>
      </c>
      <c r="Y164">
        <v>0</v>
      </c>
      <c r="Z164">
        <v>0</v>
      </c>
      <c r="AA164">
        <v>72</v>
      </c>
      <c r="AB164">
        <v>72</v>
      </c>
      <c r="AC164" s="2" t="s">
        <v>49</v>
      </c>
      <c r="AD164">
        <v>455</v>
      </c>
      <c r="AE164">
        <v>1226</v>
      </c>
      <c r="AF164">
        <v>2012</v>
      </c>
      <c r="AG164">
        <v>745</v>
      </c>
      <c r="AH164" t="s">
        <v>51</v>
      </c>
      <c r="AI164">
        <v>0</v>
      </c>
      <c r="AJ164">
        <v>0</v>
      </c>
      <c r="AK164">
        <v>72</v>
      </c>
      <c r="AL164">
        <v>72</v>
      </c>
      <c r="AM164" s="2" t="s">
        <v>49</v>
      </c>
      <c r="AN164">
        <v>233451</v>
      </c>
      <c r="AO164" t="s">
        <v>50</v>
      </c>
      <c r="AP164">
        <v>2011</v>
      </c>
      <c r="AQ164">
        <v>745</v>
      </c>
      <c r="AR164" t="s">
        <v>51</v>
      </c>
      <c r="AS164">
        <v>0</v>
      </c>
      <c r="AT164">
        <v>0</v>
      </c>
      <c r="AU164">
        <v>75</v>
      </c>
      <c r="AV164">
        <v>75</v>
      </c>
      <c r="AW164" s="2" t="s">
        <v>49</v>
      </c>
      <c r="AX164">
        <v>872810</v>
      </c>
      <c r="AY164" t="s">
        <v>62</v>
      </c>
      <c r="AZ164">
        <v>2010</v>
      </c>
      <c r="BA164">
        <v>745</v>
      </c>
      <c r="BB164" t="s">
        <v>51</v>
      </c>
      <c r="BC164">
        <v>0</v>
      </c>
      <c r="BD164">
        <v>0</v>
      </c>
      <c r="BE164">
        <v>75</v>
      </c>
      <c r="BF164">
        <v>75</v>
      </c>
      <c r="BG164" s="2" t="s">
        <v>49</v>
      </c>
      <c r="BH164">
        <v>70436</v>
      </c>
      <c r="BI164" t="s">
        <v>52</v>
      </c>
      <c r="BJ164">
        <v>2011</v>
      </c>
      <c r="BM164" s="2" t="s">
        <v>49</v>
      </c>
      <c r="BN164">
        <v>67924</v>
      </c>
      <c r="BO164" t="s">
        <v>52</v>
      </c>
      <c r="BP164">
        <v>2011</v>
      </c>
      <c r="BS164" s="2" t="s">
        <v>49</v>
      </c>
      <c r="BT164">
        <v>117067</v>
      </c>
      <c r="BU164" t="s">
        <v>52</v>
      </c>
      <c r="BV164">
        <v>2011</v>
      </c>
      <c r="BY164" s="2" t="s">
        <v>49</v>
      </c>
      <c r="BZ164">
        <v>117096</v>
      </c>
      <c r="CA164" t="s">
        <v>52</v>
      </c>
      <c r="CB164">
        <v>2011</v>
      </c>
      <c r="CE164" s="2" t="s">
        <v>49</v>
      </c>
      <c r="CF164">
        <v>525939</v>
      </c>
      <c r="CG164" t="s">
        <v>52</v>
      </c>
      <c r="CH164">
        <v>2011</v>
      </c>
      <c r="CK164" s="2" t="s">
        <v>49</v>
      </c>
      <c r="CL164">
        <v>116996</v>
      </c>
      <c r="CM164" t="s">
        <v>52</v>
      </c>
      <c r="CN164">
        <v>2011</v>
      </c>
    </row>
    <row r="165" spans="1:92" x14ac:dyDescent="0.25">
      <c r="A165">
        <v>77226983</v>
      </c>
      <c r="B165" s="3" t="s">
        <v>37</v>
      </c>
      <c r="C165" t="s">
        <v>103</v>
      </c>
      <c r="D165" t="s">
        <v>120</v>
      </c>
      <c r="E165">
        <v>2012</v>
      </c>
      <c r="F165" t="s">
        <v>121</v>
      </c>
      <c r="G165" t="s">
        <v>547</v>
      </c>
      <c r="H165" t="s">
        <v>42</v>
      </c>
      <c r="K165" t="s">
        <v>90</v>
      </c>
      <c r="L165" t="s">
        <v>548</v>
      </c>
      <c r="M165" t="s">
        <v>47</v>
      </c>
      <c r="N165">
        <v>160000</v>
      </c>
      <c r="O165">
        <v>106041</v>
      </c>
      <c r="P165">
        <v>53959</v>
      </c>
      <c r="Q165" t="s">
        <v>549</v>
      </c>
      <c r="R165" t="s">
        <v>547</v>
      </c>
      <c r="S165" s="2" t="s">
        <v>49</v>
      </c>
      <c r="T165">
        <v>434129</v>
      </c>
      <c r="U165" t="s">
        <v>62</v>
      </c>
      <c r="V165">
        <v>2013</v>
      </c>
      <c r="W165">
        <v>301</v>
      </c>
      <c r="X165" t="s">
        <v>550</v>
      </c>
      <c r="Y165">
        <v>30</v>
      </c>
      <c r="Z165">
        <v>30</v>
      </c>
      <c r="AA165">
        <v>46</v>
      </c>
      <c r="AB165">
        <v>46</v>
      </c>
      <c r="AC165" s="2" t="s">
        <v>49</v>
      </c>
      <c r="AD165">
        <v>432068</v>
      </c>
      <c r="AE165" t="s">
        <v>62</v>
      </c>
      <c r="AF165">
        <v>2013</v>
      </c>
      <c r="AG165">
        <v>301</v>
      </c>
      <c r="AH165" t="s">
        <v>550</v>
      </c>
      <c r="AI165">
        <v>30</v>
      </c>
      <c r="AJ165">
        <v>30</v>
      </c>
      <c r="AK165">
        <v>45</v>
      </c>
      <c r="AL165">
        <v>45</v>
      </c>
      <c r="AM165" s="2" t="s">
        <v>49</v>
      </c>
      <c r="AN165">
        <v>123542</v>
      </c>
      <c r="AO165" t="s">
        <v>50</v>
      </c>
      <c r="AP165">
        <v>2012</v>
      </c>
      <c r="AQ165">
        <v>301</v>
      </c>
      <c r="AR165" t="s">
        <v>550</v>
      </c>
      <c r="AS165">
        <v>30</v>
      </c>
      <c r="AT165">
        <v>30</v>
      </c>
      <c r="AU165">
        <v>35</v>
      </c>
      <c r="AV165">
        <v>35</v>
      </c>
      <c r="AW165" s="2" t="s">
        <v>49</v>
      </c>
      <c r="AX165">
        <v>556746</v>
      </c>
      <c r="AY165" t="s">
        <v>62</v>
      </c>
      <c r="AZ165">
        <v>1994</v>
      </c>
      <c r="BA165">
        <v>301</v>
      </c>
      <c r="BB165" t="s">
        <v>550</v>
      </c>
      <c r="BC165">
        <v>30</v>
      </c>
      <c r="BD165">
        <v>30</v>
      </c>
      <c r="BE165">
        <v>40</v>
      </c>
      <c r="BF165">
        <v>40</v>
      </c>
      <c r="BG165" s="2" t="s">
        <v>49</v>
      </c>
      <c r="BH165">
        <v>10629</v>
      </c>
      <c r="BI165" t="s">
        <v>52</v>
      </c>
      <c r="BJ165">
        <v>2012</v>
      </c>
      <c r="BM165" s="2" t="s">
        <v>49</v>
      </c>
      <c r="BN165">
        <v>10118</v>
      </c>
      <c r="BO165" t="s">
        <v>52</v>
      </c>
      <c r="BP165">
        <v>2012</v>
      </c>
      <c r="BS165" s="2" t="s">
        <v>49</v>
      </c>
      <c r="BT165">
        <v>15740</v>
      </c>
      <c r="BU165" t="s">
        <v>52</v>
      </c>
      <c r="BV165">
        <v>2012</v>
      </c>
      <c r="BY165" s="2" t="s">
        <v>49</v>
      </c>
      <c r="BZ165">
        <v>20979</v>
      </c>
      <c r="CA165" t="s">
        <v>52</v>
      </c>
      <c r="CB165">
        <v>2012</v>
      </c>
      <c r="CE165" s="2" t="s">
        <v>49</v>
      </c>
      <c r="CF165">
        <v>4848</v>
      </c>
      <c r="CG165" t="s">
        <v>52</v>
      </c>
      <c r="CH165">
        <v>2012</v>
      </c>
      <c r="CK165" s="2" t="s">
        <v>49</v>
      </c>
      <c r="CL165">
        <v>5717</v>
      </c>
      <c r="CM165" t="s">
        <v>52</v>
      </c>
      <c r="CN165">
        <v>2012</v>
      </c>
    </row>
    <row r="166" spans="1:92" x14ac:dyDescent="0.25">
      <c r="A166">
        <v>77205870</v>
      </c>
      <c r="B166" s="3" t="s">
        <v>37</v>
      </c>
      <c r="C166" t="s">
        <v>53</v>
      </c>
      <c r="D166" t="s">
        <v>54</v>
      </c>
      <c r="E166">
        <v>2013</v>
      </c>
      <c r="F166" t="s">
        <v>55</v>
      </c>
      <c r="G166" t="s">
        <v>107</v>
      </c>
      <c r="H166" t="s">
        <v>89</v>
      </c>
      <c r="I166" t="s">
        <v>551</v>
      </c>
      <c r="J166" t="s">
        <v>42</v>
      </c>
      <c r="K166" t="s">
        <v>45</v>
      </c>
      <c r="L166" t="s">
        <v>552</v>
      </c>
      <c r="M166" t="s">
        <v>47</v>
      </c>
      <c r="N166">
        <v>160000</v>
      </c>
      <c r="O166">
        <v>37210</v>
      </c>
      <c r="P166">
        <v>122790</v>
      </c>
      <c r="Q166" t="s">
        <v>553</v>
      </c>
      <c r="R166" t="s">
        <v>107</v>
      </c>
      <c r="S166" s="2" t="s">
        <v>49</v>
      </c>
      <c r="T166">
        <v>518910</v>
      </c>
      <c r="U166" t="s">
        <v>62</v>
      </c>
      <c r="V166">
        <v>2013</v>
      </c>
      <c r="W166">
        <v>2348</v>
      </c>
      <c r="X166" t="s">
        <v>93</v>
      </c>
      <c r="Y166">
        <v>30</v>
      </c>
      <c r="Z166">
        <v>30</v>
      </c>
      <c r="AA166">
        <v>61</v>
      </c>
      <c r="AB166">
        <v>61</v>
      </c>
      <c r="AC166" s="2" t="s">
        <v>49</v>
      </c>
      <c r="AD166">
        <v>426107</v>
      </c>
      <c r="AE166" t="s">
        <v>62</v>
      </c>
      <c r="AF166">
        <v>2013</v>
      </c>
      <c r="AG166">
        <v>2348</v>
      </c>
      <c r="AH166" t="s">
        <v>93</v>
      </c>
      <c r="AI166">
        <v>30</v>
      </c>
      <c r="AJ166">
        <v>30</v>
      </c>
      <c r="AK166">
        <v>60</v>
      </c>
      <c r="AL166">
        <v>60</v>
      </c>
      <c r="AM166" s="2" t="s">
        <v>49</v>
      </c>
      <c r="AN166">
        <v>444329</v>
      </c>
      <c r="AO166" t="s">
        <v>62</v>
      </c>
      <c r="AP166">
        <v>2013</v>
      </c>
      <c r="AQ166">
        <v>2348</v>
      </c>
      <c r="AR166" t="s">
        <v>93</v>
      </c>
      <c r="AS166">
        <v>30</v>
      </c>
      <c r="AT166">
        <v>30</v>
      </c>
      <c r="AU166">
        <v>68</v>
      </c>
      <c r="AV166">
        <v>67</v>
      </c>
      <c r="AW166" s="2" t="s">
        <v>49</v>
      </c>
      <c r="AX166">
        <v>300988</v>
      </c>
      <c r="AY166" t="s">
        <v>50</v>
      </c>
      <c r="AZ166">
        <v>2015</v>
      </c>
      <c r="BA166">
        <v>2348</v>
      </c>
      <c r="BB166" t="s">
        <v>93</v>
      </c>
      <c r="BC166">
        <v>30</v>
      </c>
      <c r="BD166">
        <v>30</v>
      </c>
      <c r="BE166">
        <v>69</v>
      </c>
      <c r="BF166">
        <v>69</v>
      </c>
      <c r="BG166" s="2" t="s">
        <v>49</v>
      </c>
      <c r="BH166">
        <v>15583</v>
      </c>
      <c r="BI166">
        <v>1291</v>
      </c>
      <c r="BJ166">
        <v>2013</v>
      </c>
      <c r="BM166" s="2" t="s">
        <v>49</v>
      </c>
      <c r="BN166">
        <v>15850</v>
      </c>
      <c r="BO166">
        <v>1291</v>
      </c>
      <c r="BP166">
        <v>2013</v>
      </c>
      <c r="BS166" s="2" t="s">
        <v>49</v>
      </c>
      <c r="BT166">
        <v>44080</v>
      </c>
      <c r="BU166">
        <v>1291</v>
      </c>
      <c r="BV166">
        <v>2013</v>
      </c>
      <c r="BY166" s="2" t="s">
        <v>49</v>
      </c>
      <c r="BZ166">
        <v>44206</v>
      </c>
      <c r="CA166">
        <v>1291</v>
      </c>
      <c r="CB166">
        <v>2013</v>
      </c>
      <c r="CE166" s="2" t="s">
        <v>49</v>
      </c>
      <c r="CF166">
        <v>45222</v>
      </c>
      <c r="CG166">
        <v>1291</v>
      </c>
      <c r="CH166">
        <v>2013</v>
      </c>
      <c r="CK166" s="2" t="s">
        <v>49</v>
      </c>
      <c r="CL166">
        <v>45828</v>
      </c>
      <c r="CM166">
        <v>1291</v>
      </c>
      <c r="CN166">
        <v>2013</v>
      </c>
    </row>
    <row r="167" spans="1:92" x14ac:dyDescent="0.25">
      <c r="A167">
        <v>77222115</v>
      </c>
      <c r="B167" s="3" t="s">
        <v>37</v>
      </c>
      <c r="C167" t="s">
        <v>103</v>
      </c>
      <c r="D167" t="s">
        <v>120</v>
      </c>
      <c r="E167">
        <v>2012</v>
      </c>
      <c r="F167" t="s">
        <v>121</v>
      </c>
      <c r="G167" t="s">
        <v>112</v>
      </c>
      <c r="H167" t="s">
        <v>58</v>
      </c>
      <c r="I167" t="s">
        <v>107</v>
      </c>
      <c r="J167" t="s">
        <v>99</v>
      </c>
      <c r="K167" t="s">
        <v>45</v>
      </c>
      <c r="L167" t="s">
        <v>108</v>
      </c>
      <c r="M167" t="s">
        <v>47</v>
      </c>
      <c r="N167">
        <v>160000</v>
      </c>
      <c r="O167">
        <v>35385</v>
      </c>
      <c r="P167">
        <v>124615</v>
      </c>
      <c r="Q167" t="s">
        <v>554</v>
      </c>
      <c r="R167" t="s">
        <v>107</v>
      </c>
      <c r="S167" s="2" t="s">
        <v>49</v>
      </c>
      <c r="T167">
        <v>122883</v>
      </c>
      <c r="U167" t="s">
        <v>50</v>
      </c>
      <c r="V167">
        <v>2012</v>
      </c>
      <c r="W167">
        <v>600</v>
      </c>
      <c r="X167" t="s">
        <v>93</v>
      </c>
      <c r="Y167">
        <v>32</v>
      </c>
      <c r="Z167">
        <v>32</v>
      </c>
      <c r="AA167">
        <v>56</v>
      </c>
      <c r="AB167">
        <v>55</v>
      </c>
      <c r="AC167" s="2" t="s">
        <v>49</v>
      </c>
      <c r="AD167">
        <v>307260</v>
      </c>
      <c r="AE167" t="s">
        <v>50</v>
      </c>
      <c r="AF167">
        <v>2011</v>
      </c>
      <c r="AG167">
        <v>600</v>
      </c>
      <c r="AH167" t="s">
        <v>93</v>
      </c>
      <c r="AI167">
        <v>29</v>
      </c>
      <c r="AJ167">
        <v>29</v>
      </c>
      <c r="AK167">
        <v>62</v>
      </c>
      <c r="AL167">
        <v>62</v>
      </c>
      <c r="AM167" s="2" t="s">
        <v>49</v>
      </c>
      <c r="AN167">
        <v>105960</v>
      </c>
      <c r="AO167" t="s">
        <v>50</v>
      </c>
      <c r="AP167">
        <v>2012</v>
      </c>
      <c r="AQ167">
        <v>600</v>
      </c>
      <c r="AR167" t="s">
        <v>93</v>
      </c>
      <c r="AS167">
        <v>29</v>
      </c>
      <c r="AT167">
        <v>29</v>
      </c>
      <c r="AU167">
        <v>66</v>
      </c>
      <c r="AV167">
        <v>66</v>
      </c>
      <c r="AW167" s="2" t="s">
        <v>49</v>
      </c>
      <c r="AX167">
        <v>121361</v>
      </c>
      <c r="AY167" t="s">
        <v>50</v>
      </c>
      <c r="AZ167">
        <v>2012</v>
      </c>
      <c r="BA167">
        <v>600</v>
      </c>
      <c r="BB167" t="s">
        <v>93</v>
      </c>
      <c r="BC167">
        <v>30</v>
      </c>
      <c r="BD167">
        <v>30</v>
      </c>
      <c r="BE167">
        <v>68</v>
      </c>
      <c r="BF167">
        <v>68</v>
      </c>
      <c r="BG167" s="2" t="s">
        <v>49</v>
      </c>
      <c r="BH167">
        <v>10691</v>
      </c>
      <c r="BI167" t="s">
        <v>50</v>
      </c>
      <c r="BJ167">
        <v>2012</v>
      </c>
      <c r="BM167" s="2" t="s">
        <v>49</v>
      </c>
      <c r="BN167">
        <v>10669</v>
      </c>
      <c r="BO167" t="s">
        <v>50</v>
      </c>
      <c r="BP167">
        <v>2012</v>
      </c>
      <c r="BS167" s="2" t="s">
        <v>49</v>
      </c>
      <c r="BT167">
        <v>18759</v>
      </c>
      <c r="BU167" t="s">
        <v>50</v>
      </c>
      <c r="BV167">
        <v>2012</v>
      </c>
      <c r="BY167" s="2" t="s">
        <v>49</v>
      </c>
      <c r="BZ167">
        <v>17994</v>
      </c>
      <c r="CA167" t="s">
        <v>50</v>
      </c>
      <c r="CB167">
        <v>2012</v>
      </c>
      <c r="CE167" s="2" t="s">
        <v>49</v>
      </c>
      <c r="CF167">
        <v>18524</v>
      </c>
      <c r="CG167" t="s">
        <v>50</v>
      </c>
      <c r="CH167">
        <v>2012</v>
      </c>
      <c r="CK167" s="2" t="s">
        <v>49</v>
      </c>
      <c r="CL167">
        <v>18511</v>
      </c>
      <c r="CM167" t="s">
        <v>50</v>
      </c>
      <c r="CN167">
        <v>2012</v>
      </c>
    </row>
    <row r="168" spans="1:92" x14ac:dyDescent="0.25">
      <c r="A168">
        <v>77223774</v>
      </c>
      <c r="B168" s="3" t="s">
        <v>37</v>
      </c>
      <c r="C168" t="s">
        <v>38</v>
      </c>
      <c r="D168" t="s">
        <v>410</v>
      </c>
      <c r="E168">
        <v>2011</v>
      </c>
      <c r="F168" t="s">
        <v>411</v>
      </c>
      <c r="G168" t="s">
        <v>555</v>
      </c>
      <c r="H168" t="s">
        <v>42</v>
      </c>
      <c r="I168" t="s">
        <v>556</v>
      </c>
      <c r="J168" t="s">
        <v>42</v>
      </c>
      <c r="K168" t="s">
        <v>45</v>
      </c>
      <c r="L168" t="s">
        <v>557</v>
      </c>
      <c r="M168" t="s">
        <v>47</v>
      </c>
      <c r="N168">
        <v>160000</v>
      </c>
      <c r="O168">
        <v>45599</v>
      </c>
      <c r="P168">
        <v>114401</v>
      </c>
      <c r="Q168" t="s">
        <v>491</v>
      </c>
      <c r="R168" t="s">
        <v>88</v>
      </c>
      <c r="S168" s="2" t="s">
        <v>49</v>
      </c>
      <c r="T168">
        <v>523026</v>
      </c>
      <c r="U168" t="s">
        <v>62</v>
      </c>
      <c r="V168">
        <v>2014</v>
      </c>
      <c r="W168">
        <v>4052</v>
      </c>
      <c r="X168" t="s">
        <v>93</v>
      </c>
      <c r="Y168">
        <v>30</v>
      </c>
      <c r="Z168">
        <v>30</v>
      </c>
      <c r="AA168">
        <v>70</v>
      </c>
      <c r="AB168">
        <v>70</v>
      </c>
      <c r="AC168" s="2" t="s">
        <v>49</v>
      </c>
      <c r="AD168">
        <v>1691</v>
      </c>
      <c r="AE168">
        <v>1226</v>
      </c>
      <c r="AF168">
        <v>2014</v>
      </c>
      <c r="AG168">
        <v>4052</v>
      </c>
      <c r="AH168" t="s">
        <v>93</v>
      </c>
      <c r="AI168">
        <v>30</v>
      </c>
      <c r="AJ168">
        <v>30</v>
      </c>
      <c r="AK168">
        <v>70</v>
      </c>
      <c r="AL168">
        <v>70</v>
      </c>
      <c r="AM168" s="2" t="s">
        <v>49</v>
      </c>
      <c r="AN168">
        <v>444192</v>
      </c>
      <c r="AO168" t="s">
        <v>62</v>
      </c>
      <c r="AP168">
        <v>2013</v>
      </c>
      <c r="AQ168">
        <v>4052</v>
      </c>
      <c r="AR168" t="s">
        <v>93</v>
      </c>
      <c r="AS168">
        <v>30</v>
      </c>
      <c r="AT168">
        <v>30</v>
      </c>
      <c r="AU168">
        <v>70</v>
      </c>
      <c r="AV168">
        <v>70</v>
      </c>
      <c r="AW168" s="2" t="s">
        <v>49</v>
      </c>
      <c r="AX168">
        <v>522965</v>
      </c>
      <c r="AY168" t="s">
        <v>62</v>
      </c>
      <c r="AZ168">
        <v>2014</v>
      </c>
      <c r="BA168">
        <v>4052</v>
      </c>
      <c r="BB168" t="s">
        <v>93</v>
      </c>
      <c r="BC168">
        <v>30</v>
      </c>
      <c r="BD168">
        <v>30</v>
      </c>
      <c r="BE168">
        <v>68</v>
      </c>
      <c r="BF168">
        <v>68</v>
      </c>
      <c r="BG168" s="2" t="s">
        <v>49</v>
      </c>
      <c r="BH168">
        <v>60687</v>
      </c>
      <c r="BI168" t="s">
        <v>52</v>
      </c>
      <c r="BJ168">
        <v>2011</v>
      </c>
      <c r="BM168" s="2" t="s">
        <v>49</v>
      </c>
      <c r="BN168">
        <v>60410</v>
      </c>
      <c r="BO168" t="s">
        <v>52</v>
      </c>
      <c r="BP168">
        <v>2011</v>
      </c>
      <c r="BS168" s="2" t="s">
        <v>49</v>
      </c>
      <c r="BT168">
        <v>523510</v>
      </c>
      <c r="BU168" t="s">
        <v>52</v>
      </c>
      <c r="BV168">
        <v>2011</v>
      </c>
      <c r="BY168" s="2" t="s">
        <v>49</v>
      </c>
      <c r="BZ168">
        <v>102113</v>
      </c>
      <c r="CA168" t="s">
        <v>52</v>
      </c>
      <c r="CB168">
        <v>2011</v>
      </c>
      <c r="CE168" s="2" t="s">
        <v>49</v>
      </c>
      <c r="CF168">
        <v>102293</v>
      </c>
      <c r="CG168" t="s">
        <v>52</v>
      </c>
      <c r="CH168">
        <v>2011</v>
      </c>
      <c r="CK168" s="2" t="s">
        <v>49</v>
      </c>
      <c r="CL168">
        <v>102034</v>
      </c>
      <c r="CM168" t="s">
        <v>52</v>
      </c>
      <c r="CN168">
        <v>2011</v>
      </c>
    </row>
    <row r="169" spans="1:92" x14ac:dyDescent="0.25">
      <c r="A169">
        <v>77222206</v>
      </c>
      <c r="B169" s="3" t="s">
        <v>37</v>
      </c>
      <c r="C169" t="s">
        <v>53</v>
      </c>
      <c r="D169" t="s">
        <v>69</v>
      </c>
      <c r="E169">
        <v>2014</v>
      </c>
      <c r="F169" t="s">
        <v>70</v>
      </c>
      <c r="G169" t="s">
        <v>558</v>
      </c>
      <c r="H169" t="s">
        <v>42</v>
      </c>
      <c r="I169" t="s">
        <v>559</v>
      </c>
      <c r="J169" t="s">
        <v>58</v>
      </c>
      <c r="K169" t="s">
        <v>45</v>
      </c>
      <c r="L169" t="s">
        <v>560</v>
      </c>
      <c r="M169" t="s">
        <v>47</v>
      </c>
      <c r="N169">
        <v>160000</v>
      </c>
      <c r="O169">
        <v>65153</v>
      </c>
      <c r="P169">
        <v>94847</v>
      </c>
      <c r="Q169" t="s">
        <v>561</v>
      </c>
      <c r="R169" t="s">
        <v>562</v>
      </c>
      <c r="S169" s="2" t="s">
        <v>49</v>
      </c>
      <c r="T169">
        <v>577</v>
      </c>
      <c r="U169">
        <v>1175</v>
      </c>
      <c r="V169">
        <v>2009</v>
      </c>
      <c r="W169">
        <v>4378</v>
      </c>
      <c r="X169" t="s">
        <v>334</v>
      </c>
      <c r="Y169">
        <v>30</v>
      </c>
      <c r="Z169">
        <v>30</v>
      </c>
      <c r="AA169">
        <v>68</v>
      </c>
      <c r="AB169">
        <v>68</v>
      </c>
      <c r="AC169" s="2" t="s">
        <v>49</v>
      </c>
      <c r="AD169">
        <v>523254</v>
      </c>
      <c r="AE169" t="s">
        <v>62</v>
      </c>
      <c r="AF169">
        <v>2014</v>
      </c>
      <c r="AG169">
        <v>4378</v>
      </c>
      <c r="AH169" t="s">
        <v>334</v>
      </c>
      <c r="AI169">
        <v>30</v>
      </c>
      <c r="AJ169">
        <v>30</v>
      </c>
      <c r="AK169">
        <v>65</v>
      </c>
      <c r="AL169">
        <v>65</v>
      </c>
      <c r="AM169" s="2" t="s">
        <v>49</v>
      </c>
      <c r="AN169">
        <v>672764</v>
      </c>
      <c r="AO169" t="s">
        <v>62</v>
      </c>
      <c r="AP169">
        <v>1981</v>
      </c>
      <c r="AQ169">
        <v>4378</v>
      </c>
      <c r="AR169" t="s">
        <v>334</v>
      </c>
      <c r="AS169">
        <v>30</v>
      </c>
      <c r="AT169">
        <v>30</v>
      </c>
      <c r="AU169">
        <v>69</v>
      </c>
      <c r="AV169">
        <v>69</v>
      </c>
      <c r="AW169" s="2" t="s">
        <v>49</v>
      </c>
      <c r="AX169">
        <v>46040</v>
      </c>
      <c r="AY169" t="s">
        <v>85</v>
      </c>
      <c r="AZ169">
        <v>1990</v>
      </c>
      <c r="BA169">
        <v>4378</v>
      </c>
      <c r="BB169" t="s">
        <v>334</v>
      </c>
      <c r="BC169">
        <v>30</v>
      </c>
      <c r="BD169">
        <v>30</v>
      </c>
      <c r="BE169">
        <v>69</v>
      </c>
      <c r="BF169">
        <v>69</v>
      </c>
      <c r="BG169" s="2" t="s">
        <v>49</v>
      </c>
      <c r="BH169">
        <v>50224</v>
      </c>
      <c r="BI169">
        <v>1291</v>
      </c>
      <c r="BJ169">
        <v>2014</v>
      </c>
      <c r="BM169" s="2" t="s">
        <v>49</v>
      </c>
      <c r="BN169">
        <v>51326</v>
      </c>
      <c r="BO169">
        <v>1291</v>
      </c>
      <c r="BP169">
        <v>2014</v>
      </c>
      <c r="BS169" s="2" t="s">
        <v>49</v>
      </c>
      <c r="BT169">
        <v>2159</v>
      </c>
      <c r="BU169">
        <v>1291</v>
      </c>
      <c r="BV169">
        <v>2014</v>
      </c>
      <c r="BY169" s="2" t="s">
        <v>49</v>
      </c>
      <c r="BZ169">
        <v>284</v>
      </c>
      <c r="CA169">
        <v>1291</v>
      </c>
      <c r="CB169">
        <v>2014</v>
      </c>
      <c r="CE169" s="2" t="s">
        <v>49</v>
      </c>
      <c r="CF169">
        <v>4234</v>
      </c>
      <c r="CG169">
        <v>1291</v>
      </c>
      <c r="CH169">
        <v>2014</v>
      </c>
      <c r="CK169" s="2" t="s">
        <v>49</v>
      </c>
      <c r="CL169">
        <v>3614</v>
      </c>
      <c r="CM169">
        <v>1291</v>
      </c>
      <c r="CN169">
        <v>2014</v>
      </c>
    </row>
    <row r="170" spans="1:92" x14ac:dyDescent="0.25">
      <c r="A170">
        <v>77205714</v>
      </c>
      <c r="B170" s="3" t="s">
        <v>37</v>
      </c>
      <c r="C170" t="s">
        <v>53</v>
      </c>
      <c r="D170" t="s">
        <v>54</v>
      </c>
      <c r="E170">
        <v>2013</v>
      </c>
      <c r="F170" t="s">
        <v>55</v>
      </c>
      <c r="G170" t="s">
        <v>298</v>
      </c>
      <c r="H170" t="s">
        <v>299</v>
      </c>
      <c r="I170" t="s">
        <v>563</v>
      </c>
      <c r="J170" t="s">
        <v>89</v>
      </c>
      <c r="K170" t="s">
        <v>45</v>
      </c>
      <c r="L170" t="s">
        <v>301</v>
      </c>
      <c r="M170" t="s">
        <v>47</v>
      </c>
      <c r="N170">
        <v>160000</v>
      </c>
      <c r="O170">
        <v>25393</v>
      </c>
      <c r="P170">
        <v>134607</v>
      </c>
      <c r="Q170" t="s">
        <v>564</v>
      </c>
      <c r="R170" t="s">
        <v>298</v>
      </c>
      <c r="S170" s="2" t="s">
        <v>49</v>
      </c>
      <c r="T170">
        <v>444022</v>
      </c>
      <c r="U170" t="s">
        <v>62</v>
      </c>
      <c r="V170">
        <v>2013</v>
      </c>
      <c r="W170">
        <v>2080</v>
      </c>
      <c r="X170" t="s">
        <v>151</v>
      </c>
      <c r="Y170">
        <v>32</v>
      </c>
      <c r="Z170">
        <v>32</v>
      </c>
      <c r="AA170">
        <v>59</v>
      </c>
      <c r="AB170">
        <v>59</v>
      </c>
      <c r="AC170" s="2" t="s">
        <v>49</v>
      </c>
      <c r="AD170">
        <v>459769</v>
      </c>
      <c r="AE170" t="s">
        <v>62</v>
      </c>
      <c r="AF170">
        <v>2013</v>
      </c>
      <c r="AG170">
        <v>2080</v>
      </c>
      <c r="AH170" t="s">
        <v>151</v>
      </c>
      <c r="AI170">
        <v>32</v>
      </c>
      <c r="AJ170">
        <v>32</v>
      </c>
      <c r="AK170">
        <v>59</v>
      </c>
      <c r="AL170">
        <v>59</v>
      </c>
      <c r="AM170" s="2" t="s">
        <v>49</v>
      </c>
      <c r="AN170">
        <v>460034</v>
      </c>
      <c r="AO170" t="s">
        <v>62</v>
      </c>
      <c r="AP170">
        <v>2013</v>
      </c>
      <c r="AQ170">
        <v>2080</v>
      </c>
      <c r="AR170" t="s">
        <v>151</v>
      </c>
      <c r="AS170">
        <v>33</v>
      </c>
      <c r="AT170">
        <v>33</v>
      </c>
      <c r="AU170">
        <v>60</v>
      </c>
      <c r="AV170">
        <v>60</v>
      </c>
      <c r="AW170" s="2" t="s">
        <v>49</v>
      </c>
      <c r="AX170">
        <v>460001</v>
      </c>
      <c r="AY170" t="s">
        <v>62</v>
      </c>
      <c r="AZ170">
        <v>2013</v>
      </c>
      <c r="BA170">
        <v>2080</v>
      </c>
      <c r="BB170" t="s">
        <v>151</v>
      </c>
      <c r="BC170">
        <v>33</v>
      </c>
      <c r="BD170">
        <v>33</v>
      </c>
      <c r="BE170">
        <v>58</v>
      </c>
      <c r="BF170">
        <v>58</v>
      </c>
      <c r="BG170" s="2" t="s">
        <v>49</v>
      </c>
      <c r="BH170">
        <v>15261</v>
      </c>
      <c r="BI170">
        <v>1291</v>
      </c>
      <c r="BJ170">
        <v>2013</v>
      </c>
      <c r="BM170" s="2" t="s">
        <v>49</v>
      </c>
      <c r="BN170">
        <v>15357</v>
      </c>
      <c r="BO170">
        <v>1291</v>
      </c>
      <c r="BP170">
        <v>2013</v>
      </c>
      <c r="BS170" s="2" t="s">
        <v>49</v>
      </c>
      <c r="BT170">
        <v>45022</v>
      </c>
      <c r="BU170">
        <v>1291</v>
      </c>
      <c r="BV170">
        <v>2013</v>
      </c>
      <c r="BY170" s="2" t="s">
        <v>49</v>
      </c>
      <c r="BZ170">
        <v>45178</v>
      </c>
      <c r="CA170">
        <v>1291</v>
      </c>
      <c r="CB170">
        <v>2013</v>
      </c>
      <c r="CE170" s="2" t="s">
        <v>49</v>
      </c>
      <c r="CF170">
        <v>44230</v>
      </c>
      <c r="CG170">
        <v>1291</v>
      </c>
      <c r="CH170">
        <v>2013</v>
      </c>
      <c r="CK170" s="2" t="s">
        <v>49</v>
      </c>
      <c r="CL170">
        <v>44872</v>
      </c>
      <c r="CM170">
        <v>1291</v>
      </c>
      <c r="CN170">
        <v>2013</v>
      </c>
    </row>
  </sheetData>
  <mergeCells count="96">
    <mergeCell ref="A1:A3"/>
    <mergeCell ref="B1:B3"/>
    <mergeCell ref="C1:C3"/>
    <mergeCell ref="D1:D3"/>
    <mergeCell ref="J1:J3"/>
    <mergeCell ref="K1:K3"/>
    <mergeCell ref="L1:L3"/>
    <mergeCell ref="M1:M3"/>
    <mergeCell ref="E1:E3"/>
    <mergeCell ref="F1:F3"/>
    <mergeCell ref="G1:G3"/>
    <mergeCell ref="H1:H3"/>
    <mergeCell ref="I1:I3"/>
    <mergeCell ref="Q1:Q3"/>
    <mergeCell ref="R1:R3"/>
    <mergeCell ref="N1:N3"/>
    <mergeCell ref="O1:O3"/>
    <mergeCell ref="P1:P3"/>
    <mergeCell ref="S1:S3"/>
    <mergeCell ref="T1:AB1"/>
    <mergeCell ref="T2:T3"/>
    <mergeCell ref="U2:U3"/>
    <mergeCell ref="V2:V3"/>
    <mergeCell ref="W2:W3"/>
    <mergeCell ref="X2:X3"/>
    <mergeCell ref="Y2:Z2"/>
    <mergeCell ref="AA2:AB2"/>
    <mergeCell ref="AC1:AC3"/>
    <mergeCell ref="AD1:AL1"/>
    <mergeCell ref="AD2:AD3"/>
    <mergeCell ref="AE2:AE3"/>
    <mergeCell ref="AF2:AF3"/>
    <mergeCell ref="AG2:AG3"/>
    <mergeCell ref="AH2:AH3"/>
    <mergeCell ref="AI2:AJ2"/>
    <mergeCell ref="AK2:AL2"/>
    <mergeCell ref="AM1:AM3"/>
    <mergeCell ref="AN1:AV1"/>
    <mergeCell ref="AN2:AN3"/>
    <mergeCell ref="AO2:AO3"/>
    <mergeCell ref="AP2:AP3"/>
    <mergeCell ref="AQ2:AQ3"/>
    <mergeCell ref="AR2:AR3"/>
    <mergeCell ref="AS2:AT2"/>
    <mergeCell ref="AU2:AV2"/>
    <mergeCell ref="AW1:AW3"/>
    <mergeCell ref="AX1:BF1"/>
    <mergeCell ref="AX2:AX3"/>
    <mergeCell ref="AY2:AY3"/>
    <mergeCell ref="AZ2:AZ3"/>
    <mergeCell ref="BA2:BA3"/>
    <mergeCell ref="BB2:BB3"/>
    <mergeCell ref="BC2:BD2"/>
    <mergeCell ref="BE2:BF2"/>
    <mergeCell ref="BG1:BG3"/>
    <mergeCell ref="BH1:BL1"/>
    <mergeCell ref="BH2:BH3"/>
    <mergeCell ref="BI2:BI3"/>
    <mergeCell ref="BJ2:BJ3"/>
    <mergeCell ref="BK2:BK3"/>
    <mergeCell ref="BL2:BL3"/>
    <mergeCell ref="BM1:BM3"/>
    <mergeCell ref="BN1:BR1"/>
    <mergeCell ref="BN2:BN3"/>
    <mergeCell ref="BO2:BO3"/>
    <mergeCell ref="BP2:BP3"/>
    <mergeCell ref="BQ2:BQ3"/>
    <mergeCell ref="BR2:BR3"/>
    <mergeCell ref="BS1:BS3"/>
    <mergeCell ref="BT1:BX1"/>
    <mergeCell ref="BT2:BT3"/>
    <mergeCell ref="BU2:BU3"/>
    <mergeCell ref="BV2:BV3"/>
    <mergeCell ref="BW2:BW3"/>
    <mergeCell ref="BX2:BX3"/>
    <mergeCell ref="CK1:CK3"/>
    <mergeCell ref="CL1:CP1"/>
    <mergeCell ref="CL2:CL3"/>
    <mergeCell ref="CM2:CM3"/>
    <mergeCell ref="CN2:CN3"/>
    <mergeCell ref="CO2:CO3"/>
    <mergeCell ref="CP2:CP3"/>
    <mergeCell ref="BY1:BY3"/>
    <mergeCell ref="CE1:CE3"/>
    <mergeCell ref="CF1:CJ1"/>
    <mergeCell ref="CF2:CF3"/>
    <mergeCell ref="CG2:CG3"/>
    <mergeCell ref="CH2:CH3"/>
    <mergeCell ref="CI2:CI3"/>
    <mergeCell ref="CJ2:CJ3"/>
    <mergeCell ref="BZ1:CD1"/>
    <mergeCell ref="BZ2:BZ3"/>
    <mergeCell ref="CA2:CA3"/>
    <mergeCell ref="CB2:CB3"/>
    <mergeCell ref="CC2:CC3"/>
    <mergeCell ref="CD2:CD3"/>
  </mergeCells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Амортизация</vt:lpstr>
      <vt:lpstr>Справочник</vt:lpstr>
      <vt:lpstr>Комплектация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Ернар Унбетпаев</dc:creator>
  <cp:lastModifiedBy>Алимбек Аубакиров</cp:lastModifiedBy>
  <dcterms:created xsi:type="dcterms:W3CDTF">2026-08-05T06:53:11Z</dcterms:created>
  <dcterms:modified xsi:type="dcterms:W3CDTF">2026-08-05T07:29:43Z</dcterms:modified>
</cp:coreProperties>
</file>