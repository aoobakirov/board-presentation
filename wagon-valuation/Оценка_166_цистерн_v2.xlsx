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4" autoFilterDateGrouping="1"/>
  </bookViews>
  <sheets>
    <sheet name="Справочник" sheetId="1" state="visible" r:id="rId1"/>
    <sheet name="Параметры" sheetId="2" state="visible" r:id="rId2"/>
    <sheet name="Прайс" sheetId="3" state="visible" r:id="rId3"/>
    <sheet name="Оценка" sheetId="4" state="visible" r:id="rId4"/>
    <sheet name="Свод" sheetId="5" state="visible" r:id="rId5"/>
    <sheet name="Комплектация" sheetId="6" state="visible" r:id="rId6"/>
  </sheets>
  <definedNames/>
  <calcPr calcId="191029" calcMode="auto" fullCalcOnLoad="1"/>
</workbook>
</file>

<file path=xl/styles.xml><?xml version="1.0" encoding="utf-8"?>
<styleSheet xmlns="http://schemas.openxmlformats.org/spreadsheetml/2006/main">
  <numFmts count="9">
    <numFmt numFmtId="164" formatCode="dd\.mm\.yyyy"/>
    <numFmt numFmtId="165" formatCode="0.0"/>
    <numFmt numFmtId="166" formatCode="0.0\%"/>
    <numFmt numFmtId="167" formatCode="0.0&quot;%&quot;"/>
    <numFmt numFmtId="168" formatCode="0.0%;[Red]\(0.0%\);\-"/>
    <numFmt numFmtId="169" formatCode="#,##0;[Red]\(#,##0\);\-"/>
    <numFmt numFmtId="170" formatCode="_-* #,##0.00_-;\-* #,##0.00_-;_-* &quot;-&quot;??_-;_-@_-"/>
    <numFmt numFmtId="171" formatCode="yyyy-mm-dd h:mm:ss"/>
    <numFmt numFmtId="172" formatCode="dd.mm.yyyy"/>
  </numFmts>
  <fonts count="21"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FFFFFF"/>
      <sz val="16"/>
    </font>
    <font>
      <name val="Arial"/>
      <i val="1"/>
      <color rgb="FF1F1F1F"/>
      <sz val="10"/>
    </font>
    <font>
      <name val="Arial"/>
      <b val="1"/>
      <color rgb="FFFFFFFF"/>
      <sz val="10"/>
    </font>
    <font>
      <name val="Arial"/>
      <color rgb="FF0000FF"/>
      <sz val="10"/>
    </font>
    <font>
      <name val="Arial"/>
      <b val="1"/>
      <color rgb="FFFFFFFF"/>
      <sz val="14"/>
    </font>
    <font>
      <name val="Arial"/>
      <color rgb="FF008000"/>
      <sz val="10"/>
    </font>
    <font>
      <name val="Arial"/>
      <b val="1"/>
      <color rgb="FF0000FF"/>
      <sz val="10"/>
    </font>
    <font>
      <name val="Arial"/>
      <color theme="1"/>
      <sz val="10"/>
    </font>
    <font>
      <name val="Arial"/>
      <color rgb="FF000000"/>
      <sz val="10"/>
    </font>
    <font>
      <name val="Arial"/>
      <b val="1"/>
      <color rgb="00000000"/>
      <sz val="14"/>
    </font>
    <font>
      <name val="Arial"/>
      <color rgb="00000000"/>
      <sz val="10"/>
    </font>
    <font>
      <name val="Arial"/>
      <color rgb="000000FF"/>
      <sz val="10"/>
    </font>
    <font>
      <name val="Arial"/>
      <color rgb="00000000"/>
      <sz val="9"/>
    </font>
    <font>
      <name val="Arial"/>
      <color rgb="00808080"/>
      <sz val="9"/>
    </font>
    <font>
      <name val="Arial"/>
      <color rgb="00008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1"/>
    </font>
    <font>
      <name val="Arial"/>
      <color rgb="00808080"/>
      <sz val="10"/>
    </font>
  </fonts>
  <fills count="22">
    <fill>
      <patternFill/>
    </fill>
    <fill>
      <patternFill patternType="gray125"/>
    </fill>
    <fill>
      <patternFill patternType="solid">
        <fgColor rgb="FFB3FFF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203864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solid">
        <fgColor rgb="FF5B9BD5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305496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/>
      <diagonal/>
    </border>
    <border>
      <left/>
      <right style="thin">
        <color rgb="FFB4C6E7"/>
      </right>
      <top/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10" fillId="0" borderId="0"/>
    <xf numFmtId="43" fontId="10" fillId="0" borderId="0"/>
  </cellStyleXfs>
  <cellXfs count="12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2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4" fillId="5" borderId="0" applyAlignment="1" pivotButton="0" quotePrefix="0" xfId="0">
      <alignment horizontal="center" vertical="center"/>
    </xf>
    <xf numFmtId="9" fontId="5" fillId="6" borderId="0" pivotButton="0" quotePrefix="0" xfId="0"/>
    <xf numFmtId="2" fontId="5" fillId="6" borderId="0" pivotButton="0" quotePrefix="0" xfId="0"/>
    <xf numFmtId="0" fontId="0" fillId="0" borderId="0" applyAlignment="1" pivotButton="0" quotePrefix="0" xfId="0">
      <alignment wrapText="1"/>
    </xf>
    <xf numFmtId="0" fontId="4" fillId="8" borderId="5" applyAlignment="1" pivotButton="0" quotePrefix="0" xfId="0">
      <alignment horizontal="center" wrapText="1"/>
    </xf>
    <xf numFmtId="0" fontId="4" fillId="8" borderId="0" applyAlignment="1" pivotButton="0" quotePrefix="0" xfId="0">
      <alignment horizontal="center" wrapText="1"/>
    </xf>
    <xf numFmtId="0" fontId="4" fillId="8" borderId="6" applyAlignment="1" pivotButton="0" quotePrefix="0" xfId="0">
      <alignment horizontal="center" wrapText="1"/>
    </xf>
    <xf numFmtId="0" fontId="1" fillId="0" borderId="5" applyAlignment="1" pivotButton="0" quotePrefix="0" xfId="0">
      <alignment wrapText="1"/>
    </xf>
    <xf numFmtId="1" fontId="5" fillId="9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1" fontId="1" fillId="10" borderId="0" applyAlignment="1" pivotButton="0" quotePrefix="0" xfId="0">
      <alignment wrapText="1"/>
    </xf>
    <xf numFmtId="0" fontId="1" fillId="0" borderId="7" applyAlignment="1" pivotButton="0" quotePrefix="0" xfId="0">
      <alignment wrapText="1"/>
    </xf>
    <xf numFmtId="1" fontId="5" fillId="9" borderId="8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2" fontId="7" fillId="6" borderId="0" pivotButton="0" quotePrefix="0" xfId="0"/>
    <xf numFmtId="0" fontId="4" fillId="7" borderId="0" applyAlignment="1" pivotButton="0" quotePrefix="0" xfId="0">
      <alignment horizontal="center" vertical="center" wrapText="1"/>
    </xf>
    <xf numFmtId="49" fontId="0" fillId="11" borderId="0" pivotButton="0" quotePrefix="0" xfId="0"/>
    <xf numFmtId="49" fontId="0" fillId="12" borderId="0" pivotButton="0" quotePrefix="0" xfId="0"/>
    <xf numFmtId="165" fontId="0" fillId="11" borderId="0" pivotButton="0" quotePrefix="0" xfId="0"/>
    <xf numFmtId="165" fontId="0" fillId="12" borderId="0" pivotButton="0" quotePrefix="0" xfId="0"/>
    <xf numFmtId="166" fontId="0" fillId="11" borderId="0" pivotButton="0" quotePrefix="0" xfId="0"/>
    <xf numFmtId="166" fontId="0" fillId="12" borderId="0" pivotButton="0" quotePrefix="0" xfId="0"/>
    <xf numFmtId="1" fontId="0" fillId="11" borderId="0" pivotButton="0" quotePrefix="0" xfId="0"/>
    <xf numFmtId="1" fontId="0" fillId="12" borderId="0" pivotButton="0" quotePrefix="0" xfId="0"/>
    <xf numFmtId="0" fontId="1" fillId="0" borderId="0" applyAlignment="1" pivotButton="0" quotePrefix="0" xfId="0">
      <alignment wrapText="1"/>
    </xf>
    <xf numFmtId="3" fontId="8" fillId="13" borderId="0" applyAlignment="1" pivotButton="0" quotePrefix="0" xfId="0">
      <alignment wrapText="1"/>
    </xf>
    <xf numFmtId="0" fontId="4" fillId="14" borderId="0" applyAlignment="1" pivotButton="0" quotePrefix="0" xfId="0">
      <alignment horizontal="center" vertical="center" wrapText="1"/>
    </xf>
    <xf numFmtId="3" fontId="0" fillId="15" borderId="0" pivotButton="0" quotePrefix="0" xfId="0"/>
    <xf numFmtId="3" fontId="0" fillId="16" borderId="0" pivotButton="0" quotePrefix="0" xfId="0"/>
    <xf numFmtId="0" fontId="4" fillId="17" borderId="2" pivotButton="0" quotePrefix="0" xfId="0"/>
    <xf numFmtId="0" fontId="4" fillId="17" borderId="4" pivotButton="0" quotePrefix="0" xfId="0"/>
    <xf numFmtId="0" fontId="0" fillId="0" borderId="5" pivotButton="0" quotePrefix="0" xfId="0"/>
    <xf numFmtId="1" fontId="0" fillId="0" borderId="6" pivotButton="0" quotePrefix="0" xfId="0"/>
    <xf numFmtId="3" fontId="0" fillId="0" borderId="6" pivotButton="0" quotePrefix="0" xfId="0"/>
    <xf numFmtId="0" fontId="0" fillId="0" borderId="7" pivotButton="0" quotePrefix="0" xfId="0"/>
    <xf numFmtId="3" fontId="0" fillId="0" borderId="9" pivotButton="0" quotePrefix="0" xfId="0"/>
    <xf numFmtId="0" fontId="4" fillId="5" borderId="13" applyAlignment="1" pivotButton="0" quotePrefix="0" xfId="0">
      <alignment horizontal="center" vertical="center" wrapText="1"/>
    </xf>
    <xf numFmtId="0" fontId="4" fillId="5" borderId="14" applyAlignment="1" pivotButton="0" quotePrefix="0" xfId="0">
      <alignment horizontal="center" vertical="center" wrapText="1"/>
    </xf>
    <xf numFmtId="0" fontId="4" fillId="5" borderId="15" applyAlignment="1" pivotButton="0" quotePrefix="0" xfId="0">
      <alignment horizontal="center" vertical="center" wrapText="1"/>
    </xf>
    <xf numFmtId="0" fontId="9" fillId="18" borderId="13" applyAlignment="1" pivotButton="0" quotePrefix="0" xfId="0">
      <alignment wrapText="1"/>
    </xf>
    <xf numFmtId="0" fontId="9" fillId="18" borderId="14" applyAlignment="1" pivotButton="0" quotePrefix="0" xfId="0">
      <alignment wrapText="1"/>
    </xf>
    <xf numFmtId="167" fontId="9" fillId="18" borderId="14" applyAlignment="1" pivotButton="0" quotePrefix="0" xfId="0">
      <alignment wrapText="1"/>
    </xf>
    <xf numFmtId="168" fontId="9" fillId="18" borderId="14" applyAlignment="1" pivotButton="0" quotePrefix="0" xfId="0">
      <alignment wrapText="1"/>
    </xf>
    <xf numFmtId="165" fontId="9" fillId="18" borderId="14" applyAlignment="1" pivotButton="0" quotePrefix="0" xfId="0">
      <alignment wrapText="1"/>
    </xf>
    <xf numFmtId="169" fontId="5" fillId="13" borderId="14" applyAlignment="1" pivotButton="0" quotePrefix="0" xfId="0">
      <alignment wrapText="1"/>
    </xf>
    <xf numFmtId="169" fontId="9" fillId="18" borderId="15" applyAlignment="1" pivotButton="0" quotePrefix="0" xfId="0">
      <alignment wrapText="1"/>
    </xf>
    <xf numFmtId="0" fontId="9" fillId="0" borderId="13" applyAlignment="1" pivotButton="0" quotePrefix="0" xfId="0">
      <alignment wrapText="1"/>
    </xf>
    <xf numFmtId="0" fontId="9" fillId="0" borderId="14" applyAlignment="1" pivotButton="0" quotePrefix="0" xfId="0">
      <alignment wrapText="1"/>
    </xf>
    <xf numFmtId="167" fontId="9" fillId="0" borderId="14" applyAlignment="1" pivotButton="0" quotePrefix="0" xfId="0">
      <alignment wrapText="1"/>
    </xf>
    <xf numFmtId="168" fontId="9" fillId="0" borderId="14" applyAlignment="1" pivotButton="0" quotePrefix="0" xfId="0">
      <alignment wrapText="1"/>
    </xf>
    <xf numFmtId="165" fontId="9" fillId="0" borderId="14" applyAlignment="1" pivotButton="0" quotePrefix="0" xfId="0">
      <alignment wrapText="1"/>
    </xf>
    <xf numFmtId="169" fontId="9" fillId="0" borderId="15" applyAlignment="1" pivotButton="0" quotePrefix="0" xfId="0">
      <alignment wrapText="1"/>
    </xf>
    <xf numFmtId="0" fontId="9" fillId="0" borderId="10" applyAlignment="1" pivotButton="0" quotePrefix="0" xfId="0">
      <alignment wrapText="1"/>
    </xf>
    <xf numFmtId="0" fontId="9" fillId="0" borderId="11" applyAlignment="1" pivotButton="0" quotePrefix="0" xfId="0">
      <alignment wrapText="1"/>
    </xf>
    <xf numFmtId="167" fontId="9" fillId="0" borderId="11" applyAlignment="1" pivotButton="0" quotePrefix="0" xfId="0">
      <alignment wrapText="1"/>
    </xf>
    <xf numFmtId="168" fontId="9" fillId="0" borderId="11" applyAlignment="1" pivotButton="0" quotePrefix="0" xfId="0">
      <alignment wrapText="1"/>
    </xf>
    <xf numFmtId="165" fontId="9" fillId="0" borderId="11" applyAlignment="1" pivotButton="0" quotePrefix="0" xfId="0">
      <alignment wrapText="1"/>
    </xf>
    <xf numFmtId="169" fontId="5" fillId="13" borderId="11" applyAlignment="1" pivotButton="0" quotePrefix="0" xfId="0">
      <alignment wrapText="1"/>
    </xf>
    <xf numFmtId="169" fontId="9" fillId="0" borderId="12" applyAlignment="1" pivotButton="0" quotePrefix="0" xfId="0">
      <alignment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6" fillId="7" borderId="2" applyAlignment="1" pivotButton="0" quotePrefix="0" xfId="0">
      <alignment horizontal="center" wrapText="1"/>
    </xf>
    <xf numFmtId="0" fontId="6" fillId="7" borderId="3" applyAlignment="1" pivotButton="0" quotePrefix="0" xfId="0">
      <alignment horizontal="center" wrapText="1"/>
    </xf>
    <xf numFmtId="0" fontId="6" fillId="7" borderId="4" applyAlignment="1" pivotButton="0" quotePrefix="0" xfId="0">
      <alignment horizontal="center" wrapText="1"/>
    </xf>
    <xf numFmtId="0" fontId="4" fillId="14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3" fontId="0" fillId="0" borderId="0" pivotButton="0" quotePrefix="0" xfId="0"/>
    <xf numFmtId="170" fontId="0" fillId="0" borderId="0" pivotButton="0" quotePrefix="0" xfId="1"/>
    <xf numFmtId="0" fontId="6" fillId="7" borderId="16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left" vertical="center" wrapText="1"/>
    </xf>
    <xf numFmtId="172" fontId="13" fillId="19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20" borderId="0" pivotButton="0" quotePrefix="0" xfId="0"/>
    <xf numFmtId="0" fontId="0" fillId="20" borderId="0" pivotButton="0" quotePrefix="0" xfId="0"/>
    <xf numFmtId="2" fontId="13" fillId="19" borderId="0" pivotButton="0" quotePrefix="0" xfId="0"/>
    <xf numFmtId="2" fontId="17" fillId="0" borderId="0" pivotButton="0" quotePrefix="0" xfId="0"/>
    <xf numFmtId="0" fontId="13" fillId="19" borderId="0" pivotButton="0" quotePrefix="0" xfId="0"/>
    <xf numFmtId="3" fontId="13" fillId="19" borderId="0" pivotButton="0" quotePrefix="0" xfId="0"/>
    <xf numFmtId="0" fontId="18" fillId="21" borderId="24" applyAlignment="1" pivotButton="0" quotePrefix="0" xfId="0">
      <alignment horizontal="center" vertical="center" wrapText="1"/>
    </xf>
    <xf numFmtId="0" fontId="12" fillId="0" borderId="24" pivotButton="0" quotePrefix="0" xfId="0"/>
    <xf numFmtId="0" fontId="12" fillId="0" borderId="24" applyAlignment="1" pivotButton="0" quotePrefix="0" xfId="0">
      <alignment horizontal="center" vertical="center" wrapText="1"/>
    </xf>
    <xf numFmtId="3" fontId="13" fillId="0" borderId="24" pivotButton="0" quotePrefix="0" xfId="0"/>
    <xf numFmtId="3" fontId="12" fillId="0" borderId="24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center" vertical="center" wrapText="1"/>
    </xf>
    <xf numFmtId="3" fontId="17" fillId="0" borderId="0" pivotButton="0" quotePrefix="0" xfId="0"/>
    <xf numFmtId="0" fontId="19" fillId="0" borderId="0" applyAlignment="1" pivotButton="0" quotePrefix="0" xfId="0">
      <alignment horizontal="left" vertical="center" wrapText="1"/>
    </xf>
    <xf numFmtId="0" fontId="16" fillId="0" borderId="24" applyAlignment="1" pivotButton="0" quotePrefix="0" xfId="0">
      <alignment horizontal="center" vertical="center"/>
    </xf>
    <xf numFmtId="1" fontId="16" fillId="0" borderId="24" applyAlignment="1" pivotButton="0" quotePrefix="0" xfId="0">
      <alignment horizontal="center" vertical="center"/>
    </xf>
    <xf numFmtId="1" fontId="12" fillId="0" borderId="24" applyAlignment="1" pivotButton="0" quotePrefix="0" xfId="0">
      <alignment horizontal="center" vertical="center"/>
    </xf>
    <xf numFmtId="167" fontId="12" fillId="0" borderId="24" applyAlignment="1" pivotButton="0" quotePrefix="0" xfId="0">
      <alignment horizontal="center" vertical="center"/>
    </xf>
    <xf numFmtId="3" fontId="12" fillId="0" borderId="24" applyAlignment="1" pivotButton="0" quotePrefix="0" xfId="0">
      <alignment horizontal="center" vertical="center"/>
    </xf>
    <xf numFmtId="172" fontId="12" fillId="0" borderId="24" applyAlignment="1" pivotButton="0" quotePrefix="0" xfId="0">
      <alignment horizontal="center" vertical="center"/>
    </xf>
    <xf numFmtId="3" fontId="17" fillId="0" borderId="24" applyAlignment="1" pivotButton="0" quotePrefix="0" xfId="0">
      <alignment horizontal="center" vertical="center"/>
    </xf>
    <xf numFmtId="3" fontId="16" fillId="0" borderId="24" applyAlignment="1" pivotButton="0" quotePrefix="0" xfId="0">
      <alignment horizontal="center" vertical="center"/>
    </xf>
    <xf numFmtId="3" fontId="20" fillId="0" borderId="24" applyAlignment="1" pivotButton="0" quotePrefix="0" xfId="0">
      <alignment horizontal="center" vertical="center"/>
    </xf>
    <xf numFmtId="0" fontId="20" fillId="0" borderId="0" pivotButton="0" quotePrefix="0" xfId="0"/>
    <xf numFmtId="0" fontId="18" fillId="21" borderId="0" pivotButton="0" quotePrefix="0" xfId="0"/>
    <xf numFmtId="167" fontId="17" fillId="0" borderId="0" pivotButton="0" quotePrefix="0" xfId="0"/>
    <xf numFmtId="0" fontId="17" fillId="0" borderId="0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 vertical="center" wrapText="1"/>
    </xf>
    <xf numFmtId="0" fontId="0" fillId="0" borderId="24" applyAlignment="1" pivotButton="0" quotePrefix="0" xfId="0">
      <alignment horizontal="center" vertical="center" wrapText="1"/>
    </xf>
    <xf numFmtId="3" fontId="0" fillId="0" borderId="24" pivotButton="0" quotePrefix="0" xfId="0"/>
    <xf numFmtId="167" fontId="0" fillId="0" borderId="24" pivotButton="0" quotePrefix="0" xfId="0"/>
    <xf numFmtId="0" fontId="17" fillId="0" borderId="24" pivotButton="0" quotePrefix="0" xfId="0"/>
    <xf numFmtId="0" fontId="17" fillId="0" borderId="24" applyAlignment="1" pivotButton="0" quotePrefix="0" xfId="0">
      <alignment horizontal="center" vertical="center" wrapText="1"/>
    </xf>
    <xf numFmtId="3" fontId="17" fillId="0" borderId="24" pivotButton="0" quotePrefix="0" xfId="0"/>
    <xf numFmtId="167" fontId="17" fillId="0" borderId="24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18" pivotButton="0" quotePrefix="0" xfId="0"/>
    <xf numFmtId="0" fontId="0" fillId="0" borderId="19" pivotButton="0" quotePrefix="0" xfId="0"/>
  </cellXfs>
  <cellStyles count="2">
    <cellStyle name="Обычный" xfId="0" builtinId="0"/>
    <cellStyle name="Финансовый" xfId="1" builtinId="3"/>
  </cellStyles>
  <dxfs count="5">
    <dxf>
      <font>
        <color rgb="FF9C0006"/>
      </font>
      <fill>
        <patternFill>
          <bgColor rgb="FFFFC7CE"/>
        </patternFill>
      </fill>
    </dxf>
    <dxf>
      <font>
        <b val="1"/>
        <color rgb="FFC65911"/>
      </font>
      <fill>
        <patternFill>
          <bgColor rgb="FFFCE5CD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color rgb="FF274E13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tc={40005F69-3E57-7906-BFB3-107F084A30CD}</author>
    <author>tc={DA9951D3-2F9F-6FCE-1E92-70532337F886}</author>
    <author>tc={18D0907D-CE0A-F3C6-FCE7-FBBB7F1FB307}</author>
  </authors>
  <commentList>
    <comment ref="B5" authorId="0" shapeId="0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Расчетный порог до деповского ремонта: 35 мм обязательного остатка после обточки + 15 мм снимается при обточке = 50 мм текущей толщины.</t>
      </text>
    </comment>
    <comment ref="B7" authorId="1" shapeId="0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10 п.п. — изменяемое модельное допущение для учета будущего расхода на ДР по мере выработки межремонтного цикла. При наличии фактической стоимости ДР лучше заменить допущение расчетом в тенге.</t>
      </text>
    </comment>
    <comment ref="B8" authorId="2" shapeId="0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Рыночная цена новой цистерны, указанная пользователем: 4 750 000 рублей. Меняя эту ячейку, можно пересчитать оценку всех 166 вагонов.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B9" sqref="B9"/>
    </sheetView>
  </sheetViews>
  <sheetFormatPr baseColWidth="8" defaultRowHeight="13.2"/>
  <cols>
    <col width="34" customWidth="1" style="74" min="1" max="1"/>
    <col width="12" customWidth="1" style="74" min="2" max="2"/>
    <col width="10" customWidth="1" style="74" min="3" max="3"/>
    <col width="74" customWidth="1" style="74" min="4" max="4"/>
  </cols>
  <sheetData>
    <row r="1" ht="25.95" customHeight="1" s="74">
      <c r="A1" s="77" t="inlineStr">
        <is>
          <t>Справочник технических порогов и амортизации</t>
        </is>
      </c>
      <c r="B1" s="78" t="n"/>
      <c r="C1" s="78" t="n"/>
      <c r="D1" s="79" t="n"/>
    </row>
    <row r="2">
      <c r="A2" s="9" t="inlineStr">
        <is>
          <t>Параметр</t>
        </is>
      </c>
      <c r="B2" s="10" t="inlineStr">
        <is>
          <t>Значение</t>
        </is>
      </c>
      <c r="C2" s="10" t="inlineStr">
        <is>
          <t>Ед.</t>
        </is>
      </c>
      <c r="D2" s="11" t="inlineStr">
        <is>
          <t>Как используется</t>
        </is>
      </c>
    </row>
    <row r="3" ht="34.05" customHeight="1" s="74">
      <c r="A3" s="12" t="inlineStr">
        <is>
          <t>Мин. обод после обточки при ДР</t>
        </is>
      </c>
      <c r="B3" s="13" t="n">
        <v>35</v>
      </c>
      <c r="C3" s="8" t="inlineStr">
        <is>
          <t>мм</t>
        </is>
      </c>
      <c r="D3" s="14" t="inlineStr">
        <is>
          <t>После обточки колесо должно иметь не менее 35 мм</t>
        </is>
      </c>
    </row>
    <row r="4" ht="34.05" customHeight="1" s="74">
      <c r="A4" s="12" t="inlineStr">
        <is>
          <t>Съем металла при обточке</t>
        </is>
      </c>
      <c r="B4" s="13" t="n">
        <v>15</v>
      </c>
      <c r="C4" s="8" t="inlineStr">
        <is>
          <t>мм</t>
        </is>
      </c>
      <c r="D4" s="14" t="inlineStr">
        <is>
          <t>По условию расчета при обточке снимается 15 мм</t>
        </is>
      </c>
    </row>
    <row r="5" ht="34.05" customHeight="1" s="74">
      <c r="A5" s="12" t="inlineStr">
        <is>
          <t>Порог до ДР</t>
        </is>
      </c>
      <c r="B5" s="15">
        <f>B3+B4</f>
        <v/>
      </c>
      <c r="C5" s="8" t="inlineStr">
        <is>
          <t>мм</t>
        </is>
      </c>
      <c r="D5" s="14" t="inlineStr">
        <is>
          <t>35 мм + 15 мм = 50 мм: ниже порога колесная пара не проходит условие после обточки</t>
        </is>
      </c>
    </row>
    <row r="6" ht="34.05" customHeight="1" s="74">
      <c r="A6" s="12" t="inlineStr">
        <is>
          <t>Текущий эксплуатационный предел</t>
        </is>
      </c>
      <c r="B6" s="13" t="n">
        <v>27</v>
      </c>
      <c r="C6" s="8" t="inlineStr">
        <is>
          <t>мм</t>
        </is>
      </c>
      <c r="D6" s="14" t="inlineStr">
        <is>
          <t>Предельное текущее значение; не заменяет требование 35 мм после обточки</t>
        </is>
      </c>
    </row>
    <row r="7" ht="34.05" customHeight="1" s="74">
      <c r="A7" s="16" t="inlineStr">
        <is>
          <t>Макс. поправка на близость ДР</t>
        </is>
      </c>
      <c r="B7" s="17" t="n">
        <v>10</v>
      </c>
      <c r="C7" s="18" t="inlineStr">
        <is>
          <t>п.п.</t>
        </is>
      </c>
      <c r="D7" s="19" t="inlineStr">
        <is>
          <t>Модельное допущение: дополнительная амортизация при наступившем ДР; изменить при наличии фактической стоимости ДР</t>
        </is>
      </c>
    </row>
    <row r="8" ht="34.05" customHeight="1" s="74">
      <c r="A8" s="30" t="inlineStr">
        <is>
          <t>Цена новой цистерны</t>
        </is>
      </c>
      <c r="B8" s="31" t="n">
        <v>4650000</v>
      </c>
      <c r="C8" s="8" t="inlineStr">
        <is>
          <t>₽ / вагон</t>
        </is>
      </c>
      <c r="D8" s="8" t="inlineStr">
        <is>
          <t>Рыночная база пользователя; 100% стоимости нового вагона</t>
        </is>
      </c>
    </row>
    <row r="10">
      <c r="A10" s="70" t="n"/>
    </row>
    <row r="11">
      <c r="A11" s="35" t="n"/>
      <c r="B11" s="36" t="n"/>
    </row>
    <row r="12">
      <c r="A12" s="37" t="n"/>
      <c r="B12" s="38" t="n"/>
    </row>
    <row r="13">
      <c r="A13" s="37" t="n"/>
      <c r="B13" s="39" t="n"/>
    </row>
    <row r="14">
      <c r="A14" s="37" t="n"/>
      <c r="B14" s="39" t="n"/>
    </row>
    <row r="15">
      <c r="A15" s="40" t="n"/>
      <c r="B15" s="41" t="n"/>
    </row>
  </sheetData>
  <mergeCells count="1">
    <mergeCell ref="A1:D1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52" customWidth="1" style="74" min="1" max="1"/>
    <col width="16" customWidth="1" style="74" min="2" max="2"/>
    <col width="9" customWidth="1" style="74" min="3" max="3"/>
    <col width="50" customWidth="1" style="74" min="4" max="4"/>
  </cols>
  <sheetData>
    <row r="1">
      <c r="A1" s="80" t="inlineStr">
        <is>
          <t>Параметры методики v2 (компонентный затратный подход)</t>
        </is>
      </c>
    </row>
    <row r="2">
      <c r="A2" s="81" t="inlineStr">
        <is>
          <t>Дата оценки</t>
        </is>
      </c>
      <c r="B2" s="82" t="n">
        <v>46239</v>
      </c>
      <c r="C2" s="83" t="inlineStr"/>
      <c r="D2" s="84" t="inlineStr">
        <is>
          <t>Фиксированная дата расчёта</t>
        </is>
      </c>
    </row>
    <row r="3">
      <c r="A3" s="81" t="inlineStr">
        <is>
          <t>Цена новой цистерны</t>
        </is>
      </c>
      <c r="B3" s="85">
        <f>Справочник!B8</f>
        <v/>
      </c>
      <c r="C3" s="83" t="inlineStr">
        <is>
          <t>₽/вагон</t>
        </is>
      </c>
      <c r="D3" s="84" t="inlineStr">
        <is>
          <t>Ссылка на Справочник (100% нового вагона)</t>
        </is>
      </c>
    </row>
    <row r="4">
      <c r="A4" s="86" t="inlineStr">
        <is>
          <t>— Доли компонентов в стоимости нового вагона (Σ = 100%) —</t>
        </is>
      </c>
      <c r="B4" s="87" t="n"/>
      <c r="C4" s="87" t="n"/>
      <c r="D4" s="87" t="n"/>
    </row>
    <row r="5">
      <c r="A5" s="81" t="inlineStr">
        <is>
          <t>Доля: котёл + рама</t>
        </is>
      </c>
      <c r="B5" s="88" t="n">
        <v>0.55</v>
      </c>
      <c r="C5" s="83" t="inlineStr"/>
      <c r="D5" s="84" t="inlineStr">
        <is>
          <t>ДОПУЩЕНИЕ — уточнить по калькуляции завода</t>
        </is>
      </c>
    </row>
    <row r="6">
      <c r="A6" s="81" t="inlineStr">
        <is>
          <t>Доля: тележки (литьё: боковые рамы + надрессорные балки)</t>
        </is>
      </c>
      <c r="B6" s="88" t="n">
        <v>0.18</v>
      </c>
      <c r="C6" s="83" t="inlineStr"/>
      <c r="D6" s="84" t="inlineStr">
        <is>
          <t>ДОПУЩЕНИЕ — уточнить</t>
        </is>
      </c>
    </row>
    <row r="7">
      <c r="A7" s="81" t="inlineStr">
        <is>
          <t>Доля: колёсные пары (4 шт)</t>
        </is>
      </c>
      <c r="B7" s="88" t="n">
        <v>0.2</v>
      </c>
      <c r="C7" s="83" t="inlineStr"/>
      <c r="D7" s="84" t="inlineStr">
        <is>
          <t>ДОПУЩЕНИЕ — уточнить</t>
        </is>
      </c>
    </row>
    <row r="8">
      <c r="A8" s="81" t="inlineStr">
        <is>
          <t>Доля: прочее (автосцепка, тормоз, арматура)</t>
        </is>
      </c>
      <c r="B8" s="88" t="n">
        <v>0.07000000000000001</v>
      </c>
      <c r="C8" s="83" t="inlineStr"/>
      <c r="D8" s="84" t="inlineStr">
        <is>
          <t>ДОПУЩЕНИЕ — уточнить</t>
        </is>
      </c>
    </row>
    <row r="9">
      <c r="A9" s="81" t="inlineStr">
        <is>
          <t>Контроль суммы долей (должно быть 1,00)</t>
        </is>
      </c>
      <c r="B9" s="89">
        <f>SUM(B5:B8)</f>
        <v/>
      </c>
      <c r="C9" s="83" t="inlineStr"/>
      <c r="D9" s="84" t="inlineStr">
        <is>
          <t>Если ≠ 1,00 — исправьте доли</t>
        </is>
      </c>
    </row>
    <row r="10">
      <c r="A10" s="86" t="inlineStr">
        <is>
          <t>— Ресурсы и пределы —</t>
        </is>
      </c>
      <c r="B10" s="87" t="n"/>
      <c r="C10" s="87" t="n"/>
      <c r="D10" s="87" t="n"/>
    </row>
    <row r="11">
      <c r="A11" s="81" t="inlineStr">
        <is>
          <t>Нормативный срок службы (fallback), лет</t>
        </is>
      </c>
      <c r="B11" s="90" t="n">
        <v>32</v>
      </c>
      <c r="C11" s="83" t="inlineStr">
        <is>
          <t>лет</t>
        </is>
      </c>
      <c r="D11" s="84" t="inlineStr">
        <is>
          <t>Используется, если нет даты СС в данных</t>
        </is>
      </c>
    </row>
    <row r="12">
      <c r="A12" s="81" t="inlineStr">
        <is>
          <t>Срок службы литья тележек, лет</t>
        </is>
      </c>
      <c r="B12" s="90" t="n">
        <v>30</v>
      </c>
      <c r="C12" s="83" t="inlineStr">
        <is>
          <t>лет</t>
        </is>
      </c>
      <c r="D12" s="84" t="inlineStr">
        <is>
          <t>ДОПУЩЕНИЕ — нормативный срок рам/балок</t>
        </is>
      </c>
    </row>
    <row r="13">
      <c r="A13" s="81" t="inlineStr">
        <is>
          <t>Толщина обода новой КП</t>
        </is>
      </c>
      <c r="B13" s="90" t="n">
        <v>70</v>
      </c>
      <c r="C13" s="83" t="inlineStr">
        <is>
          <t>мм</t>
        </is>
      </c>
      <c r="D13" s="84" t="inlineStr">
        <is>
          <t>ДОПУЩЕНИЕ — полный диапазон износа обода</t>
        </is>
      </c>
    </row>
    <row r="14">
      <c r="A14" s="81" t="inlineStr">
        <is>
          <t>Предельная толщина обода</t>
        </is>
      </c>
      <c r="B14" s="85">
        <f>Справочник!B6</f>
        <v/>
      </c>
      <c r="C14" s="83" t="inlineStr">
        <is>
          <t>мм</t>
        </is>
      </c>
      <c r="D14" s="84" t="inlineStr">
        <is>
          <t>Ссылка на Справочник (эксплуатационный предел)</t>
        </is>
      </c>
    </row>
    <row r="15">
      <c r="A15" s="81" t="inlineStr">
        <is>
          <t>Съём металла при обточке</t>
        </is>
      </c>
      <c r="B15" s="85">
        <f>Справочник!B4</f>
        <v/>
      </c>
      <c r="C15" s="83" t="inlineStr">
        <is>
          <t>мм</t>
        </is>
      </c>
      <c r="D15" s="84" t="inlineStr">
        <is>
          <t>Ссылка на Справочник</t>
        </is>
      </c>
    </row>
    <row r="16">
      <c r="A16" s="81" t="inlineStr">
        <is>
          <t>Мин. обод после обточки (порог годности)</t>
        </is>
      </c>
      <c r="B16" s="85">
        <f>Справочник!B3</f>
        <v/>
      </c>
      <c r="C16" s="83" t="inlineStr">
        <is>
          <t>мм</t>
        </is>
      </c>
      <c r="D16" s="84" t="inlineStr">
        <is>
          <t>Ссылка на Справочник</t>
        </is>
      </c>
    </row>
    <row r="17">
      <c r="A17" s="86" t="inlineStr">
        <is>
          <t>— Стоимости ремонтов, ₽ —</t>
        </is>
      </c>
      <c r="B17" s="87" t="n"/>
      <c r="C17" s="87" t="n"/>
      <c r="D17" s="87" t="n"/>
    </row>
    <row r="18">
      <c r="A18" s="81" t="inlineStr">
        <is>
          <t>Стоимость предстоящего планового ремонта (ДР)</t>
        </is>
      </c>
      <c r="B18" s="91" t="n">
        <v>300000</v>
      </c>
      <c r="C18" s="83" t="inlineStr">
        <is>
          <t>₽</t>
        </is>
      </c>
      <c r="D18" s="84" t="inlineStr">
        <is>
          <t>ДОПУЩЕНИЕ — заменить фактической сметой ДР</t>
        </is>
      </c>
    </row>
    <row r="19">
      <c r="A19" s="81" t="inlineStr">
        <is>
          <t>Стоимость замены одной колёсной пары</t>
        </is>
      </c>
      <c r="B19" s="91" t="n">
        <v>220000</v>
      </c>
      <c r="C19" s="83" t="inlineStr">
        <is>
          <t>₽/шт</t>
        </is>
      </c>
      <c r="D19" s="84" t="inlineStr">
        <is>
          <t>ДОПУЩЕНИЕ — цена новой/годной КП</t>
        </is>
      </c>
    </row>
  </sheetData>
  <mergeCells count="4">
    <mergeCell ref="A1:D1"/>
    <mergeCell ref="A17:D17"/>
    <mergeCell ref="A4:D4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26" customWidth="1" style="74" min="1" max="1"/>
    <col width="15" customWidth="1" style="74" min="2" max="2"/>
    <col width="9" customWidth="1" style="74" min="3" max="3"/>
    <col width="22" customWidth="1" style="74" min="4" max="4"/>
    <col width="22" customWidth="1" style="74" min="5" max="5"/>
  </cols>
  <sheetData>
    <row r="1">
      <c r="A1" s="80" t="inlineStr">
        <is>
          <t>Цены собственника (без НДС), по модели и году постройки</t>
        </is>
      </c>
    </row>
    <row r="2">
      <c r="A2" s="92" t="inlineStr">
        <is>
          <t>Модель вагона</t>
        </is>
      </c>
      <c r="B2" s="92" t="inlineStr">
        <is>
          <t>Год постройки</t>
        </is>
      </c>
      <c r="C2" s="92" t="inlineStr">
        <is>
          <t>Кол-во</t>
        </is>
      </c>
      <c r="D2" s="92" t="inlineStr">
        <is>
          <t>Цена за ед. без НДС, ₽</t>
        </is>
      </c>
      <c r="E2" s="92" t="inlineStr">
        <is>
          <t>Итого без НДС, ₽</t>
        </is>
      </c>
    </row>
    <row r="3">
      <c r="A3" s="93" t="inlineStr">
        <is>
          <t>15-1219-1П</t>
        </is>
      </c>
      <c r="B3" s="94" t="n">
        <v>2020</v>
      </c>
      <c r="C3" s="94" t="n">
        <v>60</v>
      </c>
      <c r="D3" s="95" t="n">
        <v>4125000</v>
      </c>
      <c r="E3" s="96">
        <f>C3*D3</f>
        <v/>
      </c>
    </row>
    <row r="4">
      <c r="A4" s="93" t="inlineStr">
        <is>
          <t>15-150-04П</t>
        </is>
      </c>
      <c r="B4" s="94" t="n">
        <v>2011</v>
      </c>
      <c r="C4" s="94" t="n">
        <v>21</v>
      </c>
      <c r="D4" s="95" t="n">
        <v>2461000</v>
      </c>
      <c r="E4" s="96">
        <f>C4*D4</f>
        <v/>
      </c>
    </row>
    <row r="5">
      <c r="A5" s="93" t="inlineStr">
        <is>
          <t>15-150-04П</t>
        </is>
      </c>
      <c r="B5" s="94" t="n">
        <v>2012</v>
      </c>
      <c r="C5" s="94" t="n">
        <v>7</v>
      </c>
      <c r="D5" s="95" t="n">
        <v>2621500</v>
      </c>
      <c r="E5" s="96">
        <f>C5*D5</f>
        <v/>
      </c>
    </row>
    <row r="6">
      <c r="A6" s="93" t="inlineStr">
        <is>
          <t>15-150-04П</t>
        </is>
      </c>
      <c r="B6" s="94" t="n">
        <v>2015</v>
      </c>
      <c r="C6" s="94" t="n">
        <v>14</v>
      </c>
      <c r="D6" s="95" t="n">
        <v>3103000</v>
      </c>
      <c r="E6" s="96">
        <f>C6*D6</f>
        <v/>
      </c>
    </row>
    <row r="7">
      <c r="A7" s="93" t="inlineStr">
        <is>
          <t>15-1755П</t>
        </is>
      </c>
      <c r="B7" s="94" t="n">
        <v>2013</v>
      </c>
      <c r="C7" s="94" t="n">
        <v>24</v>
      </c>
      <c r="D7" s="95" t="n">
        <v>2782000</v>
      </c>
      <c r="E7" s="96">
        <f>C7*D7</f>
        <v/>
      </c>
    </row>
    <row r="8">
      <c r="A8" s="93" t="inlineStr">
        <is>
          <t>15-1755П</t>
        </is>
      </c>
      <c r="B8" s="94" t="n">
        <v>2014</v>
      </c>
      <c r="C8" s="94" t="n">
        <v>5</v>
      </c>
      <c r="D8" s="95" t="n">
        <v>2942500</v>
      </c>
      <c r="E8" s="96">
        <f>C8*D8</f>
        <v/>
      </c>
    </row>
    <row r="9">
      <c r="A9" s="93" t="inlineStr">
        <is>
          <t>15-5103-7П</t>
        </is>
      </c>
      <c r="B9" s="94" t="n">
        <v>2011</v>
      </c>
      <c r="C9" s="94" t="n">
        <v>23</v>
      </c>
      <c r="D9" s="95" t="n">
        <v>2461000</v>
      </c>
      <c r="E9" s="96">
        <f>C9*D9</f>
        <v/>
      </c>
    </row>
    <row r="10">
      <c r="A10" s="93" t="inlineStr">
        <is>
          <t>15-5103-7П</t>
        </is>
      </c>
      <c r="B10" s="94" t="n">
        <v>2012</v>
      </c>
      <c r="C10" s="94" t="n">
        <v>3</v>
      </c>
      <c r="D10" s="95" t="n">
        <v>2621500</v>
      </c>
      <c r="E10" s="96">
        <f>C10*D10</f>
        <v/>
      </c>
    </row>
    <row r="11">
      <c r="A11" s="93" t="inlineStr">
        <is>
          <t>15-5103-7П</t>
        </is>
      </c>
      <c r="B11" s="94" t="n">
        <v>2015</v>
      </c>
      <c r="C11" s="94" t="n">
        <v>9</v>
      </c>
      <c r="D11" s="95" t="n">
        <v>3103000</v>
      </c>
      <c r="E11" s="96">
        <f>C11*D11</f>
        <v/>
      </c>
    </row>
    <row r="12">
      <c r="A12" s="97" t="inlineStr">
        <is>
          <t>ИТОГО</t>
        </is>
      </c>
      <c r="C12" s="98">
        <f>SUM(C3:C11)</f>
        <v/>
      </c>
      <c r="E12" s="99">
        <f>SUM(E3:E11)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6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style="74" min="1" max="1"/>
    <col width="13" customWidth="1" style="74" min="2" max="2"/>
    <col width="9" customWidth="1" style="74" min="3" max="3"/>
    <col width="11" customWidth="1" style="74" min="4" max="4"/>
    <col width="11" customWidth="1" style="74" min="5" max="5"/>
    <col width="10" customWidth="1" style="74" min="6" max="6"/>
    <col width="11" customWidth="1" style="74" min="7" max="7"/>
    <col width="12" customWidth="1" style="74" min="8" max="8"/>
    <col width="11" customWidth="1" style="74" min="9" max="9"/>
    <col width="10" customWidth="1" style="74" min="10" max="10"/>
    <col width="10" customWidth="1" style="74" min="11" max="11"/>
    <col width="11" customWidth="1" style="74" min="12" max="12"/>
    <col width="10" customWidth="1" style="74" min="13" max="13"/>
    <col width="13" customWidth="1" style="74" min="14" max="14"/>
    <col width="12" customWidth="1" style="74" min="15" max="15"/>
    <col width="15" customWidth="1" style="74" min="16" max="16"/>
    <col width="13" customWidth="1" style="74" min="17" max="17"/>
    <col width="14" customWidth="1" style="74" min="18" max="18"/>
    <col width="11" customWidth="1" style="74" min="19" max="19"/>
    <col width="13" customWidth="1" style="74" min="20" max="20"/>
    <col width="12" customWidth="1" style="74" min="21" max="21"/>
    <col width="13" customWidth="1" style="74" min="22" max="22"/>
    <col width="12" customWidth="1" style="74" min="23" max="23"/>
    <col width="15" customWidth="1" style="74" min="24" max="24"/>
    <col width="11" customWidth="1" style="74" min="25" max="25"/>
    <col width="15" customWidth="1" style="74" min="26" max="26"/>
    <col width="17" customWidth="1" style="74" min="27" max="27"/>
    <col width="15" customWidth="1" style="74" min="28" max="28"/>
    <col width="16" customWidth="1" style="74" min="29" max="29"/>
    <col width="16" customWidth="1" style="74" min="30" max="30"/>
  </cols>
  <sheetData>
    <row r="1" ht="28" customHeight="1" s="74">
      <c r="A1" s="100" t="inlineStr">
        <is>
          <t>Оценка остаточной стоимости 166 цистерн — методика v2 (компонентный затратный подход). Синие/жёлтые ячейки-допущения — на листе «Параметры».</t>
        </is>
      </c>
    </row>
    <row r="2" ht="42" customHeight="1" s="74">
      <c r="A2" s="92" t="inlineStr">
        <is>
          <t>№ вагона</t>
        </is>
      </c>
      <c r="B2" s="92" t="inlineStr">
        <is>
          <t>Модель</t>
        </is>
      </c>
      <c r="C2" s="92" t="inlineStr">
        <is>
          <t>Год постройки</t>
        </is>
      </c>
      <c r="D2" s="92" t="inlineStr">
        <is>
          <t>Год оконч. срока службы</t>
        </is>
      </c>
      <c r="E2" s="92" t="inlineStr">
        <is>
          <t>Полный срок службы, лет</t>
        </is>
      </c>
      <c r="F2" s="92" t="inlineStr">
        <is>
          <t>Возраст вагона, лет</t>
        </is>
      </c>
      <c r="G2" s="92" t="inlineStr">
        <is>
          <t>Износ котла+рамы, %</t>
        </is>
      </c>
      <c r="H2" s="92" t="inlineStr">
        <is>
          <t>Остаточная котла+рамы, %</t>
        </is>
      </c>
      <c r="I2" s="92" t="inlineStr">
        <is>
          <t>Средний год литья тележек</t>
        </is>
      </c>
      <c r="J2" s="92" t="inlineStr">
        <is>
          <t>Возраст литья, лет</t>
        </is>
      </c>
      <c r="K2" s="92" t="inlineStr">
        <is>
          <t>Износ литья, %</t>
        </is>
      </c>
      <c r="L2" s="92" t="inlineStr">
        <is>
          <t>Остаточная литья, %</t>
        </is>
      </c>
      <c r="M2" s="92" t="inlineStr">
        <is>
          <t>Мин. обод по КП, мм</t>
        </is>
      </c>
      <c r="N2" s="92" t="inlineStr">
        <is>
          <t>Остаточная колёсных пар, %</t>
        </is>
      </c>
      <c r="O2" s="92" t="inlineStr">
        <is>
          <t>Остаточная прочего, %</t>
        </is>
      </c>
      <c r="P2" s="92" t="inlineStr">
        <is>
          <t>Компонентная стоимость, ₽</t>
        </is>
      </c>
      <c r="Q2" s="92" t="inlineStr">
        <is>
          <t>Последний ремонт</t>
        </is>
      </c>
      <c r="R2" s="92" t="inlineStr">
        <is>
          <t>Следующий плановый ремонт</t>
        </is>
      </c>
      <c r="S2" s="92" t="inlineStr">
        <is>
          <t>Использовано цикла ДР, %</t>
        </is>
      </c>
      <c r="T2" s="92" t="inlineStr">
        <is>
          <t>Остаточный пробег, км</t>
        </is>
      </c>
      <c r="U2" s="92" t="inlineStr">
        <is>
          <t>Норма пробега, км</t>
        </is>
      </c>
      <c r="V2" s="92" t="inlineStr">
        <is>
          <t>Использовано цикла пробега, %</t>
        </is>
      </c>
      <c r="W2" s="92" t="inlineStr">
        <is>
          <t>Позиция обслуживания, %</t>
        </is>
      </c>
      <c r="X2" s="92" t="inlineStr">
        <is>
          <t>Обязательство ремонта (ДР), ₽</t>
        </is>
      </c>
      <c r="Y2" s="92" t="inlineStr">
        <is>
          <t>КП не проходят обточку, шт</t>
        </is>
      </c>
      <c r="Z2" s="92" t="inlineStr">
        <is>
          <t>Обязательство замены КП, ₽</t>
        </is>
      </c>
      <c r="AA2" s="92" t="inlineStr">
        <is>
          <t>ИТОГОВАЯ стоимость v2, ₽</t>
        </is>
      </c>
      <c r="AB2" s="92" t="inlineStr">
        <is>
          <t>Цена продавца, ₽ (ввод)</t>
        </is>
      </c>
      <c r="AC2" s="92" t="inlineStr">
        <is>
          <t>Отклонение рынок−модель, ₽</t>
        </is>
      </c>
      <c r="AD2" s="92" t="inlineStr">
        <is>
          <t>Оценка v1 (справочно), ₽</t>
        </is>
      </c>
    </row>
    <row r="3">
      <c r="A3" s="101">
        <f>Комплектация!A5</f>
        <v/>
      </c>
      <c r="B3" s="101">
        <f>Комплектация!C5</f>
        <v/>
      </c>
      <c r="C3" s="102">
        <f>Комплектация!E5</f>
        <v/>
      </c>
      <c r="D3" s="103" t="n">
        <v>2043</v>
      </c>
      <c r="E3" s="103">
        <f>IF(D3="",Параметры!$B$11,MAX(1,D3-C3))</f>
        <v/>
      </c>
      <c r="F3" s="103">
        <f>MAX(0,YEAR(Параметры!$B$2)-C3)</f>
        <v/>
      </c>
      <c r="G3" s="104">
        <f>MIN(100,F3/E3*100)</f>
        <v/>
      </c>
      <c r="H3" s="104">
        <f>100-G3</f>
        <v/>
      </c>
      <c r="I3" s="103">
        <f>AVERAGE(Комплектация!BJ5,Комплектация!BP5,Комплектация!BV5,Комплектация!CB5,Комплектация!CH5,Комплектация!CN5)</f>
        <v/>
      </c>
      <c r="J3" s="103">
        <f>MAX(0,YEAR(Параметры!$B$2)-I3)</f>
        <v/>
      </c>
      <c r="K3" s="104">
        <f>MIN(100,J3/Параметры!$B$12*100)</f>
        <v/>
      </c>
      <c r="L3" s="104">
        <f>100-K3</f>
        <v/>
      </c>
      <c r="M3" s="103">
        <f>MIN(Комплектация!AA5,Комплектация!AB5,Комплектация!AK5,Комплектация!AL5,Комплектация!AU5,Комплектация!AV5,Комплектация!BE5,Комплектация!BF5)</f>
        <v/>
      </c>
      <c r="N3" s="104">
        <f>AVERAGE((100-MAX(0,MIN(100,(Параметры!$B$13-MIN(Комплектация!AA5,Комплектация!AB5))/(Параметры!$B$13-Параметры!$B$14)*100))),(100-MAX(0,MIN(100,(Параметры!$B$13-MIN(Комплектация!AK5,Комплектация!AL5))/(Параметры!$B$13-Параметры!$B$14)*100))),(100-MAX(0,MIN(100,(Параметры!$B$13-MIN(Комплектация!AU5,Комплектация!AV5))/(Параметры!$B$13-Параметры!$B$14)*100))),(100-MAX(0,MIN(100,(Параметры!$B$13-MIN(Комплектация!BE5,Комплектация!BF5))/(Параметры!$B$13-Параметры!$B$14)*100))))</f>
        <v/>
      </c>
      <c r="O3" s="104">
        <f>AVERAGE(H3,L3)</f>
        <v/>
      </c>
      <c r="P3" s="105">
        <f>Параметры!$B$3*(Параметры!$B$5*H3+Параметры!$B$6*L3+Параметры!$B$7*N3+Параметры!$B$8*O3)/100</f>
        <v/>
      </c>
      <c r="Q3" s="106" t="n">
        <v>46099</v>
      </c>
      <c r="R3" s="106" t="n">
        <v>47195</v>
      </c>
      <c r="S3" s="104">
        <f>IF(OR(Q3="",R3="",R3=Q3),"",MAX(0,MIN(100,(Параметры!$B$2-Q3)/(R3-Q3)*100)))</f>
        <v/>
      </c>
      <c r="T3" s="103">
        <f>IF(ISNUMBER(Комплектация!P5),Комплектация!P5,"")</f>
        <v/>
      </c>
      <c r="U3" s="103">
        <f>IF(ISNUMBER(Комплектация!N5),Комплектация!N5,"")</f>
        <v/>
      </c>
      <c r="V3" s="104">
        <f>IF(OR(U3="",T3="",U3=0),"",MAX(0,MIN(100,(U3-T3)/U3*100)))</f>
        <v/>
      </c>
      <c r="W3" s="104">
        <f>MAX(IF(S3="",0,S3),IF(V3="",0,V3))</f>
        <v/>
      </c>
      <c r="X3" s="105">
        <f>Параметры!$B$18*W3/100</f>
        <v/>
      </c>
      <c r="Y3" s="103">
        <f>IF(MIN(Комплектация!AA5,Комплектация!AB5)-Параметры!$B$15&lt;Параметры!$B$16,1,0)+IF(MIN(Комплектация!AK5,Комплектация!AL5)-Параметры!$B$15&lt;Параметры!$B$16,1,0)+IF(MIN(Комплектация!AU5,Комплектация!AV5)-Параметры!$B$15&lt;Параметры!$B$16,1,0)+IF(MIN(Комплектация!BE5,Комплектация!BF5)-Параметры!$B$15&lt;Параметры!$B$16,1,0)</f>
        <v/>
      </c>
      <c r="Z3" s="105">
        <f>Y3*Параметры!$B$19</f>
        <v/>
      </c>
      <c r="AA3" s="107">
        <f>MAX(0,P3-X3-Z3)</f>
        <v/>
      </c>
      <c r="AB3" s="108">
        <f>SUMIFS(Прайс!$D$3:$D$11,Прайс!$A$3:$A$11,B3,Прайс!$B$3:$B$11,C3)</f>
        <v/>
      </c>
      <c r="AC3" s="105">
        <f>IF(AB3="","",AB3-AA3)</f>
        <v/>
      </c>
      <c r="AD3" s="109" t="n">
        <v>3198508.439781022</v>
      </c>
    </row>
    <row r="4">
      <c r="A4" s="101">
        <f>Комплектация!A6</f>
        <v/>
      </c>
      <c r="B4" s="101">
        <f>Комплектация!C6</f>
        <v/>
      </c>
      <c r="C4" s="102">
        <f>Комплектация!E6</f>
        <v/>
      </c>
      <c r="D4" s="103" t="n">
        <v>2043</v>
      </c>
      <c r="E4" s="103">
        <f>IF(D4="",Параметры!$B$11,MAX(1,D4-C4))</f>
        <v/>
      </c>
      <c r="F4" s="103">
        <f>MAX(0,YEAR(Параметры!$B$2)-C4)</f>
        <v/>
      </c>
      <c r="G4" s="104">
        <f>MIN(100,F4/E4*100)</f>
        <v/>
      </c>
      <c r="H4" s="104">
        <f>100-G4</f>
        <v/>
      </c>
      <c r="I4" s="103">
        <f>AVERAGE(Комплектация!BJ6,Комплектация!BP6,Комплектация!BV6,Комплектация!CB6,Комплектация!CH6,Комплектация!CN6)</f>
        <v/>
      </c>
      <c r="J4" s="103">
        <f>MAX(0,YEAR(Параметры!$B$2)-I4)</f>
        <v/>
      </c>
      <c r="K4" s="104">
        <f>MIN(100,J4/Параметры!$B$12*100)</f>
        <v/>
      </c>
      <c r="L4" s="104">
        <f>100-K4</f>
        <v/>
      </c>
      <c r="M4" s="103">
        <f>MIN(Комплектация!AA6,Комплектация!AB6,Комплектация!AK6,Комплектация!AL6,Комплектация!AU6,Комплектация!AV6,Комплектация!BE6,Комплектация!BF6)</f>
        <v/>
      </c>
      <c r="N4" s="104">
        <f>AVERAGE((100-MAX(0,MIN(100,(Параметры!$B$13-MIN(Комплектация!AA6,Комплектация!AB6))/(Параметры!$B$13-Параметры!$B$14)*100))),(100-MAX(0,MIN(100,(Параметры!$B$13-MIN(Комплектация!AK6,Комплектация!AL6))/(Параметры!$B$13-Параметры!$B$14)*100))),(100-MAX(0,MIN(100,(Параметры!$B$13-MIN(Комплектация!AU6,Комплектация!AV6))/(Параметры!$B$13-Параметры!$B$14)*100))),(100-MAX(0,MIN(100,(Параметры!$B$13-MIN(Комплектация!BE6,Комплектация!BF6))/(Параметры!$B$13-Параметры!$B$14)*100))))</f>
        <v/>
      </c>
      <c r="O4" s="104">
        <f>AVERAGE(H4,L4)</f>
        <v/>
      </c>
      <c r="P4" s="105">
        <f>Параметры!$B$3*(Параметры!$B$5*H4+Параметры!$B$6*L4+Параметры!$B$7*N4+Параметры!$B$8*O4)/100</f>
        <v/>
      </c>
      <c r="Q4" s="106" t="n">
        <v>46065</v>
      </c>
      <c r="R4" s="106" t="n">
        <v>46795</v>
      </c>
      <c r="S4" s="104">
        <f>IF(OR(Q4="",R4="",R4=Q4),"",MAX(0,MIN(100,(Параметры!$B$2-Q4)/(R4-Q4)*100)))</f>
        <v/>
      </c>
      <c r="T4" s="103">
        <f>IF(ISNUMBER(Комплектация!P6),Комплектация!P6,"")</f>
        <v/>
      </c>
      <c r="U4" s="103">
        <f>IF(ISNUMBER(Комплектация!N6),Комплектация!N6,"")</f>
        <v/>
      </c>
      <c r="V4" s="104">
        <f>IF(OR(U4="",T4="",U4=0),"",MAX(0,MIN(100,(U4-T4)/U4*100)))</f>
        <v/>
      </c>
      <c r="W4" s="104">
        <f>MAX(IF(S4="",0,S4),IF(V4="",0,V4))</f>
        <v/>
      </c>
      <c r="X4" s="105">
        <f>Параметры!$B$18*W4/100</f>
        <v/>
      </c>
      <c r="Y4" s="103">
        <f>IF(MIN(Комплектация!AA6,Комплектация!AB6)-Параметры!$B$15&lt;Параметры!$B$16,1,0)+IF(MIN(Комплектация!AK6,Комплектация!AL6)-Параметры!$B$15&lt;Параметры!$B$16,1,0)+IF(MIN(Комплектация!AU6,Комплектация!AV6)-Параметры!$B$15&lt;Параметры!$B$16,1,0)+IF(MIN(Комплектация!BE6,Комплектация!BF6)-Параметры!$B$15&lt;Параметры!$B$16,1,0)</f>
        <v/>
      </c>
      <c r="Z4" s="105">
        <f>Y4*Параметры!$B$19</f>
        <v/>
      </c>
      <c r="AA4" s="107">
        <f>MAX(0,P4-X4-Z4)</f>
        <v/>
      </c>
      <c r="AB4" s="108">
        <f>SUMIFS(Прайс!$D$3:$D$11,Прайс!$A$3:$A$11,B4,Прайс!$B$3:$B$11,C4)</f>
        <v/>
      </c>
      <c r="AC4" s="105">
        <f>IF(AB4="","",AB4-AA4)</f>
        <v/>
      </c>
      <c r="AD4" s="109" t="n">
        <v>3170320.633561644</v>
      </c>
    </row>
    <row r="5">
      <c r="A5" s="101">
        <f>Комплектация!A7</f>
        <v/>
      </c>
      <c r="B5" s="101">
        <f>Комплектация!C7</f>
        <v/>
      </c>
      <c r="C5" s="102">
        <f>Комплектация!E7</f>
        <v/>
      </c>
      <c r="D5" s="103" t="n">
        <v>2043</v>
      </c>
      <c r="E5" s="103">
        <f>IF(D5="",Параметры!$B$11,MAX(1,D5-C5))</f>
        <v/>
      </c>
      <c r="F5" s="103">
        <f>MAX(0,YEAR(Параметры!$B$2)-C5)</f>
        <v/>
      </c>
      <c r="G5" s="104">
        <f>MIN(100,F5/E5*100)</f>
        <v/>
      </c>
      <c r="H5" s="104">
        <f>100-G5</f>
        <v/>
      </c>
      <c r="I5" s="103">
        <f>AVERAGE(Комплектация!BJ7,Комплектация!BP7,Комплектация!BV7,Комплектация!CB7,Комплектация!CH7,Комплектация!CN7)</f>
        <v/>
      </c>
      <c r="J5" s="103">
        <f>MAX(0,YEAR(Параметры!$B$2)-I5)</f>
        <v/>
      </c>
      <c r="K5" s="104">
        <f>MIN(100,J5/Параметры!$B$12*100)</f>
        <v/>
      </c>
      <c r="L5" s="104">
        <f>100-K5</f>
        <v/>
      </c>
      <c r="M5" s="103">
        <f>MIN(Комплектация!AA7,Комплектация!AB7,Комплектация!AK7,Комплектация!AL7,Комплектация!AU7,Комплектация!AV7,Комплектация!BE7,Комплектация!BF7)</f>
        <v/>
      </c>
      <c r="N5" s="104">
        <f>AVERAGE((100-MAX(0,MIN(100,(Параметры!$B$13-MIN(Комплектация!AA7,Комплектация!AB7))/(Параметры!$B$13-Параметры!$B$14)*100))),(100-MAX(0,MIN(100,(Параметры!$B$13-MIN(Комплектация!AK7,Комплектация!AL7))/(Параметры!$B$13-Параметры!$B$14)*100))),(100-MAX(0,MIN(100,(Параметры!$B$13-MIN(Комплектация!AU7,Комплектация!AV7))/(Параметры!$B$13-Параметры!$B$14)*100))),(100-MAX(0,MIN(100,(Параметры!$B$13-MIN(Комплектация!BE7,Комплектация!BF7))/(Параметры!$B$13-Параметры!$B$14)*100))))</f>
        <v/>
      </c>
      <c r="O5" s="104">
        <f>AVERAGE(H5,L5)</f>
        <v/>
      </c>
      <c r="P5" s="105">
        <f>Параметры!$B$3*(Параметры!$B$5*H5+Параметры!$B$6*L5+Параметры!$B$7*N5+Параметры!$B$8*O5)/100</f>
        <v/>
      </c>
      <c r="Q5" s="106" t="n">
        <v>46065</v>
      </c>
      <c r="R5" s="106" t="n">
        <v>46795</v>
      </c>
      <c r="S5" s="104">
        <f>IF(OR(Q5="",R5="",R5=Q5),"",MAX(0,MIN(100,(Параметры!$B$2-Q5)/(R5-Q5)*100)))</f>
        <v/>
      </c>
      <c r="T5" s="103">
        <f>IF(ISNUMBER(Комплектация!P7),Комплектация!P7,"")</f>
        <v/>
      </c>
      <c r="U5" s="103">
        <f>IF(ISNUMBER(Комплектация!N7),Комплектация!N7,"")</f>
        <v/>
      </c>
      <c r="V5" s="104">
        <f>IF(OR(U5="",T5="",U5=0),"",MAX(0,MIN(100,(U5-T5)/U5*100)))</f>
        <v/>
      </c>
      <c r="W5" s="104">
        <f>MAX(IF(S5="",0,S5),IF(V5="",0,V5))</f>
        <v/>
      </c>
      <c r="X5" s="105">
        <f>Параметры!$B$18*W5/100</f>
        <v/>
      </c>
      <c r="Y5" s="103">
        <f>IF(MIN(Комплектация!AA7,Комплектация!AB7)-Параметры!$B$15&lt;Параметры!$B$16,1,0)+IF(MIN(Комплектация!AK7,Комплектация!AL7)-Параметры!$B$15&lt;Параметры!$B$16,1,0)+IF(MIN(Комплектация!AU7,Комплектация!AV7)-Параметры!$B$15&lt;Параметры!$B$16,1,0)+IF(MIN(Комплектация!BE7,Комплектация!BF7)-Параметры!$B$15&lt;Параметры!$B$16,1,0)</f>
        <v/>
      </c>
      <c r="Z5" s="105">
        <f>Y5*Параметры!$B$19</f>
        <v/>
      </c>
      <c r="AA5" s="107">
        <f>MAX(0,P5-X5-Z5)</f>
        <v/>
      </c>
      <c r="AB5" s="108">
        <f>SUMIFS(Прайс!$D$3:$D$11,Прайс!$A$3:$A$11,B5,Прайс!$B$3:$B$11,C5)</f>
        <v/>
      </c>
      <c r="AC5" s="105">
        <f>IF(AB5="","",AB5-AA5)</f>
        <v/>
      </c>
      <c r="AD5" s="109" t="n">
        <v>1659070.633561644</v>
      </c>
    </row>
    <row r="6">
      <c r="A6" s="101">
        <f>Комплектация!A8</f>
        <v/>
      </c>
      <c r="B6" s="101">
        <f>Комплектация!C8</f>
        <v/>
      </c>
      <c r="C6" s="102">
        <f>Комплектация!E8</f>
        <v/>
      </c>
      <c r="D6" s="103" t="n">
        <v>2043</v>
      </c>
      <c r="E6" s="103">
        <f>IF(D6="",Параметры!$B$11,MAX(1,D6-C6))</f>
        <v/>
      </c>
      <c r="F6" s="103">
        <f>MAX(0,YEAR(Параметры!$B$2)-C6)</f>
        <v/>
      </c>
      <c r="G6" s="104">
        <f>MIN(100,F6/E6*100)</f>
        <v/>
      </c>
      <c r="H6" s="104">
        <f>100-G6</f>
        <v/>
      </c>
      <c r="I6" s="103">
        <f>AVERAGE(Комплектация!BJ8,Комплектация!BP8,Комплектация!BV8,Комплектация!CB8,Комплектация!CH8,Комплектация!CN8)</f>
        <v/>
      </c>
      <c r="J6" s="103">
        <f>MAX(0,YEAR(Параметры!$B$2)-I6)</f>
        <v/>
      </c>
      <c r="K6" s="104">
        <f>MIN(100,J6/Параметры!$B$12*100)</f>
        <v/>
      </c>
      <c r="L6" s="104">
        <f>100-K6</f>
        <v/>
      </c>
      <c r="M6" s="103">
        <f>MIN(Комплектация!AA8,Комплектация!AB8,Комплектация!AK8,Комплектация!AL8,Комплектация!AU8,Комплектация!AV8,Комплектация!BE8,Комплектация!BF8)</f>
        <v/>
      </c>
      <c r="N6" s="104">
        <f>AVERAGE((100-MAX(0,MIN(100,(Параметры!$B$13-MIN(Комплектация!AA8,Комплектация!AB8))/(Параметры!$B$13-Параметры!$B$14)*100))),(100-MAX(0,MIN(100,(Параметры!$B$13-MIN(Комплектация!AK8,Комплектация!AL8))/(Параметры!$B$13-Параметры!$B$14)*100))),(100-MAX(0,MIN(100,(Параметры!$B$13-MIN(Комплектация!AU8,Комплектация!AV8))/(Параметры!$B$13-Параметры!$B$14)*100))),(100-MAX(0,MIN(100,(Параметры!$B$13-MIN(Комплектация!BE8,Комплектация!BF8))/(Параметры!$B$13-Параметры!$B$14)*100))))</f>
        <v/>
      </c>
      <c r="O6" s="104">
        <f>AVERAGE(H6,L6)</f>
        <v/>
      </c>
      <c r="P6" s="105">
        <f>Параметры!$B$3*(Параметры!$B$5*H6+Параметры!$B$6*L6+Параметры!$B$7*N6+Параметры!$B$8*O6)/100</f>
        <v/>
      </c>
      <c r="Q6" s="106" t="n">
        <v>46065</v>
      </c>
      <c r="R6" s="106" t="n">
        <v>46795</v>
      </c>
      <c r="S6" s="104">
        <f>IF(OR(Q6="",R6="",R6=Q6),"",MAX(0,MIN(100,(Параметры!$B$2-Q6)/(R6-Q6)*100)))</f>
        <v/>
      </c>
      <c r="T6" s="103">
        <f>IF(ISNUMBER(Комплектация!P8),Комплектация!P8,"")</f>
        <v/>
      </c>
      <c r="U6" s="103">
        <f>IF(ISNUMBER(Комплектация!N8),Комплектация!N8,"")</f>
        <v/>
      </c>
      <c r="V6" s="104">
        <f>IF(OR(U6="",T6="",U6=0),"",MAX(0,MIN(100,(U6-T6)/U6*100)))</f>
        <v/>
      </c>
      <c r="W6" s="104">
        <f>MAX(IF(S6="",0,S6),IF(V6="",0,V6))</f>
        <v/>
      </c>
      <c r="X6" s="105">
        <f>Параметры!$B$18*W6/100</f>
        <v/>
      </c>
      <c r="Y6" s="103">
        <f>IF(MIN(Комплектация!AA8,Комплектация!AB8)-Параметры!$B$15&lt;Параметры!$B$16,1,0)+IF(MIN(Комплектация!AK8,Комплектация!AL8)-Параметры!$B$15&lt;Параметры!$B$16,1,0)+IF(MIN(Комплектация!AU8,Комплектация!AV8)-Параметры!$B$15&lt;Параметры!$B$16,1,0)+IF(MIN(Комплектация!BE8,Комплектация!BF8)-Параметры!$B$15&lt;Параметры!$B$16,1,0)</f>
        <v/>
      </c>
      <c r="Z6" s="105">
        <f>Y6*Параметры!$B$19</f>
        <v/>
      </c>
      <c r="AA6" s="107">
        <f>MAX(0,P6-X6-Z6)</f>
        <v/>
      </c>
      <c r="AB6" s="108">
        <f>SUMIFS(Прайс!$D$3:$D$11,Прайс!$A$3:$A$11,B6,Прайс!$B$3:$B$11,C6)</f>
        <v/>
      </c>
      <c r="AC6" s="105">
        <f>IF(AB6="","",AB6-AA6)</f>
        <v/>
      </c>
      <c r="AD6" s="109" t="n">
        <v>3216820.633561644</v>
      </c>
    </row>
    <row r="7">
      <c r="A7" s="101">
        <f>Комплектация!A9</f>
        <v/>
      </c>
      <c r="B7" s="101">
        <f>Комплектация!C9</f>
        <v/>
      </c>
      <c r="C7" s="102">
        <f>Комплектация!E9</f>
        <v/>
      </c>
      <c r="D7" s="103" t="n">
        <v>2044</v>
      </c>
      <c r="E7" s="103">
        <f>IF(D7="",Параметры!$B$11,MAX(1,D7-C7))</f>
        <v/>
      </c>
      <c r="F7" s="103">
        <f>MAX(0,YEAR(Параметры!$B$2)-C7)</f>
        <v/>
      </c>
      <c r="G7" s="104">
        <f>MIN(100,F7/E7*100)</f>
        <v/>
      </c>
      <c r="H7" s="104">
        <f>100-G7</f>
        <v/>
      </c>
      <c r="I7" s="103">
        <f>AVERAGE(Комплектация!BJ9,Комплектация!BP9,Комплектация!BV9,Комплектация!CB9,Комплектация!CH9,Комплектация!CN9)</f>
        <v/>
      </c>
      <c r="J7" s="103">
        <f>MAX(0,YEAR(Параметры!$B$2)-I7)</f>
        <v/>
      </c>
      <c r="K7" s="104">
        <f>MIN(100,J7/Параметры!$B$12*100)</f>
        <v/>
      </c>
      <c r="L7" s="104">
        <f>100-K7</f>
        <v/>
      </c>
      <c r="M7" s="103">
        <f>MIN(Комплектация!AA9,Комплектация!AB9,Комплектация!AK9,Комплектация!AL9,Комплектация!AU9,Комплектация!AV9,Комплектация!BE9,Комплектация!BF9)</f>
        <v/>
      </c>
      <c r="N7" s="104">
        <f>AVERAGE((100-MAX(0,MIN(100,(Параметры!$B$13-MIN(Комплектация!AA9,Комплектация!AB9))/(Параметры!$B$13-Параметры!$B$14)*100))),(100-MAX(0,MIN(100,(Параметры!$B$13-MIN(Комплектация!AK9,Комплектация!AL9))/(Параметры!$B$13-Параметры!$B$14)*100))),(100-MAX(0,MIN(100,(Параметры!$B$13-MIN(Комплектация!AU9,Комплектация!AV9))/(Параметры!$B$13-Параметры!$B$14)*100))),(100-MAX(0,MIN(100,(Параметры!$B$13-MIN(Комплектация!BE9,Комплектация!BF9))/(Параметры!$B$13-Параметры!$B$14)*100))))</f>
        <v/>
      </c>
      <c r="O7" s="104">
        <f>AVERAGE(H7,L7)</f>
        <v/>
      </c>
      <c r="P7" s="105">
        <f>Параметры!$B$3*(Параметры!$B$5*H7+Параметры!$B$6*L7+Параметры!$B$7*N7+Параметры!$B$8*O7)/100</f>
        <v/>
      </c>
      <c r="Q7" s="106" t="n">
        <v>45731</v>
      </c>
      <c r="R7" s="106" t="n">
        <v>46461</v>
      </c>
      <c r="S7" s="104">
        <f>IF(OR(Q7="",R7="",R7=Q7),"",MAX(0,MIN(100,(Параметры!$B$2-Q7)/(R7-Q7)*100)))</f>
        <v/>
      </c>
      <c r="T7" s="103">
        <f>IF(ISNUMBER(Комплектация!P9),Комплектация!P9,"")</f>
        <v/>
      </c>
      <c r="U7" s="103">
        <f>IF(ISNUMBER(Комплектация!N9),Комплектация!N9,"")</f>
        <v/>
      </c>
      <c r="V7" s="104">
        <f>IF(OR(U7="",T7="",U7=0),"",MAX(0,MIN(100,(U7-T7)/U7*100)))</f>
        <v/>
      </c>
      <c r="W7" s="104">
        <f>MAX(IF(S7="",0,S7),IF(V7="",0,V7))</f>
        <v/>
      </c>
      <c r="X7" s="105">
        <f>Параметры!$B$18*W7/100</f>
        <v/>
      </c>
      <c r="Y7" s="103">
        <f>IF(MIN(Комплектация!AA9,Комплектация!AB9)-Параметры!$B$15&lt;Параметры!$B$16,1,0)+IF(MIN(Комплектация!AK9,Комплектация!AL9)-Параметры!$B$15&lt;Параметры!$B$16,1,0)+IF(MIN(Комплектация!AU9,Комплектация!AV9)-Параметры!$B$15&lt;Параметры!$B$16,1,0)+IF(MIN(Комплектация!BE9,Комплектация!BF9)-Параметры!$B$15&lt;Параметры!$B$16,1,0)</f>
        <v/>
      </c>
      <c r="Z7" s="105">
        <f>Y7*Параметры!$B$19</f>
        <v/>
      </c>
      <c r="AA7" s="107">
        <f>MAX(0,P7-X7-Z7)</f>
        <v/>
      </c>
      <c r="AB7" s="108">
        <f>SUMIFS(Прайс!$D$3:$D$11,Прайс!$A$3:$A$11,B7,Прайс!$B$3:$B$11,C7)</f>
        <v/>
      </c>
      <c r="AC7" s="105">
        <f>IF(AB7="","",AB7-AA7)</f>
        <v/>
      </c>
      <c r="AD7" s="109" t="n">
        <v>3163910.958904109</v>
      </c>
    </row>
    <row r="8">
      <c r="A8" s="101">
        <f>Комплектация!A10</f>
        <v/>
      </c>
      <c r="B8" s="101">
        <f>Комплектация!C10</f>
        <v/>
      </c>
      <c r="C8" s="102">
        <f>Комплектация!E10</f>
        <v/>
      </c>
      <c r="D8" s="103" t="n">
        <v>2044</v>
      </c>
      <c r="E8" s="103">
        <f>IF(D8="",Параметры!$B$11,MAX(1,D8-C8))</f>
        <v/>
      </c>
      <c r="F8" s="103">
        <f>MAX(0,YEAR(Параметры!$B$2)-C8)</f>
        <v/>
      </c>
      <c r="G8" s="104">
        <f>MIN(100,F8/E8*100)</f>
        <v/>
      </c>
      <c r="H8" s="104">
        <f>100-G8</f>
        <v/>
      </c>
      <c r="I8" s="103">
        <f>AVERAGE(Комплектация!BJ10,Комплектация!BP10,Комплектация!BV10,Комплектация!CB10,Комплектация!CH10,Комплектация!CN10)</f>
        <v/>
      </c>
      <c r="J8" s="103">
        <f>MAX(0,YEAR(Параметры!$B$2)-I8)</f>
        <v/>
      </c>
      <c r="K8" s="104">
        <f>MIN(100,J8/Параметры!$B$12*100)</f>
        <v/>
      </c>
      <c r="L8" s="104">
        <f>100-K8</f>
        <v/>
      </c>
      <c r="M8" s="103">
        <f>MIN(Комплектация!AA10,Комплектация!AB10,Комплектация!AK10,Комплектация!AL10,Комплектация!AU10,Комплектация!AV10,Комплектация!BE10,Комплектация!BF10)</f>
        <v/>
      </c>
      <c r="N8" s="104">
        <f>AVERAGE((100-MAX(0,MIN(100,(Параметры!$B$13-MIN(Комплектация!AA10,Комплектация!AB10))/(Параметры!$B$13-Параметры!$B$14)*100))),(100-MAX(0,MIN(100,(Параметры!$B$13-MIN(Комплектация!AK10,Комплектация!AL10))/(Параметры!$B$13-Параметры!$B$14)*100))),(100-MAX(0,MIN(100,(Параметры!$B$13-MIN(Комплектация!AU10,Комплектация!AV10))/(Параметры!$B$13-Параметры!$B$14)*100))),(100-MAX(0,MIN(100,(Параметры!$B$13-MIN(Комплектация!BE10,Комплектация!BF10))/(Параметры!$B$13-Параметры!$B$14)*100))))</f>
        <v/>
      </c>
      <c r="O8" s="104">
        <f>AVERAGE(H8,L8)</f>
        <v/>
      </c>
      <c r="P8" s="105">
        <f>Параметры!$B$3*(Параметры!$B$5*H8+Параметры!$B$6*L8+Параметры!$B$7*N8+Параметры!$B$8*O8)/100</f>
        <v/>
      </c>
      <c r="Q8" s="106" t="n">
        <v>45750</v>
      </c>
      <c r="R8" s="106" t="n">
        <v>46480</v>
      </c>
      <c r="S8" s="104">
        <f>IF(OR(Q8="",R8="",R8=Q8),"",MAX(0,MIN(100,(Параметры!$B$2-Q8)/(R8-Q8)*100)))</f>
        <v/>
      </c>
      <c r="T8" s="103">
        <f>IF(ISNUMBER(Комплектация!P10),Комплектация!P10,"")</f>
        <v/>
      </c>
      <c r="U8" s="103">
        <f>IF(ISNUMBER(Комплектация!N10),Комплектация!N10,"")</f>
        <v/>
      </c>
      <c r="V8" s="104">
        <f>IF(OR(U8="",T8="",U8=0),"",MAX(0,MIN(100,(U8-T8)/U8*100)))</f>
        <v/>
      </c>
      <c r="W8" s="104">
        <f>MAX(IF(S8="",0,S8),IF(V8="",0,V8))</f>
        <v/>
      </c>
      <c r="X8" s="105">
        <f>Параметры!$B$18*W8/100</f>
        <v/>
      </c>
      <c r="Y8" s="103">
        <f>IF(MIN(Комплектация!AA10,Комплектация!AB10)-Параметры!$B$15&lt;Параметры!$B$16,1,0)+IF(MIN(Комплектация!AK10,Комплектация!AL10)-Параметры!$B$15&lt;Параметры!$B$16,1,0)+IF(MIN(Комплектация!AU10,Комплектация!AV10)-Параметры!$B$15&lt;Параметры!$B$16,1,0)+IF(MIN(Комплектация!BE10,Комплектация!BF10)-Параметры!$B$15&lt;Параметры!$B$16,1,0)</f>
        <v/>
      </c>
      <c r="Z8" s="105">
        <f>Y8*Параметры!$B$19</f>
        <v/>
      </c>
      <c r="AA8" s="107">
        <f>MAX(0,P8-X8-Z8)</f>
        <v/>
      </c>
      <c r="AB8" s="108">
        <f>SUMIFS(Прайс!$D$3:$D$11,Прайс!$A$3:$A$11,B8,Прайс!$B$3:$B$11,C8)</f>
        <v/>
      </c>
      <c r="AC8" s="105">
        <f>IF(AB8="","",AB8-AA8)</f>
        <v/>
      </c>
      <c r="AD8" s="109" t="n">
        <v>3176013.698630137</v>
      </c>
    </row>
    <row r="9">
      <c r="A9" s="101">
        <f>Комплектация!A11</f>
        <v/>
      </c>
      <c r="B9" s="101">
        <f>Комплектация!C11</f>
        <v/>
      </c>
      <c r="C9" s="102">
        <f>Комплектация!E11</f>
        <v/>
      </c>
      <c r="D9" s="103" t="n">
        <v>2043</v>
      </c>
      <c r="E9" s="103">
        <f>IF(D9="",Параметры!$B$11,MAX(1,D9-C9))</f>
        <v/>
      </c>
      <c r="F9" s="103">
        <f>MAX(0,YEAR(Параметры!$B$2)-C9)</f>
        <v/>
      </c>
      <c r="G9" s="104">
        <f>MIN(100,F9/E9*100)</f>
        <v/>
      </c>
      <c r="H9" s="104">
        <f>100-G9</f>
        <v/>
      </c>
      <c r="I9" s="103">
        <f>AVERAGE(Комплектация!BJ11,Комплектация!BP11,Комплектация!BV11,Комплектация!CB11,Комплектация!CH11,Комплектация!CN11)</f>
        <v/>
      </c>
      <c r="J9" s="103">
        <f>MAX(0,YEAR(Параметры!$B$2)-I9)</f>
        <v/>
      </c>
      <c r="K9" s="104">
        <f>MIN(100,J9/Параметры!$B$12*100)</f>
        <v/>
      </c>
      <c r="L9" s="104">
        <f>100-K9</f>
        <v/>
      </c>
      <c r="M9" s="103">
        <f>MIN(Комплектация!AA11,Комплектация!AB11,Комплектация!AK11,Комплектация!AL11,Комплектация!AU11,Комплектация!AV11,Комплектация!BE11,Комплектация!BF11)</f>
        <v/>
      </c>
      <c r="N9" s="104">
        <f>AVERAGE((100-MAX(0,MIN(100,(Параметры!$B$13-MIN(Комплектация!AA11,Комплектация!AB11))/(Параметры!$B$13-Параметры!$B$14)*100))),(100-MAX(0,MIN(100,(Параметры!$B$13-MIN(Комплектация!AK11,Комплектация!AL11))/(Параметры!$B$13-Параметры!$B$14)*100))),(100-MAX(0,MIN(100,(Параметры!$B$13-MIN(Комплектация!AU11,Комплектация!AV11))/(Параметры!$B$13-Параметры!$B$14)*100))),(100-MAX(0,MIN(100,(Параметры!$B$13-MIN(Комплектация!BE11,Комплектация!BF11))/(Параметры!$B$13-Параметры!$B$14)*100))))</f>
        <v/>
      </c>
      <c r="O9" s="104">
        <f>AVERAGE(H9,L9)</f>
        <v/>
      </c>
      <c r="P9" s="105">
        <f>Параметры!$B$3*(Параметры!$B$5*H9+Параметры!$B$6*L9+Параметры!$B$7*N9+Параметры!$B$8*O9)/100</f>
        <v/>
      </c>
      <c r="Q9" s="106" t="n">
        <v>46067</v>
      </c>
      <c r="R9" s="106" t="n">
        <v>46797</v>
      </c>
      <c r="S9" s="104">
        <f>IF(OR(Q9="",R9="",R9=Q9),"",MAX(0,MIN(100,(Параметры!$B$2-Q9)/(R9-Q9)*100)))</f>
        <v/>
      </c>
      <c r="T9" s="103">
        <f>IF(ISNUMBER(Комплектация!P11),Комплектация!P11,"")</f>
        <v/>
      </c>
      <c r="U9" s="103">
        <f>IF(ISNUMBER(Комплектация!N11),Комплектация!N11,"")</f>
        <v/>
      </c>
      <c r="V9" s="104">
        <f>IF(OR(U9="",T9="",U9=0),"",MAX(0,MIN(100,(U9-T9)/U9*100)))</f>
        <v/>
      </c>
      <c r="W9" s="104">
        <f>MAX(IF(S9="",0,S9),IF(V9="",0,V9))</f>
        <v/>
      </c>
      <c r="X9" s="105">
        <f>Параметры!$B$18*W9/100</f>
        <v/>
      </c>
      <c r="Y9" s="103">
        <f>IF(MIN(Комплектация!AA11,Комплектация!AB11)-Параметры!$B$15&lt;Параметры!$B$16,1,0)+IF(MIN(Комплектация!AK11,Комплектация!AL11)-Параметры!$B$15&lt;Параметры!$B$16,1,0)+IF(MIN(Комплектация!AU11,Комплектация!AV11)-Параметры!$B$15&lt;Параметры!$B$16,1,0)+IF(MIN(Комплектация!BE11,Комплектация!BF11)-Параметры!$B$15&lt;Параметры!$B$16,1,0)</f>
        <v/>
      </c>
      <c r="Z9" s="105">
        <f>Y9*Параметры!$B$19</f>
        <v/>
      </c>
      <c r="AA9" s="107">
        <f>MAX(0,P9-X9-Z9)</f>
        <v/>
      </c>
      <c r="AB9" s="108">
        <f>SUMIFS(Прайс!$D$3:$D$11,Прайс!$A$3:$A$11,B9,Прайс!$B$3:$B$11,C9)</f>
        <v/>
      </c>
      <c r="AC9" s="105">
        <f>IF(AB9="","",AB9-AA9)</f>
        <v/>
      </c>
      <c r="AD9" s="109" t="n">
        <v>3194844.606164383</v>
      </c>
    </row>
    <row r="10">
      <c r="A10" s="101">
        <f>Комплектация!A12</f>
        <v/>
      </c>
      <c r="B10" s="101">
        <f>Комплектация!C12</f>
        <v/>
      </c>
      <c r="C10" s="102">
        <f>Комплектация!E12</f>
        <v/>
      </c>
      <c r="D10" s="103" t="n">
        <v>2047</v>
      </c>
      <c r="E10" s="103">
        <f>IF(D10="",Параметры!$B$11,MAX(1,D10-C10))</f>
        <v/>
      </c>
      <c r="F10" s="103">
        <f>MAX(0,YEAR(Параметры!$B$2)-C10)</f>
        <v/>
      </c>
      <c r="G10" s="104">
        <f>MIN(100,F10/E10*100)</f>
        <v/>
      </c>
      <c r="H10" s="104">
        <f>100-G10</f>
        <v/>
      </c>
      <c r="I10" s="103">
        <f>AVERAGE(Комплектация!BJ12,Комплектация!BP12,Комплектация!BV12,Комплектация!CB12,Комплектация!CH12,Комплектация!CN12)</f>
        <v/>
      </c>
      <c r="J10" s="103">
        <f>MAX(0,YEAR(Параметры!$B$2)-I10)</f>
        <v/>
      </c>
      <c r="K10" s="104">
        <f>MIN(100,J10/Параметры!$B$12*100)</f>
        <v/>
      </c>
      <c r="L10" s="104">
        <f>100-K10</f>
        <v/>
      </c>
      <c r="M10" s="103">
        <f>MIN(Комплектация!AA12,Комплектация!AB12,Комплектация!AK12,Комплектация!AL12,Комплектация!AU12,Комплектация!AV12,Комплектация!BE12,Комплектация!BF12)</f>
        <v/>
      </c>
      <c r="N10" s="104">
        <f>AVERAGE((100-MAX(0,MIN(100,(Параметры!$B$13-MIN(Комплектация!AA12,Комплектация!AB12))/(Параметры!$B$13-Параметры!$B$14)*100))),(100-MAX(0,MIN(100,(Параметры!$B$13-MIN(Комплектация!AK12,Комплектация!AL12))/(Параметры!$B$13-Параметры!$B$14)*100))),(100-MAX(0,MIN(100,(Параметры!$B$13-MIN(Комплектация!AU12,Комплектация!AV12))/(Параметры!$B$13-Параметры!$B$14)*100))),(100-MAX(0,MIN(100,(Параметры!$B$13-MIN(Комплектация!BE12,Комплектация!BF12))/(Параметры!$B$13-Параметры!$B$14)*100))))</f>
        <v/>
      </c>
      <c r="O10" s="104">
        <f>AVERAGE(H10,L10)</f>
        <v/>
      </c>
      <c r="P10" s="105">
        <f>Параметры!$B$3*(Параметры!$B$5*H10+Параметры!$B$6*L10+Параметры!$B$7*N10+Параметры!$B$8*O10)/100</f>
        <v/>
      </c>
      <c r="Q10" s="106" t="n">
        <v>45889</v>
      </c>
      <c r="R10" s="106" t="n">
        <v>46985</v>
      </c>
      <c r="S10" s="104">
        <f>IF(OR(Q10="",R10="",R10=Q10),"",MAX(0,MIN(100,(Параметры!$B$2-Q10)/(R10-Q10)*100)))</f>
        <v/>
      </c>
      <c r="T10" s="103">
        <f>IF(ISNUMBER(Комплектация!P12),Комплектация!P12,"")</f>
        <v/>
      </c>
      <c r="U10" s="103">
        <f>IF(ISNUMBER(Комплектация!N12),Комплектация!N12,"")</f>
        <v/>
      </c>
      <c r="V10" s="104">
        <f>IF(OR(U10="",T10="",U10=0),"",MAX(0,MIN(100,(U10-T10)/U10*100)))</f>
        <v/>
      </c>
      <c r="W10" s="104">
        <f>MAX(IF(S10="",0,S10),IF(V10="",0,V10))</f>
        <v/>
      </c>
      <c r="X10" s="105">
        <f>Параметры!$B$18*W10/100</f>
        <v/>
      </c>
      <c r="Y10" s="103">
        <f>IF(MIN(Комплектация!AA12,Комплектация!AB12)-Параметры!$B$15&lt;Параметры!$B$16,1,0)+IF(MIN(Комплектация!AK12,Комплектация!AL12)-Параметры!$B$15&lt;Параметры!$B$16,1,0)+IF(MIN(Комплектация!AU12,Комплектация!AV12)-Параметры!$B$15&lt;Параметры!$B$16,1,0)+IF(MIN(Комплектация!BE12,Комплектация!BF12)-Параметры!$B$15&lt;Параметры!$B$16,1,0)</f>
        <v/>
      </c>
      <c r="Z10" s="105">
        <f>Y10*Параметры!$B$19</f>
        <v/>
      </c>
      <c r="AA10" s="107">
        <f>MAX(0,P10-X10-Z10)</f>
        <v/>
      </c>
      <c r="AB10" s="108">
        <f>SUMIFS(Прайс!$D$3:$D$11,Прайс!$A$3:$A$11,B10,Прайс!$B$3:$B$11,C10)</f>
        <v/>
      </c>
      <c r="AC10" s="105">
        <f>IF(AB10="","",AB10-AA10)</f>
        <v/>
      </c>
      <c r="AD10" s="109" t="n">
        <v>3394224.224452555</v>
      </c>
    </row>
    <row r="11">
      <c r="A11" s="101">
        <f>Комплектация!A13</f>
        <v/>
      </c>
      <c r="B11" s="101">
        <f>Комплектация!C13</f>
        <v/>
      </c>
      <c r="C11" s="102">
        <f>Комплектация!E13</f>
        <v/>
      </c>
      <c r="D11" s="103" t="n">
        <v>2043</v>
      </c>
      <c r="E11" s="103">
        <f>IF(D11="",Параметры!$B$11,MAX(1,D11-C11))</f>
        <v/>
      </c>
      <c r="F11" s="103">
        <f>MAX(0,YEAR(Параметры!$B$2)-C11)</f>
        <v/>
      </c>
      <c r="G11" s="104">
        <f>MIN(100,F11/E11*100)</f>
        <v/>
      </c>
      <c r="H11" s="104">
        <f>100-G11</f>
        <v/>
      </c>
      <c r="I11" s="103">
        <f>AVERAGE(Комплектация!BJ13,Комплектация!BP13,Комплектация!BV13,Комплектация!CB13,Комплектация!CH13,Комплектация!CN13)</f>
        <v/>
      </c>
      <c r="J11" s="103">
        <f>MAX(0,YEAR(Параметры!$B$2)-I11)</f>
        <v/>
      </c>
      <c r="K11" s="104">
        <f>MIN(100,J11/Параметры!$B$12*100)</f>
        <v/>
      </c>
      <c r="L11" s="104">
        <f>100-K11</f>
        <v/>
      </c>
      <c r="M11" s="103">
        <f>MIN(Комплектация!AA13,Комплектация!AB13,Комплектация!AK13,Комплектация!AL13,Комплектация!AU13,Комплектация!AV13,Комплектация!BE13,Комплектация!BF13)</f>
        <v/>
      </c>
      <c r="N11" s="104">
        <f>AVERAGE((100-MAX(0,MIN(100,(Параметры!$B$13-MIN(Комплектация!AA13,Комплектация!AB13))/(Параметры!$B$13-Параметры!$B$14)*100))),(100-MAX(0,MIN(100,(Параметры!$B$13-MIN(Комплектация!AK13,Комплектация!AL13))/(Параметры!$B$13-Параметры!$B$14)*100))),(100-MAX(0,MIN(100,(Параметры!$B$13-MIN(Комплектация!AU13,Комплектация!AV13))/(Параметры!$B$13-Параметры!$B$14)*100))),(100-MAX(0,MIN(100,(Параметры!$B$13-MIN(Комплектация!BE13,Комплектация!BF13))/(Параметры!$B$13-Параметры!$B$14)*100))))</f>
        <v/>
      </c>
      <c r="O11" s="104">
        <f>AVERAGE(H11,L11)</f>
        <v/>
      </c>
      <c r="P11" s="105">
        <f>Параметры!$B$3*(Параметры!$B$5*H11+Параметры!$B$6*L11+Параметры!$B$7*N11+Параметры!$B$8*O11)/100</f>
        <v/>
      </c>
      <c r="Q11" s="106" t="n">
        <v>45890</v>
      </c>
      <c r="R11" s="106" t="n">
        <v>46986</v>
      </c>
      <c r="S11" s="104">
        <f>IF(OR(Q11="",R11="",R11=Q11),"",MAX(0,MIN(100,(Параметры!$B$2-Q11)/(R11-Q11)*100)))</f>
        <v/>
      </c>
      <c r="T11" s="103">
        <f>IF(ISNUMBER(Комплектация!P13),Комплектация!P13,"")</f>
        <v/>
      </c>
      <c r="U11" s="103">
        <f>IF(ISNUMBER(Комплектация!N13),Комплектация!N13,"")</f>
        <v/>
      </c>
      <c r="V11" s="104">
        <f>IF(OR(U11="",T11="",U11=0),"",MAX(0,MIN(100,(U11-T11)/U11*100)))</f>
        <v/>
      </c>
      <c r="W11" s="104">
        <f>MAX(IF(S11="",0,S11),IF(V11="",0,V11))</f>
        <v/>
      </c>
      <c r="X11" s="105">
        <f>Параметры!$B$18*W11/100</f>
        <v/>
      </c>
      <c r="Y11" s="103">
        <f>IF(MIN(Комплектация!AA13,Комплектация!AB13)-Параметры!$B$15&lt;Параметры!$B$16,1,0)+IF(MIN(Комплектация!AK13,Комплектация!AL13)-Параметры!$B$15&lt;Параметры!$B$16,1,0)+IF(MIN(Комплектация!AU13,Комплектация!AV13)-Параметры!$B$15&lt;Параметры!$B$16,1,0)+IF(MIN(Комплектация!BE13,Комплектация!BF13)-Параметры!$B$15&lt;Параметры!$B$16,1,0)</f>
        <v/>
      </c>
      <c r="Z11" s="105">
        <f>Y11*Параметры!$B$19</f>
        <v/>
      </c>
      <c r="AA11" s="107">
        <f>MAX(0,P11-X11-Z11)</f>
        <v/>
      </c>
      <c r="AB11" s="108">
        <f>SUMIFS(Прайс!$D$3:$D$11,Прайс!$A$3:$A$11,B11,Прайс!$B$3:$B$11,C11)</f>
        <v/>
      </c>
      <c r="AC11" s="105">
        <f>IF(AB11="","",AB11-AA11)</f>
        <v/>
      </c>
      <c r="AD11" s="109" t="n">
        <v>3092398.494525548</v>
      </c>
    </row>
    <row r="12">
      <c r="A12" s="101">
        <f>Комплектация!A14</f>
        <v/>
      </c>
      <c r="B12" s="101">
        <f>Комплектация!C14</f>
        <v/>
      </c>
      <c r="C12" s="102">
        <f>Комплектация!E14</f>
        <v/>
      </c>
      <c r="D12" s="103" t="n">
        <v>2047</v>
      </c>
      <c r="E12" s="103">
        <f>IF(D12="",Параметры!$B$11,MAX(1,D12-C12))</f>
        <v/>
      </c>
      <c r="F12" s="103">
        <f>MAX(0,YEAR(Параметры!$B$2)-C12)</f>
        <v/>
      </c>
      <c r="G12" s="104">
        <f>MIN(100,F12/E12*100)</f>
        <v/>
      </c>
      <c r="H12" s="104">
        <f>100-G12</f>
        <v/>
      </c>
      <c r="I12" s="103">
        <f>AVERAGE(Комплектация!BJ14,Комплектация!BP14,Комплектация!BV14,Комплектация!CB14,Комплектация!CH14,Комплектация!CN14)</f>
        <v/>
      </c>
      <c r="J12" s="103">
        <f>MAX(0,YEAR(Параметры!$B$2)-I12)</f>
        <v/>
      </c>
      <c r="K12" s="104">
        <f>MIN(100,J12/Параметры!$B$12*100)</f>
        <v/>
      </c>
      <c r="L12" s="104">
        <f>100-K12</f>
        <v/>
      </c>
      <c r="M12" s="103">
        <f>MIN(Комплектация!AA14,Комплектация!AB14,Комплектация!AK14,Комплектация!AL14,Комплектация!AU14,Комплектация!AV14,Комплектация!BE14,Комплектация!BF14)</f>
        <v/>
      </c>
      <c r="N12" s="104">
        <f>AVERAGE((100-MAX(0,MIN(100,(Параметры!$B$13-MIN(Комплектация!AA14,Комплектация!AB14))/(Параметры!$B$13-Параметры!$B$14)*100))),(100-MAX(0,MIN(100,(Параметры!$B$13-MIN(Комплектация!AK14,Комплектация!AL14))/(Параметры!$B$13-Параметры!$B$14)*100))),(100-MAX(0,MIN(100,(Параметры!$B$13-MIN(Комплектация!AU14,Комплектация!AV14))/(Параметры!$B$13-Параметры!$B$14)*100))),(100-MAX(0,MIN(100,(Параметры!$B$13-MIN(Комплектация!BE14,Комплектация!BF14))/(Параметры!$B$13-Параметры!$B$14)*100))))</f>
        <v/>
      </c>
      <c r="O12" s="104">
        <f>AVERAGE(H12,L12)</f>
        <v/>
      </c>
      <c r="P12" s="105">
        <f>Параметры!$B$3*(Параметры!$B$5*H12+Параметры!$B$6*L12+Параметры!$B$7*N12+Параметры!$B$8*O12)/100</f>
        <v/>
      </c>
      <c r="Q12" s="106" t="n">
        <v>45889</v>
      </c>
      <c r="R12" s="106" t="n">
        <v>46985</v>
      </c>
      <c r="S12" s="104">
        <f>IF(OR(Q12="",R12="",R12=Q12),"",MAX(0,MIN(100,(Параметры!$B$2-Q12)/(R12-Q12)*100)))</f>
        <v/>
      </c>
      <c r="T12" s="103">
        <f>IF(ISNUMBER(Комплектация!P14),Комплектация!P14,"")</f>
        <v/>
      </c>
      <c r="U12" s="103">
        <f>IF(ISNUMBER(Комплектация!N14),Комплектация!N14,"")</f>
        <v/>
      </c>
      <c r="V12" s="104">
        <f>IF(OR(U12="",T12="",U12=0),"",MAX(0,MIN(100,(U12-T12)/U12*100)))</f>
        <v/>
      </c>
      <c r="W12" s="104">
        <f>MAX(IF(S12="",0,S12),IF(V12="",0,V12))</f>
        <v/>
      </c>
      <c r="X12" s="105">
        <f>Параметры!$B$18*W12/100</f>
        <v/>
      </c>
      <c r="Y12" s="103">
        <f>IF(MIN(Комплектация!AA14,Комплектация!AB14)-Параметры!$B$15&lt;Параметры!$B$16,1,0)+IF(MIN(Комплектация!AK14,Комплектация!AL14)-Параметры!$B$15&lt;Параметры!$B$16,1,0)+IF(MIN(Комплектация!AU14,Комплектация!AV14)-Параметры!$B$15&lt;Параметры!$B$16,1,0)+IF(MIN(Комплектация!BE14,Комплектация!BF14)-Параметры!$B$15&lt;Параметры!$B$16,1,0)</f>
        <v/>
      </c>
      <c r="Z12" s="105">
        <f>Y12*Параметры!$B$19</f>
        <v/>
      </c>
      <c r="AA12" s="107">
        <f>MAX(0,P12-X12-Z12)</f>
        <v/>
      </c>
      <c r="AB12" s="108">
        <f>SUMIFS(Прайс!$D$3:$D$11,Прайс!$A$3:$A$11,B12,Прайс!$B$3:$B$11,C12)</f>
        <v/>
      </c>
      <c r="AC12" s="105">
        <f>IF(AB12="","",AB12-AA12)</f>
        <v/>
      </c>
      <c r="AD12" s="109" t="n">
        <v>1813224.224452555</v>
      </c>
    </row>
    <row r="13">
      <c r="A13" s="101">
        <f>Комплектация!A15</f>
        <v/>
      </c>
      <c r="B13" s="101">
        <f>Комплектация!C15</f>
        <v/>
      </c>
      <c r="C13" s="102">
        <f>Комплектация!E15</f>
        <v/>
      </c>
      <c r="D13" s="103" t="n">
        <v>2043</v>
      </c>
      <c r="E13" s="103">
        <f>IF(D13="",Параметры!$B$11,MAX(1,D13-C13))</f>
        <v/>
      </c>
      <c r="F13" s="103">
        <f>MAX(0,YEAR(Параметры!$B$2)-C13)</f>
        <v/>
      </c>
      <c r="G13" s="104">
        <f>MIN(100,F13/E13*100)</f>
        <v/>
      </c>
      <c r="H13" s="104">
        <f>100-G13</f>
        <v/>
      </c>
      <c r="I13" s="103">
        <f>AVERAGE(Комплектация!BJ15,Комплектация!BP15,Комплектация!BV15,Комплектация!CB15,Комплектация!CH15,Комплектация!CN15)</f>
        <v/>
      </c>
      <c r="J13" s="103">
        <f>MAX(0,YEAR(Параметры!$B$2)-I13)</f>
        <v/>
      </c>
      <c r="K13" s="104">
        <f>MIN(100,J13/Параметры!$B$12*100)</f>
        <v/>
      </c>
      <c r="L13" s="104">
        <f>100-K13</f>
        <v/>
      </c>
      <c r="M13" s="103">
        <f>MIN(Комплектация!AA15,Комплектация!AB15,Комплектация!AK15,Комплектация!AL15,Комплектация!AU15,Комплектация!AV15,Комплектация!BE15,Комплектация!BF15)</f>
        <v/>
      </c>
      <c r="N13" s="104">
        <f>AVERAGE((100-MAX(0,MIN(100,(Параметры!$B$13-MIN(Комплектация!AA15,Комплектация!AB15))/(Параметры!$B$13-Параметры!$B$14)*100))),(100-MAX(0,MIN(100,(Параметры!$B$13-MIN(Комплектация!AK15,Комплектация!AL15))/(Параметры!$B$13-Параметры!$B$14)*100))),(100-MAX(0,MIN(100,(Параметры!$B$13-MIN(Комплектация!AU15,Комплектация!AV15))/(Параметры!$B$13-Параметры!$B$14)*100))),(100-MAX(0,MIN(100,(Параметры!$B$13-MIN(Комплектация!BE15,Комплектация!BF15))/(Параметры!$B$13-Параметры!$B$14)*100))))</f>
        <v/>
      </c>
      <c r="O13" s="104">
        <f>AVERAGE(H13,L13)</f>
        <v/>
      </c>
      <c r="P13" s="105">
        <f>Параметры!$B$3*(Параметры!$B$5*H13+Параметры!$B$6*L13+Параметры!$B$7*N13+Параметры!$B$8*O13)/100</f>
        <v/>
      </c>
      <c r="Q13" s="106" t="n">
        <v>45891</v>
      </c>
      <c r="R13" s="106" t="n">
        <v>46987</v>
      </c>
      <c r="S13" s="104">
        <f>IF(OR(Q13="",R13="",R13=Q13),"",MAX(0,MIN(100,(Параметры!$B$2-Q13)/(R13-Q13)*100)))</f>
        <v/>
      </c>
      <c r="T13" s="103">
        <f>IF(ISNUMBER(Комплектация!P15),Комплектация!P15,"")</f>
        <v/>
      </c>
      <c r="U13" s="103">
        <f>IF(ISNUMBER(Комплектация!N15),Комплектация!N15,"")</f>
        <v/>
      </c>
      <c r="V13" s="104">
        <f>IF(OR(U13="",T13="",U13=0),"",MAX(0,MIN(100,(U13-T13)/U13*100)))</f>
        <v/>
      </c>
      <c r="W13" s="104">
        <f>MAX(IF(S13="",0,S13),IF(V13="",0,V13))</f>
        <v/>
      </c>
      <c r="X13" s="105">
        <f>Параметры!$B$18*W13/100</f>
        <v/>
      </c>
      <c r="Y13" s="103">
        <f>IF(MIN(Комплектация!AA15,Комплектация!AB15)-Параметры!$B$15&lt;Параметры!$B$16,1,0)+IF(MIN(Комплектация!AK15,Комплектация!AL15)-Параметры!$B$15&lt;Параметры!$B$16,1,0)+IF(MIN(Комплектация!AU15,Комплектация!AV15)-Параметры!$B$15&lt;Параметры!$B$16,1,0)+IF(MIN(Комплектация!BE15,Комплектация!BF15)-Параметры!$B$15&lt;Параметры!$B$16,1,0)</f>
        <v/>
      </c>
      <c r="Z13" s="105">
        <f>Y13*Параметры!$B$19</f>
        <v/>
      </c>
      <c r="AA13" s="107">
        <f>MAX(0,P13-X13-Z13)</f>
        <v/>
      </c>
      <c r="AB13" s="108">
        <f>SUMIFS(Прайс!$D$3:$D$11,Прайс!$A$3:$A$11,B13,Прайс!$B$3:$B$11,C13)</f>
        <v/>
      </c>
      <c r="AC13" s="105">
        <f>IF(AB13="","",AB13-AA13)</f>
        <v/>
      </c>
      <c r="AD13" s="109" t="n">
        <v>3104447.76459854</v>
      </c>
    </row>
    <row r="14">
      <c r="A14" s="101">
        <f>Комплектация!A16</f>
        <v/>
      </c>
      <c r="B14" s="101">
        <f>Комплектация!C16</f>
        <v/>
      </c>
      <c r="C14" s="102">
        <f>Комплектация!E16</f>
        <v/>
      </c>
      <c r="D14" s="103" t="n">
        <v>2044</v>
      </c>
      <c r="E14" s="103">
        <f>IF(D14="",Параметры!$B$11,MAX(1,D14-C14))</f>
        <v/>
      </c>
      <c r="F14" s="103">
        <f>MAX(0,YEAR(Параметры!$B$2)-C14)</f>
        <v/>
      </c>
      <c r="G14" s="104">
        <f>MIN(100,F14/E14*100)</f>
        <v/>
      </c>
      <c r="H14" s="104">
        <f>100-G14</f>
        <v/>
      </c>
      <c r="I14" s="103">
        <f>AVERAGE(Комплектация!BJ16,Комплектация!BP16,Комплектация!BV16,Комплектация!CB16,Комплектация!CH16,Комплектация!CN16)</f>
        <v/>
      </c>
      <c r="J14" s="103">
        <f>MAX(0,YEAR(Параметры!$B$2)-I14)</f>
        <v/>
      </c>
      <c r="K14" s="104">
        <f>MIN(100,J14/Параметры!$B$12*100)</f>
        <v/>
      </c>
      <c r="L14" s="104">
        <f>100-K14</f>
        <v/>
      </c>
      <c r="M14" s="103">
        <f>MIN(Комплектация!AA16,Комплектация!AB16,Комплектация!AK16,Комплектация!AL16,Комплектация!AU16,Комплектация!AV16,Комплектация!BE16,Комплектация!BF16)</f>
        <v/>
      </c>
      <c r="N14" s="104">
        <f>AVERAGE((100-MAX(0,MIN(100,(Параметры!$B$13-MIN(Комплектация!AA16,Комплектация!AB16))/(Параметры!$B$13-Параметры!$B$14)*100))),(100-MAX(0,MIN(100,(Параметры!$B$13-MIN(Комплектация!AK16,Комплектация!AL16))/(Параметры!$B$13-Параметры!$B$14)*100))),(100-MAX(0,MIN(100,(Параметры!$B$13-MIN(Комплектация!AU16,Комплектация!AV16))/(Параметры!$B$13-Параметры!$B$14)*100))),(100-MAX(0,MIN(100,(Параметры!$B$13-MIN(Комплектация!BE16,Комплектация!BF16))/(Параметры!$B$13-Параметры!$B$14)*100))))</f>
        <v/>
      </c>
      <c r="O14" s="104">
        <f>AVERAGE(H14,L14)</f>
        <v/>
      </c>
      <c r="P14" s="105">
        <f>Параметры!$B$3*(Параметры!$B$5*H14+Параметры!$B$6*L14+Параметры!$B$7*N14+Параметры!$B$8*O14)/100</f>
        <v/>
      </c>
      <c r="Q14" s="106" t="n">
        <v>45923</v>
      </c>
      <c r="R14" s="106" t="n">
        <v>47019</v>
      </c>
      <c r="S14" s="104">
        <f>IF(OR(Q14="",R14="",R14=Q14),"",MAX(0,MIN(100,(Параметры!$B$2-Q14)/(R14-Q14)*100)))</f>
        <v/>
      </c>
      <c r="T14" s="103">
        <f>IF(ISNUMBER(Комплектация!P16),Комплектация!P16,"")</f>
        <v/>
      </c>
      <c r="U14" s="103">
        <f>IF(ISNUMBER(Комплектация!N16),Комплектация!N16,"")</f>
        <v/>
      </c>
      <c r="V14" s="104">
        <f>IF(OR(U14="",T14="",U14=0),"",MAX(0,MIN(100,(U14-T14)/U14*100)))</f>
        <v/>
      </c>
      <c r="W14" s="104">
        <f>MAX(IF(S14="",0,S14),IF(V14="",0,V14))</f>
        <v/>
      </c>
      <c r="X14" s="105">
        <f>Параметры!$B$18*W14/100</f>
        <v/>
      </c>
      <c r="Y14" s="103">
        <f>IF(MIN(Комплектация!AA16,Комплектация!AB16)-Параметры!$B$15&lt;Параметры!$B$16,1,0)+IF(MIN(Комплектация!AK16,Комплектация!AL16)-Параметры!$B$15&lt;Параметры!$B$16,1,0)+IF(MIN(Комплектация!AU16,Комплектация!AV16)-Параметры!$B$15&lt;Параметры!$B$16,1,0)+IF(MIN(Комплектация!BE16,Комплектация!BF16)-Параметры!$B$15&lt;Параметры!$B$16,1,0)</f>
        <v/>
      </c>
      <c r="Z14" s="105">
        <f>Y14*Параметры!$B$19</f>
        <v/>
      </c>
      <c r="AA14" s="107">
        <f>MAX(0,P14-X14-Z14)</f>
        <v/>
      </c>
      <c r="AB14" s="108">
        <f>SUMIFS(Прайс!$D$3:$D$11,Прайс!$A$3:$A$11,B14,Прайс!$B$3:$B$11,C14)</f>
        <v/>
      </c>
      <c r="AC14" s="105">
        <f>IF(AB14="","",AB14-AA14)</f>
        <v/>
      </c>
      <c r="AD14" s="109" t="n">
        <v>3161618.156934306</v>
      </c>
    </row>
    <row r="15">
      <c r="A15" s="101">
        <f>Комплектация!A17</f>
        <v/>
      </c>
      <c r="B15" s="101">
        <f>Комплектация!C17</f>
        <v/>
      </c>
      <c r="C15" s="102">
        <f>Комплектация!E17</f>
        <v/>
      </c>
      <c r="D15" s="103" t="n">
        <v>2047</v>
      </c>
      <c r="E15" s="103">
        <f>IF(D15="",Параметры!$B$11,MAX(1,D15-C15))</f>
        <v/>
      </c>
      <c r="F15" s="103">
        <f>MAX(0,YEAR(Параметры!$B$2)-C15)</f>
        <v/>
      </c>
      <c r="G15" s="104">
        <f>MIN(100,F15/E15*100)</f>
        <v/>
      </c>
      <c r="H15" s="104">
        <f>100-G15</f>
        <v/>
      </c>
      <c r="I15" s="103">
        <f>AVERAGE(Комплектация!BJ17,Комплектация!BP17,Комплектация!BV17,Комплектация!CB17,Комплектация!CH17,Комплектация!CN17)</f>
        <v/>
      </c>
      <c r="J15" s="103">
        <f>MAX(0,YEAR(Параметры!$B$2)-I15)</f>
        <v/>
      </c>
      <c r="K15" s="104">
        <f>MIN(100,J15/Параметры!$B$12*100)</f>
        <v/>
      </c>
      <c r="L15" s="104">
        <f>100-K15</f>
        <v/>
      </c>
      <c r="M15" s="103">
        <f>MIN(Комплектация!AA17,Комплектация!AB17,Комплектация!AK17,Комплектация!AL17,Комплектация!AU17,Комплектация!AV17,Комплектация!BE17,Комплектация!BF17)</f>
        <v/>
      </c>
      <c r="N15" s="104">
        <f>AVERAGE((100-MAX(0,MIN(100,(Параметры!$B$13-MIN(Комплектация!AA17,Комплектация!AB17))/(Параметры!$B$13-Параметры!$B$14)*100))),(100-MAX(0,MIN(100,(Параметры!$B$13-MIN(Комплектация!AK17,Комплектация!AL17))/(Параметры!$B$13-Параметры!$B$14)*100))),(100-MAX(0,MIN(100,(Параметры!$B$13-MIN(Комплектация!AU17,Комплектация!AV17))/(Параметры!$B$13-Параметры!$B$14)*100))),(100-MAX(0,MIN(100,(Параметры!$B$13-MIN(Комплектация!BE17,Комплектация!BF17))/(Параметры!$B$13-Параметры!$B$14)*100))))</f>
        <v/>
      </c>
      <c r="O15" s="104">
        <f>AVERAGE(H15,L15)</f>
        <v/>
      </c>
      <c r="P15" s="105">
        <f>Параметры!$B$3*(Параметры!$B$5*H15+Параметры!$B$6*L15+Параметры!$B$7*N15+Параметры!$B$8*O15)/100</f>
        <v/>
      </c>
      <c r="Q15" s="106" t="n">
        <v>45893</v>
      </c>
      <c r="R15" s="106" t="n">
        <v>46989</v>
      </c>
      <c r="S15" s="104">
        <f>IF(OR(Q15="",R15="",R15=Q15),"",MAX(0,MIN(100,(Параметры!$B$2-Q15)/(R15-Q15)*100)))</f>
        <v/>
      </c>
      <c r="T15" s="103">
        <f>IF(ISNUMBER(Комплектация!P17),Комплектация!P17,"")</f>
        <v/>
      </c>
      <c r="U15" s="103">
        <f>IF(ISNUMBER(Комплектация!N17),Комплектация!N17,"")</f>
        <v/>
      </c>
      <c r="V15" s="104">
        <f>IF(OR(U15="",T15="",U15=0),"",MAX(0,MIN(100,(U15-T15)/U15*100)))</f>
        <v/>
      </c>
      <c r="W15" s="104">
        <f>MAX(IF(S15="",0,S15),IF(V15="",0,V15))</f>
        <v/>
      </c>
      <c r="X15" s="105">
        <f>Параметры!$B$18*W15/100</f>
        <v/>
      </c>
      <c r="Y15" s="103">
        <f>IF(MIN(Комплектация!AA17,Комплектация!AB17)-Параметры!$B$15&lt;Параметры!$B$16,1,0)+IF(MIN(Комплектация!AK17,Комплектация!AL17)-Параметры!$B$15&lt;Параметры!$B$16,1,0)+IF(MIN(Комплектация!AU17,Комплектация!AV17)-Параметры!$B$15&lt;Параметры!$B$16,1,0)+IF(MIN(Комплектация!BE17,Комплектация!BF17)-Параметры!$B$15&lt;Параметры!$B$16,1,0)</f>
        <v/>
      </c>
      <c r="Z15" s="105">
        <f>Y15*Параметры!$B$19</f>
        <v/>
      </c>
      <c r="AA15" s="107">
        <f>MAX(0,P15-X15-Z15)</f>
        <v/>
      </c>
      <c r="AB15" s="108">
        <f>SUMIFS(Прайс!$D$3:$D$11,Прайс!$A$3:$A$11,B15,Прайс!$B$3:$B$11,C15)</f>
        <v/>
      </c>
      <c r="AC15" s="105">
        <f>IF(AB15="","",AB15-AA15)</f>
        <v/>
      </c>
      <c r="AD15" s="109" t="n">
        <v>3175046.304744525</v>
      </c>
    </row>
    <row r="16">
      <c r="A16" s="101">
        <f>Комплектация!A18</f>
        <v/>
      </c>
      <c r="B16" s="101">
        <f>Комплектация!C18</f>
        <v/>
      </c>
      <c r="C16" s="102">
        <f>Комплектация!E18</f>
        <v/>
      </c>
      <c r="D16" s="103" t="n">
        <v>2044</v>
      </c>
      <c r="E16" s="103">
        <f>IF(D16="",Параметры!$B$11,MAX(1,D16-C16))</f>
        <v/>
      </c>
      <c r="F16" s="103">
        <f>MAX(0,YEAR(Параметры!$B$2)-C16)</f>
        <v/>
      </c>
      <c r="G16" s="104">
        <f>MIN(100,F16/E16*100)</f>
        <v/>
      </c>
      <c r="H16" s="104">
        <f>100-G16</f>
        <v/>
      </c>
      <c r="I16" s="103">
        <f>AVERAGE(Комплектация!BJ18,Комплектация!BP18,Комплектация!BV18,Комплектация!CB18,Комплектация!CH18,Комплектация!CN18)</f>
        <v/>
      </c>
      <c r="J16" s="103">
        <f>MAX(0,YEAR(Параметры!$B$2)-I16)</f>
        <v/>
      </c>
      <c r="K16" s="104">
        <f>MIN(100,J16/Параметры!$B$12*100)</f>
        <v/>
      </c>
      <c r="L16" s="104">
        <f>100-K16</f>
        <v/>
      </c>
      <c r="M16" s="103">
        <f>MIN(Комплектация!AA18,Комплектация!AB18,Комплектация!AK18,Комплектация!AL18,Комплектация!AU18,Комплектация!AV18,Комплектация!BE18,Комплектация!BF18)</f>
        <v/>
      </c>
      <c r="N16" s="104">
        <f>AVERAGE((100-MAX(0,MIN(100,(Параметры!$B$13-MIN(Комплектация!AA18,Комплектация!AB18))/(Параметры!$B$13-Параметры!$B$14)*100))),(100-MAX(0,MIN(100,(Параметры!$B$13-MIN(Комплектация!AK18,Комплектация!AL18))/(Параметры!$B$13-Параметры!$B$14)*100))),(100-MAX(0,MIN(100,(Параметры!$B$13-MIN(Комплектация!AU18,Комплектация!AV18))/(Параметры!$B$13-Параметры!$B$14)*100))),(100-MAX(0,MIN(100,(Параметры!$B$13-MIN(Комплектация!BE18,Комплектация!BF18))/(Параметры!$B$13-Параметры!$B$14)*100))))</f>
        <v/>
      </c>
      <c r="O16" s="104">
        <f>AVERAGE(H16,L16)</f>
        <v/>
      </c>
      <c r="P16" s="105">
        <f>Параметры!$B$3*(Параметры!$B$5*H16+Параметры!$B$6*L16+Параметры!$B$7*N16+Параметры!$B$8*O16)/100</f>
        <v/>
      </c>
      <c r="Q16" s="106" t="n">
        <v>45890</v>
      </c>
      <c r="R16" s="106" t="n">
        <v>46986</v>
      </c>
      <c r="S16" s="104">
        <f>IF(OR(Q16="",R16="",R16=Q16),"",MAX(0,MIN(100,(Параметры!$B$2-Q16)/(R16-Q16)*100)))</f>
        <v/>
      </c>
      <c r="T16" s="103">
        <f>IF(ISNUMBER(Комплектация!P18),Комплектация!P18,"")</f>
        <v/>
      </c>
      <c r="U16" s="103">
        <f>IF(ISNUMBER(Комплектация!N18),Комплектация!N18,"")</f>
        <v/>
      </c>
      <c r="V16" s="104">
        <f>IF(OR(U16="",T16="",U16=0),"",MAX(0,MIN(100,(U16-T16)/U16*100)))</f>
        <v/>
      </c>
      <c r="W16" s="104">
        <f>MAX(IF(S16="",0,S16),IF(V16="",0,V16))</f>
        <v/>
      </c>
      <c r="X16" s="105">
        <f>Параметры!$B$18*W16/100</f>
        <v/>
      </c>
      <c r="Y16" s="103">
        <f>IF(MIN(Комплектация!AA18,Комплектация!AB18)-Параметры!$B$15&lt;Параметры!$B$16,1,0)+IF(MIN(Комплектация!AK18,Комплектация!AL18)-Параметры!$B$15&lt;Параметры!$B$16,1,0)+IF(MIN(Комплектация!AU18,Комплектация!AV18)-Параметры!$B$15&lt;Параметры!$B$16,1,0)+IF(MIN(Комплектация!BE18,Комплектация!BF18)-Параметры!$B$15&lt;Параметры!$B$16,1,0)</f>
        <v/>
      </c>
      <c r="Z16" s="105">
        <f>Y16*Параметры!$B$19</f>
        <v/>
      </c>
      <c r="AA16" s="107">
        <f>MAX(0,P16-X16-Z16)</f>
        <v/>
      </c>
      <c r="AB16" s="108">
        <f>SUMIFS(Прайс!$D$3:$D$11,Прайс!$A$3:$A$11,B16,Прайс!$B$3:$B$11,C16)</f>
        <v/>
      </c>
      <c r="AC16" s="105">
        <f>IF(AB16="","",AB16-AA16)</f>
        <v/>
      </c>
      <c r="AD16" s="109" t="n">
        <v>3013929.744525548</v>
      </c>
    </row>
    <row r="17">
      <c r="A17" s="101">
        <f>Комплектация!A19</f>
        <v/>
      </c>
      <c r="B17" s="101">
        <f>Комплектация!C19</f>
        <v/>
      </c>
      <c r="C17" s="102">
        <f>Комплектация!E19</f>
        <v/>
      </c>
      <c r="D17" s="103" t="n">
        <v>2043</v>
      </c>
      <c r="E17" s="103">
        <f>IF(D17="",Параметры!$B$11,MAX(1,D17-C17))</f>
        <v/>
      </c>
      <c r="F17" s="103">
        <f>MAX(0,YEAR(Параметры!$B$2)-C17)</f>
        <v/>
      </c>
      <c r="G17" s="104">
        <f>MIN(100,F17/E17*100)</f>
        <v/>
      </c>
      <c r="H17" s="104">
        <f>100-G17</f>
        <v/>
      </c>
      <c r="I17" s="103">
        <f>AVERAGE(Комплектация!BJ19,Комплектация!BP19,Комплектация!BV19,Комплектация!CB19,Комплектация!CH19,Комплектация!CN19)</f>
        <v/>
      </c>
      <c r="J17" s="103">
        <f>MAX(0,YEAR(Параметры!$B$2)-I17)</f>
        <v/>
      </c>
      <c r="K17" s="104">
        <f>MIN(100,J17/Параметры!$B$12*100)</f>
        <v/>
      </c>
      <c r="L17" s="104">
        <f>100-K17</f>
        <v/>
      </c>
      <c r="M17" s="103">
        <f>MIN(Комплектация!AA19,Комплектация!AB19,Комплектация!AK19,Комплектация!AL19,Комплектация!AU19,Комплектация!AV19,Комплектация!BE19,Комплектация!BF19)</f>
        <v/>
      </c>
      <c r="N17" s="104">
        <f>AVERAGE((100-MAX(0,MIN(100,(Параметры!$B$13-MIN(Комплектация!AA19,Комплектация!AB19))/(Параметры!$B$13-Параметры!$B$14)*100))),(100-MAX(0,MIN(100,(Параметры!$B$13-MIN(Комплектация!AK19,Комплектация!AL19))/(Параметры!$B$13-Параметры!$B$14)*100))),(100-MAX(0,MIN(100,(Параметры!$B$13-MIN(Комплектация!AU19,Комплектация!AV19))/(Параметры!$B$13-Параметры!$B$14)*100))),(100-MAX(0,MIN(100,(Параметры!$B$13-MIN(Комплектация!BE19,Комплектация!BF19))/(Параметры!$B$13-Параметры!$B$14)*100))))</f>
        <v/>
      </c>
      <c r="O17" s="104">
        <f>AVERAGE(H17,L17)</f>
        <v/>
      </c>
      <c r="P17" s="105">
        <f>Параметры!$B$3*(Параметры!$B$5*H17+Параметры!$B$6*L17+Параметры!$B$7*N17+Параметры!$B$8*O17)/100</f>
        <v/>
      </c>
      <c r="Q17" s="106" t="n">
        <v>45898</v>
      </c>
      <c r="R17" s="106" t="n">
        <v>46628</v>
      </c>
      <c r="S17" s="104">
        <f>IF(OR(Q17="",R17="",R17=Q17),"",MAX(0,MIN(100,(Параметры!$B$2-Q17)/(R17-Q17)*100)))</f>
        <v/>
      </c>
      <c r="T17" s="103">
        <f>IF(ISNUMBER(Комплектация!P19),Комплектация!P19,"")</f>
        <v/>
      </c>
      <c r="U17" s="103">
        <f>IF(ISNUMBER(Комплектация!N19),Комплектация!N19,"")</f>
        <v/>
      </c>
      <c r="V17" s="104">
        <f>IF(OR(U17="",T17="",U17=0),"",MAX(0,MIN(100,(U17-T17)/U17*100)))</f>
        <v/>
      </c>
      <c r="W17" s="104">
        <f>MAX(IF(S17="",0,S17),IF(V17="",0,V17))</f>
        <v/>
      </c>
      <c r="X17" s="105">
        <f>Параметры!$B$18*W17/100</f>
        <v/>
      </c>
      <c r="Y17" s="103">
        <f>IF(MIN(Комплектация!AA19,Комплектация!AB19)-Параметры!$B$15&lt;Параметры!$B$16,1,0)+IF(MIN(Комплектация!AK19,Комплектация!AL19)-Параметры!$B$15&lt;Параметры!$B$16,1,0)+IF(MIN(Комплектация!AU19,Комплектация!AV19)-Параметры!$B$15&lt;Параметры!$B$16,1,0)+IF(MIN(Комплектация!BE19,Комплектация!BF19)-Параметры!$B$15&lt;Параметры!$B$16,1,0)</f>
        <v/>
      </c>
      <c r="Z17" s="105">
        <f>Y17*Параметры!$B$19</f>
        <v/>
      </c>
      <c r="AA17" s="107">
        <f>MAX(0,P17-X17-Z17)</f>
        <v/>
      </c>
      <c r="AB17" s="108">
        <f>SUMIFS(Прайс!$D$3:$D$11,Прайс!$A$3:$A$11,B17,Прайс!$B$3:$B$11,C17)</f>
        <v/>
      </c>
      <c r="AC17" s="105">
        <f>IF(AB17="","",AB17-AA17)</f>
        <v/>
      </c>
      <c r="AD17" s="109" t="n">
        <v>3186006.421232876</v>
      </c>
    </row>
    <row r="18">
      <c r="A18" s="101">
        <f>Комплектация!A20</f>
        <v/>
      </c>
      <c r="B18" s="101">
        <f>Комплектация!C20</f>
        <v/>
      </c>
      <c r="C18" s="102">
        <f>Комплектация!E20</f>
        <v/>
      </c>
      <c r="D18" s="103" t="n">
        <v>2043</v>
      </c>
      <c r="E18" s="103">
        <f>IF(D18="",Параметры!$B$11,MAX(1,D18-C18))</f>
        <v/>
      </c>
      <c r="F18" s="103">
        <f>MAX(0,YEAR(Параметры!$B$2)-C18)</f>
        <v/>
      </c>
      <c r="G18" s="104">
        <f>MIN(100,F18/E18*100)</f>
        <v/>
      </c>
      <c r="H18" s="104">
        <f>100-G18</f>
        <v/>
      </c>
      <c r="I18" s="103">
        <f>AVERAGE(Комплектация!BJ20,Комплектация!BP20,Комплектация!BV20,Комплектация!CB20,Комплектация!CH20,Комплектация!CN20)</f>
        <v/>
      </c>
      <c r="J18" s="103">
        <f>MAX(0,YEAR(Параметры!$B$2)-I18)</f>
        <v/>
      </c>
      <c r="K18" s="104">
        <f>MIN(100,J18/Параметры!$B$12*100)</f>
        <v/>
      </c>
      <c r="L18" s="104">
        <f>100-K18</f>
        <v/>
      </c>
      <c r="M18" s="103">
        <f>MIN(Комплектация!AA20,Комплектация!AB20,Комплектация!AK20,Комплектация!AL20,Комплектация!AU20,Комплектация!AV20,Комплектация!BE20,Комплектация!BF20)</f>
        <v/>
      </c>
      <c r="N18" s="104">
        <f>AVERAGE((100-MAX(0,MIN(100,(Параметры!$B$13-MIN(Комплектация!AA20,Комплектация!AB20))/(Параметры!$B$13-Параметры!$B$14)*100))),(100-MAX(0,MIN(100,(Параметры!$B$13-MIN(Комплектация!AK20,Комплектация!AL20))/(Параметры!$B$13-Параметры!$B$14)*100))),(100-MAX(0,MIN(100,(Параметры!$B$13-MIN(Комплектация!AU20,Комплектация!AV20))/(Параметры!$B$13-Параметры!$B$14)*100))),(100-MAX(0,MIN(100,(Параметры!$B$13-MIN(Комплектация!BE20,Комплектация!BF20))/(Параметры!$B$13-Параметры!$B$14)*100))))</f>
        <v/>
      </c>
      <c r="O18" s="104">
        <f>AVERAGE(H18,L18)</f>
        <v/>
      </c>
      <c r="P18" s="105">
        <f>Параметры!$B$3*(Параметры!$B$5*H18+Параметры!$B$6*L18+Параметры!$B$7*N18+Параметры!$B$8*O18)/100</f>
        <v/>
      </c>
      <c r="Q18" s="106" t="n">
        <v>45906</v>
      </c>
      <c r="R18" s="106" t="n">
        <v>46636</v>
      </c>
      <c r="S18" s="104">
        <f>IF(OR(Q18="",R18="",R18=Q18),"",MAX(0,MIN(100,(Параметры!$B$2-Q18)/(R18-Q18)*100)))</f>
        <v/>
      </c>
      <c r="T18" s="103">
        <f>IF(ISNUMBER(Комплектация!P20),Комплектация!P20,"")</f>
        <v/>
      </c>
      <c r="U18" s="103">
        <f>IF(ISNUMBER(Комплектация!N20),Комплектация!N20,"")</f>
        <v/>
      </c>
      <c r="V18" s="104">
        <f>IF(OR(U18="",T18="",U18=0),"",MAX(0,MIN(100,(U18-T18)/U18*100)))</f>
        <v/>
      </c>
      <c r="W18" s="104">
        <f>MAX(IF(S18="",0,S18),IF(V18="",0,V18))</f>
        <v/>
      </c>
      <c r="X18" s="105">
        <f>Параметры!$B$18*W18/100</f>
        <v/>
      </c>
      <c r="Y18" s="103">
        <f>IF(MIN(Комплектация!AA20,Комплектация!AB20)-Параметры!$B$15&lt;Параметры!$B$16,1,0)+IF(MIN(Комплектация!AK20,Комплектация!AL20)-Параметры!$B$15&lt;Параметры!$B$16,1,0)+IF(MIN(Комплектация!AU20,Комплектация!AV20)-Параметры!$B$15&lt;Параметры!$B$16,1,0)+IF(MIN(Комплектация!BE20,Комплектация!BF20)-Параметры!$B$15&lt;Параметры!$B$16,1,0)</f>
        <v/>
      </c>
      <c r="Z18" s="105">
        <f>Y18*Параметры!$B$19</f>
        <v/>
      </c>
      <c r="AA18" s="107">
        <f>MAX(0,P18-X18-Z18)</f>
        <v/>
      </c>
      <c r="AB18" s="108">
        <f>SUMIFS(Прайс!$D$3:$D$11,Прайс!$A$3:$A$11,B18,Прайс!$B$3:$B$11,C18)</f>
        <v/>
      </c>
      <c r="AC18" s="105">
        <f>IF(AB18="","",AB18-AA18)</f>
        <v/>
      </c>
      <c r="AD18" s="109" t="n">
        <v>2830727.311643836</v>
      </c>
    </row>
    <row r="19">
      <c r="A19" s="101">
        <f>Комплектация!A21</f>
        <v/>
      </c>
      <c r="B19" s="101">
        <f>Комплектация!C21</f>
        <v/>
      </c>
      <c r="C19" s="102">
        <f>Комплектация!E21</f>
        <v/>
      </c>
      <c r="D19" s="103" t="n">
        <v>2043</v>
      </c>
      <c r="E19" s="103">
        <f>IF(D19="",Параметры!$B$11,MAX(1,D19-C19))</f>
        <v/>
      </c>
      <c r="F19" s="103">
        <f>MAX(0,YEAR(Параметры!$B$2)-C19)</f>
        <v/>
      </c>
      <c r="G19" s="104">
        <f>MIN(100,F19/E19*100)</f>
        <v/>
      </c>
      <c r="H19" s="104">
        <f>100-G19</f>
        <v/>
      </c>
      <c r="I19" s="103">
        <f>AVERAGE(Комплектация!BJ21,Комплектация!BP21,Комплектация!BV21,Комплектация!CB21,Комплектация!CH21,Комплектация!CN21)</f>
        <v/>
      </c>
      <c r="J19" s="103">
        <f>MAX(0,YEAR(Параметры!$B$2)-I19)</f>
        <v/>
      </c>
      <c r="K19" s="104">
        <f>MIN(100,J19/Параметры!$B$12*100)</f>
        <v/>
      </c>
      <c r="L19" s="104">
        <f>100-K19</f>
        <v/>
      </c>
      <c r="M19" s="103">
        <f>MIN(Комплектация!AA21,Комплектация!AB21,Комплектация!AK21,Комплектация!AL21,Комплектация!AU21,Комплектация!AV21,Комплектация!BE21,Комплектация!BF21)</f>
        <v/>
      </c>
      <c r="N19" s="104">
        <f>AVERAGE((100-MAX(0,MIN(100,(Параметры!$B$13-MIN(Комплектация!AA21,Комплектация!AB21))/(Параметры!$B$13-Параметры!$B$14)*100))),(100-MAX(0,MIN(100,(Параметры!$B$13-MIN(Комплектация!AK21,Комплектация!AL21))/(Параметры!$B$13-Параметры!$B$14)*100))),(100-MAX(0,MIN(100,(Параметры!$B$13-MIN(Комплектация!AU21,Комплектация!AV21))/(Параметры!$B$13-Параметры!$B$14)*100))),(100-MAX(0,MIN(100,(Параметры!$B$13-MIN(Комплектация!BE21,Комплектация!BF21))/(Параметры!$B$13-Параметры!$B$14)*100))))</f>
        <v/>
      </c>
      <c r="O19" s="104">
        <f>AVERAGE(H19,L19)</f>
        <v/>
      </c>
      <c r="P19" s="105">
        <f>Параметры!$B$3*(Параметры!$B$5*H19+Параметры!$B$6*L19+Параметры!$B$7*N19+Параметры!$B$8*O19)/100</f>
        <v/>
      </c>
      <c r="Q19" s="106" t="n">
        <v>45893</v>
      </c>
      <c r="R19" s="106" t="n">
        <v>46623</v>
      </c>
      <c r="S19" s="104">
        <f>IF(OR(Q19="",R19="",R19=Q19),"",MAX(0,MIN(100,(Параметры!$B$2-Q19)/(R19-Q19)*100)))</f>
        <v/>
      </c>
      <c r="T19" s="103">
        <f>IF(ISNUMBER(Комплектация!P21),Комплектация!P21,"")</f>
        <v/>
      </c>
      <c r="U19" s="103">
        <f>IF(ISNUMBER(Комплектация!N21),Комплектация!N21,"")</f>
        <v/>
      </c>
      <c r="V19" s="104">
        <f>IF(OR(U19="",T19="",U19=0),"",MAX(0,MIN(100,(U19-T19)/U19*100)))</f>
        <v/>
      </c>
      <c r="W19" s="104">
        <f>MAX(IF(S19="",0,S19),IF(V19="",0,V19))</f>
        <v/>
      </c>
      <c r="X19" s="105">
        <f>Параметры!$B$18*W19/100</f>
        <v/>
      </c>
      <c r="Y19" s="103">
        <f>IF(MIN(Комплектация!AA21,Комплектация!AB21)-Параметры!$B$15&lt;Параметры!$B$16,1,0)+IF(MIN(Комплектация!AK21,Комплектация!AL21)-Параметры!$B$15&lt;Параметры!$B$16,1,0)+IF(MIN(Комплектация!AU21,Комплектация!AV21)-Параметры!$B$15&lt;Параметры!$B$16,1,0)+IF(MIN(Комплектация!BE21,Комплектация!BF21)-Параметры!$B$15&lt;Параметры!$B$16,1,0)</f>
        <v/>
      </c>
      <c r="Z19" s="105">
        <f>Y19*Параметры!$B$19</f>
        <v/>
      </c>
      <c r="AA19" s="107">
        <f>MAX(0,P19-X19-Z19)</f>
        <v/>
      </c>
      <c r="AB19" s="108">
        <f>SUMIFS(Прайс!$D$3:$D$11,Прайс!$A$3:$A$11,B19,Прайс!$B$3:$B$11,C19)</f>
        <v/>
      </c>
      <c r="AC19" s="105">
        <f>IF(AB19="","",AB19-AA19)</f>
        <v/>
      </c>
      <c r="AD19" s="109" t="n">
        <v>3182821.489726027</v>
      </c>
    </row>
    <row r="20">
      <c r="A20" s="101">
        <f>Комплектация!A22</f>
        <v/>
      </c>
      <c r="B20" s="101">
        <f>Комплектация!C22</f>
        <v/>
      </c>
      <c r="C20" s="102">
        <f>Комплектация!E22</f>
        <v/>
      </c>
      <c r="D20" s="103" t="n">
        <v>2043</v>
      </c>
      <c r="E20" s="103">
        <f>IF(D20="",Параметры!$B$11,MAX(1,D20-C20))</f>
        <v/>
      </c>
      <c r="F20" s="103">
        <f>MAX(0,YEAR(Параметры!$B$2)-C20)</f>
        <v/>
      </c>
      <c r="G20" s="104">
        <f>MIN(100,F20/E20*100)</f>
        <v/>
      </c>
      <c r="H20" s="104">
        <f>100-G20</f>
        <v/>
      </c>
      <c r="I20" s="103">
        <f>AVERAGE(Комплектация!BJ22,Комплектация!BP22,Комплектация!BV22,Комплектация!CB22,Комплектация!CH22,Комплектация!CN22)</f>
        <v/>
      </c>
      <c r="J20" s="103">
        <f>MAX(0,YEAR(Параметры!$B$2)-I20)</f>
        <v/>
      </c>
      <c r="K20" s="104">
        <f>MIN(100,J20/Параметры!$B$12*100)</f>
        <v/>
      </c>
      <c r="L20" s="104">
        <f>100-K20</f>
        <v/>
      </c>
      <c r="M20" s="103">
        <f>MIN(Комплектация!AA22,Комплектация!AB22,Комплектация!AK22,Комплектация!AL22,Комплектация!AU22,Комплектация!AV22,Комплектация!BE22,Комплектация!BF22)</f>
        <v/>
      </c>
      <c r="N20" s="104">
        <f>AVERAGE((100-MAX(0,MIN(100,(Параметры!$B$13-MIN(Комплектация!AA22,Комплектация!AB22))/(Параметры!$B$13-Параметры!$B$14)*100))),(100-MAX(0,MIN(100,(Параметры!$B$13-MIN(Комплектация!AK22,Комплектация!AL22))/(Параметры!$B$13-Параметры!$B$14)*100))),(100-MAX(0,MIN(100,(Параметры!$B$13-MIN(Комплектация!AU22,Комплектация!AV22))/(Параметры!$B$13-Параметры!$B$14)*100))),(100-MAX(0,MIN(100,(Параметры!$B$13-MIN(Комплектация!BE22,Комплектация!BF22))/(Параметры!$B$13-Параметры!$B$14)*100))))</f>
        <v/>
      </c>
      <c r="O20" s="104">
        <f>AVERAGE(H20,L20)</f>
        <v/>
      </c>
      <c r="P20" s="105">
        <f>Параметры!$B$3*(Параметры!$B$5*H20+Параметры!$B$6*L20+Параметры!$B$7*N20+Параметры!$B$8*O20)/100</f>
        <v/>
      </c>
      <c r="Q20" s="106" t="n">
        <v>45690</v>
      </c>
      <c r="R20" s="106" t="n">
        <v>46785</v>
      </c>
      <c r="S20" s="104">
        <f>IF(OR(Q20="",R20="",R20=Q20),"",MAX(0,MIN(100,(Параметры!$B$2-Q20)/(R20-Q20)*100)))</f>
        <v/>
      </c>
      <c r="T20" s="103">
        <f>IF(ISNUMBER(Комплектация!P22),Комплектация!P22,"")</f>
        <v/>
      </c>
      <c r="U20" s="103">
        <f>IF(ISNUMBER(Комплектация!N22),Комплектация!N22,"")</f>
        <v/>
      </c>
      <c r="V20" s="104">
        <f>IF(OR(U20="",T20="",U20=0),"",MAX(0,MIN(100,(U20-T20)/U20*100)))</f>
        <v/>
      </c>
      <c r="W20" s="104">
        <f>MAX(IF(S20="",0,S20),IF(V20="",0,V20))</f>
        <v/>
      </c>
      <c r="X20" s="105">
        <f>Параметры!$B$18*W20/100</f>
        <v/>
      </c>
      <c r="Y20" s="103">
        <f>IF(MIN(Комплектация!AA22,Комплектация!AB22)-Параметры!$B$15&lt;Параметры!$B$16,1,0)+IF(MIN(Комплектация!AK22,Комплектация!AL22)-Параметры!$B$15&lt;Параметры!$B$16,1,0)+IF(MIN(Комплектация!AU22,Комплектация!AV22)-Параметры!$B$15&lt;Параметры!$B$16,1,0)+IF(MIN(Комплектация!BE22,Комплектация!BF22)-Параметры!$B$15&lt;Параметры!$B$16,1,0)</f>
        <v/>
      </c>
      <c r="Z20" s="105">
        <f>Y20*Параметры!$B$19</f>
        <v/>
      </c>
      <c r="AA20" s="107">
        <f>MAX(0,P20-X20-Z20)</f>
        <v/>
      </c>
      <c r="AB20" s="108">
        <f>SUMIFS(Прайс!$D$3:$D$11,Прайс!$A$3:$A$11,B20,Прайс!$B$3:$B$11,C20)</f>
        <v/>
      </c>
      <c r="AC20" s="105">
        <f>IF(AB20="","",AB20-AA20)</f>
        <v/>
      </c>
      <c r="AD20" s="109" t="n">
        <v>2995706.763698631</v>
      </c>
    </row>
    <row r="21">
      <c r="A21" s="101">
        <f>Комплектация!A23</f>
        <v/>
      </c>
      <c r="B21" s="101">
        <f>Комплектация!C23</f>
        <v/>
      </c>
      <c r="C21" s="102">
        <f>Комплектация!E23</f>
        <v/>
      </c>
      <c r="D21" s="103" t="n">
        <v>2043</v>
      </c>
      <c r="E21" s="103">
        <f>IF(D21="",Параметры!$B$11,MAX(1,D21-C21))</f>
        <v/>
      </c>
      <c r="F21" s="103">
        <f>MAX(0,YEAR(Параметры!$B$2)-C21)</f>
        <v/>
      </c>
      <c r="G21" s="104">
        <f>MIN(100,F21/E21*100)</f>
        <v/>
      </c>
      <c r="H21" s="104">
        <f>100-G21</f>
        <v/>
      </c>
      <c r="I21" s="103">
        <f>AVERAGE(Комплектация!BJ23,Комплектация!BP23,Комплектация!BV23,Комплектация!CB23,Комплектация!CH23,Комплектация!CN23)</f>
        <v/>
      </c>
      <c r="J21" s="103">
        <f>MAX(0,YEAR(Параметры!$B$2)-I21)</f>
        <v/>
      </c>
      <c r="K21" s="104">
        <f>MIN(100,J21/Параметры!$B$12*100)</f>
        <v/>
      </c>
      <c r="L21" s="104">
        <f>100-K21</f>
        <v/>
      </c>
      <c r="M21" s="103">
        <f>MIN(Комплектация!AA23,Комплектация!AB23,Комплектация!AK23,Комплектация!AL23,Комплектация!AU23,Комплектация!AV23,Комплектация!BE23,Комплектация!BF23)</f>
        <v/>
      </c>
      <c r="N21" s="104">
        <f>AVERAGE((100-MAX(0,MIN(100,(Параметры!$B$13-MIN(Комплектация!AA23,Комплектация!AB23))/(Параметры!$B$13-Параметры!$B$14)*100))),(100-MAX(0,MIN(100,(Параметры!$B$13-MIN(Комплектация!AK23,Комплектация!AL23))/(Параметры!$B$13-Параметры!$B$14)*100))),(100-MAX(0,MIN(100,(Параметры!$B$13-MIN(Комплектация!AU23,Комплектация!AV23))/(Параметры!$B$13-Параметры!$B$14)*100))),(100-MAX(0,MIN(100,(Параметры!$B$13-MIN(Комплектация!BE23,Комплектация!BF23))/(Параметры!$B$13-Параметры!$B$14)*100))))</f>
        <v/>
      </c>
      <c r="O21" s="104">
        <f>AVERAGE(H21,L21)</f>
        <v/>
      </c>
      <c r="P21" s="105">
        <f>Параметры!$B$3*(Параметры!$B$5*H21+Параметры!$B$6*L21+Параметры!$B$7*N21+Параметры!$B$8*O21)/100</f>
        <v/>
      </c>
      <c r="Q21" s="106" t="n">
        <v>46107</v>
      </c>
      <c r="R21" s="106" t="n">
        <v>47203</v>
      </c>
      <c r="S21" s="104">
        <f>IF(OR(Q21="",R21="",R21=Q21),"",MAX(0,MIN(100,(Параметры!$B$2-Q21)/(R21-Q21)*100)))</f>
        <v/>
      </c>
      <c r="T21" s="103">
        <f>IF(ISNUMBER(Комплектация!P23),Комплектация!P23,"")</f>
        <v/>
      </c>
      <c r="U21" s="103">
        <f>IF(ISNUMBER(Комплектация!N23),Комплектация!N23,"")</f>
        <v/>
      </c>
      <c r="V21" s="104">
        <f>IF(OR(U21="",T21="",U21=0),"",MAX(0,MIN(100,(U21-T21)/U21*100)))</f>
        <v/>
      </c>
      <c r="W21" s="104">
        <f>MAX(IF(S21="",0,S21),IF(V21="",0,V21))</f>
        <v/>
      </c>
      <c r="X21" s="105">
        <f>Параметры!$B$18*W21/100</f>
        <v/>
      </c>
      <c r="Y21" s="103">
        <f>IF(MIN(Комплектация!AA23,Комплектация!AB23)-Параметры!$B$15&lt;Параметры!$B$16,1,0)+IF(MIN(Комплектация!AK23,Комплектация!AL23)-Параметры!$B$15&lt;Параметры!$B$16,1,0)+IF(MIN(Комплектация!AU23,Комплектация!AV23)-Параметры!$B$15&lt;Параметры!$B$16,1,0)+IF(MIN(Комплектация!BE23,Комплектация!BF23)-Параметры!$B$15&lt;Параметры!$B$16,1,0)</f>
        <v/>
      </c>
      <c r="Z21" s="105">
        <f>Y21*Параметры!$B$19</f>
        <v/>
      </c>
      <c r="AA21" s="107">
        <f>MAX(0,P21-X21-Z21)</f>
        <v/>
      </c>
      <c r="AB21" s="108">
        <f>SUMIFS(Прайс!$D$3:$D$11,Прайс!$A$3:$A$11,B21,Прайс!$B$3:$B$11,C21)</f>
        <v/>
      </c>
      <c r="AC21" s="105">
        <f>IF(AB21="","",AB21-AA21)</f>
        <v/>
      </c>
      <c r="AD21" s="109" t="n">
        <v>3167027.600364964</v>
      </c>
    </row>
    <row r="22">
      <c r="A22" s="101">
        <f>Комплектация!A24</f>
        <v/>
      </c>
      <c r="B22" s="101">
        <f>Комплектация!C24</f>
        <v/>
      </c>
      <c r="C22" s="102">
        <f>Комплектация!E24</f>
        <v/>
      </c>
      <c r="D22" s="103" t="n">
        <v>2050</v>
      </c>
      <c r="E22" s="103">
        <f>IF(D22="",Параметры!$B$11,MAX(1,D22-C22))</f>
        <v/>
      </c>
      <c r="F22" s="103">
        <f>MAX(0,YEAR(Параметры!$B$2)-C22)</f>
        <v/>
      </c>
      <c r="G22" s="104">
        <f>MIN(100,F22/E22*100)</f>
        <v/>
      </c>
      <c r="H22" s="104">
        <f>100-G22</f>
        <v/>
      </c>
      <c r="I22" s="103">
        <f>AVERAGE(Комплектация!BJ24,Комплектация!BP24,Комплектация!BV24,Комплектация!CB24,Комплектация!CH24,Комплектация!CN24)</f>
        <v/>
      </c>
      <c r="J22" s="103">
        <f>MAX(0,YEAR(Параметры!$B$2)-I22)</f>
        <v/>
      </c>
      <c r="K22" s="104">
        <f>MIN(100,J22/Параметры!$B$12*100)</f>
        <v/>
      </c>
      <c r="L22" s="104">
        <f>100-K22</f>
        <v/>
      </c>
      <c r="M22" s="103">
        <f>MIN(Комплектация!AA24,Комплектация!AB24,Комплектация!AK24,Комплектация!AL24,Комплектация!AU24,Комплектация!AV24,Комплектация!BE24,Комплектация!BF24)</f>
        <v/>
      </c>
      <c r="N22" s="104">
        <f>AVERAGE((100-MAX(0,MIN(100,(Параметры!$B$13-MIN(Комплектация!AA24,Комплектация!AB24))/(Параметры!$B$13-Параметры!$B$14)*100))),(100-MAX(0,MIN(100,(Параметры!$B$13-MIN(Комплектация!AK24,Комплектация!AL24))/(Параметры!$B$13-Параметры!$B$14)*100))),(100-MAX(0,MIN(100,(Параметры!$B$13-MIN(Комплектация!AU24,Комплектация!AV24))/(Параметры!$B$13-Параметры!$B$14)*100))),(100-MAX(0,MIN(100,(Параметры!$B$13-MIN(Комплектация!BE24,Комплектация!BF24))/(Параметры!$B$13-Параметры!$B$14)*100))))</f>
        <v/>
      </c>
      <c r="O22" s="104">
        <f>AVERAGE(H22,L22)</f>
        <v/>
      </c>
      <c r="P22" s="105">
        <f>Параметры!$B$3*(Параметры!$B$5*H22+Параметры!$B$6*L22+Параметры!$B$7*N22+Параметры!$B$8*O22)/100</f>
        <v/>
      </c>
      <c r="Q22" s="106" t="n">
        <v>45960</v>
      </c>
      <c r="R22" s="106" t="n">
        <v>46690</v>
      </c>
      <c r="S22" s="104">
        <f>IF(OR(Q22="",R22="",R22=Q22),"",MAX(0,MIN(100,(Параметры!$B$2-Q22)/(R22-Q22)*100)))</f>
        <v/>
      </c>
      <c r="T22" s="103">
        <f>IF(ISNUMBER(Комплектация!P24),Комплектация!P24,"")</f>
        <v/>
      </c>
      <c r="U22" s="103">
        <f>IF(ISNUMBER(Комплектация!N24),Комплектация!N24,"")</f>
        <v/>
      </c>
      <c r="V22" s="104">
        <f>IF(OR(U22="",T22="",U22=0),"",MAX(0,MIN(100,(U22-T22)/U22*100)))</f>
        <v/>
      </c>
      <c r="W22" s="104">
        <f>MAX(IF(S22="",0,S22),IF(V22="",0,V22))</f>
        <v/>
      </c>
      <c r="X22" s="105">
        <f>Параметры!$B$18*W22/100</f>
        <v/>
      </c>
      <c r="Y22" s="103">
        <f>IF(MIN(Комплектация!AA24,Комплектация!AB24)-Параметры!$B$15&lt;Параметры!$B$16,1,0)+IF(MIN(Комплектация!AK24,Комплектация!AL24)-Параметры!$B$15&lt;Параметры!$B$16,1,0)+IF(MIN(Комплектация!AU24,Комплектация!AV24)-Параметры!$B$15&lt;Параметры!$B$16,1,0)+IF(MIN(Комплектация!BE24,Комплектация!BF24)-Параметры!$B$15&lt;Параметры!$B$16,1,0)</f>
        <v/>
      </c>
      <c r="Z22" s="105">
        <f>Y22*Параметры!$B$19</f>
        <v/>
      </c>
      <c r="AA22" s="107">
        <f>MAX(0,P22-X22-Z22)</f>
        <v/>
      </c>
      <c r="AB22" s="108">
        <f>SUMIFS(Прайс!$D$3:$D$11,Прайс!$A$3:$A$11,B22,Прайс!$B$3:$B$11,C22)</f>
        <v/>
      </c>
      <c r="AC22" s="105">
        <f>IF(AB22="","",AB22-AA22)</f>
        <v/>
      </c>
      <c r="AD22" s="109" t="n">
        <v>3401517.234961287</v>
      </c>
    </row>
    <row r="23">
      <c r="A23" s="101">
        <f>Комплектация!A25</f>
        <v/>
      </c>
      <c r="B23" s="101">
        <f>Комплектация!C25</f>
        <v/>
      </c>
      <c r="C23" s="102">
        <f>Комплектация!E25</f>
        <v/>
      </c>
      <c r="D23" s="103" t="n">
        <v>2050</v>
      </c>
      <c r="E23" s="103">
        <f>IF(D23="",Параметры!$B$11,MAX(1,D23-C23))</f>
        <v/>
      </c>
      <c r="F23" s="103">
        <f>MAX(0,YEAR(Параметры!$B$2)-C23)</f>
        <v/>
      </c>
      <c r="G23" s="104">
        <f>MIN(100,F23/E23*100)</f>
        <v/>
      </c>
      <c r="H23" s="104">
        <f>100-G23</f>
        <v/>
      </c>
      <c r="I23" s="103">
        <f>AVERAGE(Комплектация!BJ25,Комплектация!BP25,Комплектация!BV25,Комплектация!CB25,Комплектация!CH25,Комплектация!CN25)</f>
        <v/>
      </c>
      <c r="J23" s="103">
        <f>MAX(0,YEAR(Параметры!$B$2)-I23)</f>
        <v/>
      </c>
      <c r="K23" s="104">
        <f>MIN(100,J23/Параметры!$B$12*100)</f>
        <v/>
      </c>
      <c r="L23" s="104">
        <f>100-K23</f>
        <v/>
      </c>
      <c r="M23" s="103">
        <f>MIN(Комплектация!AA25,Комплектация!AB25,Комплектация!AK25,Комплектация!AL25,Комплектация!AU25,Комплектация!AV25,Комплектация!BE25,Комплектация!BF25)</f>
        <v/>
      </c>
      <c r="N23" s="104">
        <f>AVERAGE((100-MAX(0,MIN(100,(Параметры!$B$13-MIN(Комплектация!AA25,Комплектация!AB25))/(Параметры!$B$13-Параметры!$B$14)*100))),(100-MAX(0,MIN(100,(Параметры!$B$13-MIN(Комплектация!AK25,Комплектация!AL25))/(Параметры!$B$13-Параметры!$B$14)*100))),(100-MAX(0,MIN(100,(Параметры!$B$13-MIN(Комплектация!AU25,Комплектация!AV25))/(Параметры!$B$13-Параметры!$B$14)*100))),(100-MAX(0,MIN(100,(Параметры!$B$13-MIN(Комплектация!BE25,Комплектация!BF25))/(Параметры!$B$13-Параметры!$B$14)*100))))</f>
        <v/>
      </c>
      <c r="O23" s="104">
        <f>AVERAGE(H23,L23)</f>
        <v/>
      </c>
      <c r="P23" s="105">
        <f>Параметры!$B$3*(Параметры!$B$5*H23+Параметры!$B$6*L23+Параметры!$B$7*N23+Параметры!$B$8*O23)/100</f>
        <v/>
      </c>
      <c r="Q23" s="106" t="n">
        <v>45949</v>
      </c>
      <c r="R23" s="106" t="n">
        <v>46679</v>
      </c>
      <c r="S23" s="104">
        <f>IF(OR(Q23="",R23="",R23=Q23),"",MAX(0,MIN(100,(Параметры!$B$2-Q23)/(R23-Q23)*100)))</f>
        <v/>
      </c>
      <c r="T23" s="103">
        <f>IF(ISNUMBER(Комплектация!P25),Комплектация!P25,"")</f>
        <v/>
      </c>
      <c r="U23" s="103">
        <f>IF(ISNUMBER(Комплектация!N25),Комплектация!N25,"")</f>
        <v/>
      </c>
      <c r="V23" s="104">
        <f>IF(OR(U23="",T23="",U23=0),"",MAX(0,MIN(100,(U23-T23)/U23*100)))</f>
        <v/>
      </c>
      <c r="W23" s="104">
        <f>MAX(IF(S23="",0,S23),IF(V23="",0,V23))</f>
        <v/>
      </c>
      <c r="X23" s="105">
        <f>Параметры!$B$18*W23/100</f>
        <v/>
      </c>
      <c r="Y23" s="103">
        <f>IF(MIN(Комплектация!AA25,Комплектация!AB25)-Параметры!$B$15&lt;Параметры!$B$16,1,0)+IF(MIN(Комплектация!AK25,Комплектация!AL25)-Параметры!$B$15&lt;Параметры!$B$16,1,0)+IF(MIN(Комплектация!AU25,Комплектация!AV25)-Параметры!$B$15&lt;Параметры!$B$16,1,0)+IF(MIN(Комплектация!BE25,Комплектация!BF25)-Параметры!$B$15&lt;Параметры!$B$16,1,0)</f>
        <v/>
      </c>
      <c r="Z23" s="105">
        <f>Y23*Параметры!$B$19</f>
        <v/>
      </c>
      <c r="AA23" s="107">
        <f>MAX(0,P23-X23-Z23)</f>
        <v/>
      </c>
      <c r="AB23" s="108">
        <f>SUMIFS(Прайс!$D$3:$D$11,Прайс!$A$3:$A$11,B23,Прайс!$B$3:$B$11,C23)</f>
        <v/>
      </c>
      <c r="AC23" s="105">
        <f>IF(AB23="","",AB23-AA23)</f>
        <v/>
      </c>
      <c r="AD23" s="109" t="n">
        <v>3889836.47260274</v>
      </c>
    </row>
    <row r="24">
      <c r="A24" s="101">
        <f>Комплектация!A26</f>
        <v/>
      </c>
      <c r="B24" s="101">
        <f>Комплектация!C26</f>
        <v/>
      </c>
      <c r="C24" s="102">
        <f>Комплектация!E26</f>
        <v/>
      </c>
      <c r="D24" s="103" t="n">
        <v>2050</v>
      </c>
      <c r="E24" s="103">
        <f>IF(D24="",Параметры!$B$11,MAX(1,D24-C24))</f>
        <v/>
      </c>
      <c r="F24" s="103">
        <f>MAX(0,YEAR(Параметры!$B$2)-C24)</f>
        <v/>
      </c>
      <c r="G24" s="104">
        <f>MIN(100,F24/E24*100)</f>
        <v/>
      </c>
      <c r="H24" s="104">
        <f>100-G24</f>
        <v/>
      </c>
      <c r="I24" s="103">
        <f>AVERAGE(Комплектация!BJ26,Комплектация!BP26,Комплектация!BV26,Комплектация!CB26,Комплектация!CH26,Комплектация!CN26)</f>
        <v/>
      </c>
      <c r="J24" s="103">
        <f>MAX(0,YEAR(Параметры!$B$2)-I24)</f>
        <v/>
      </c>
      <c r="K24" s="104">
        <f>MIN(100,J24/Параметры!$B$12*100)</f>
        <v/>
      </c>
      <c r="L24" s="104">
        <f>100-K24</f>
        <v/>
      </c>
      <c r="M24" s="103">
        <f>MIN(Комплектация!AA26,Комплектация!AB26,Комплектация!AK26,Комплектация!AL26,Комплектация!AU26,Комплектация!AV26,Комплектация!BE26,Комплектация!BF26)</f>
        <v/>
      </c>
      <c r="N24" s="104">
        <f>AVERAGE((100-MAX(0,MIN(100,(Параметры!$B$13-MIN(Комплектация!AA26,Комплектация!AB26))/(Параметры!$B$13-Параметры!$B$14)*100))),(100-MAX(0,MIN(100,(Параметры!$B$13-MIN(Комплектация!AK26,Комплектация!AL26))/(Параметры!$B$13-Параметры!$B$14)*100))),(100-MAX(0,MIN(100,(Параметры!$B$13-MIN(Комплектация!AU26,Комплектация!AV26))/(Параметры!$B$13-Параметры!$B$14)*100))),(100-MAX(0,MIN(100,(Параметры!$B$13-MIN(Комплектация!BE26,Комплектация!BF26))/(Параметры!$B$13-Параметры!$B$14)*100))))</f>
        <v/>
      </c>
      <c r="O24" s="104">
        <f>AVERAGE(H24,L24)</f>
        <v/>
      </c>
      <c r="P24" s="105">
        <f>Параметры!$B$3*(Параметры!$B$5*H24+Параметры!$B$6*L24+Параметры!$B$7*N24+Параметры!$B$8*O24)/100</f>
        <v/>
      </c>
      <c r="Q24" s="106" t="n">
        <v>45922</v>
      </c>
      <c r="R24" s="106" t="n">
        <v>46652</v>
      </c>
      <c r="S24" s="104">
        <f>IF(OR(Q24="",R24="",R24=Q24),"",MAX(0,MIN(100,(Параметры!$B$2-Q24)/(R24-Q24)*100)))</f>
        <v/>
      </c>
      <c r="T24" s="103">
        <f>IF(ISNUMBER(Комплектация!P26),Комплектация!P26,"")</f>
        <v/>
      </c>
      <c r="U24" s="103">
        <f>IF(ISNUMBER(Комплектация!N26),Комплектация!N26,"")</f>
        <v/>
      </c>
      <c r="V24" s="104">
        <f>IF(OR(U24="",T24="",U24=0),"",MAX(0,MIN(100,(U24-T24)/U24*100)))</f>
        <v/>
      </c>
      <c r="W24" s="104">
        <f>MAX(IF(S24="",0,S24),IF(V24="",0,V24))</f>
        <v/>
      </c>
      <c r="X24" s="105">
        <f>Параметры!$B$18*W24/100</f>
        <v/>
      </c>
      <c r="Y24" s="103">
        <f>IF(MIN(Комплектация!AA26,Комплектация!AB26)-Параметры!$B$15&lt;Параметры!$B$16,1,0)+IF(MIN(Комплектация!AK26,Комплектация!AL26)-Параметры!$B$15&lt;Параметры!$B$16,1,0)+IF(MIN(Комплектация!AU26,Комплектация!AV26)-Параметры!$B$15&lt;Параметры!$B$16,1,0)+IF(MIN(Комплектация!BE26,Комплектация!BF26)-Параметры!$B$15&lt;Параметры!$B$16,1,0)</f>
        <v/>
      </c>
      <c r="Z24" s="105">
        <f>Y24*Параметры!$B$19</f>
        <v/>
      </c>
      <c r="AA24" s="107">
        <f>MAX(0,P24-X24-Z24)</f>
        <v/>
      </c>
      <c r="AB24" s="108">
        <f>SUMIFS(Прайс!$D$3:$D$11,Прайс!$A$3:$A$11,B24,Прайс!$B$3:$B$11,C24)</f>
        <v/>
      </c>
      <c r="AC24" s="105">
        <f>IF(AB24="","",AB24-AA24)</f>
        <v/>
      </c>
      <c r="AD24" s="109" t="n">
        <v>3872637.842465753</v>
      </c>
    </row>
    <row r="25">
      <c r="A25" s="101">
        <f>Комплектация!A27</f>
        <v/>
      </c>
      <c r="B25" s="101">
        <f>Комплектация!C27</f>
        <v/>
      </c>
      <c r="C25" s="102">
        <f>Комплектация!E27</f>
        <v/>
      </c>
      <c r="D25" s="103" t="n">
        <v>2050</v>
      </c>
      <c r="E25" s="103">
        <f>IF(D25="",Параметры!$B$11,MAX(1,D25-C25))</f>
        <v/>
      </c>
      <c r="F25" s="103">
        <f>MAX(0,YEAR(Параметры!$B$2)-C25)</f>
        <v/>
      </c>
      <c r="G25" s="104">
        <f>MIN(100,F25/E25*100)</f>
        <v/>
      </c>
      <c r="H25" s="104">
        <f>100-G25</f>
        <v/>
      </c>
      <c r="I25" s="103">
        <f>AVERAGE(Комплектация!BJ27,Комплектация!BP27,Комплектация!BV27,Комплектация!CB27,Комплектация!CH27,Комплектация!CN27)</f>
        <v/>
      </c>
      <c r="J25" s="103">
        <f>MAX(0,YEAR(Параметры!$B$2)-I25)</f>
        <v/>
      </c>
      <c r="K25" s="104">
        <f>MIN(100,J25/Параметры!$B$12*100)</f>
        <v/>
      </c>
      <c r="L25" s="104">
        <f>100-K25</f>
        <v/>
      </c>
      <c r="M25" s="103">
        <f>MIN(Комплектация!AA27,Комплектация!AB27,Комплектация!AK27,Комплектация!AL27,Комплектация!AU27,Комплектация!AV27,Комплектация!BE27,Комплектация!BF27)</f>
        <v/>
      </c>
      <c r="N25" s="104">
        <f>AVERAGE((100-MAX(0,MIN(100,(Параметры!$B$13-MIN(Комплектация!AA27,Комплектация!AB27))/(Параметры!$B$13-Параметры!$B$14)*100))),(100-MAX(0,MIN(100,(Параметры!$B$13-MIN(Комплектация!AK27,Комплектация!AL27))/(Параметры!$B$13-Параметры!$B$14)*100))),(100-MAX(0,MIN(100,(Параметры!$B$13-MIN(Комплектация!AU27,Комплектация!AV27))/(Параметры!$B$13-Параметры!$B$14)*100))),(100-MAX(0,MIN(100,(Параметры!$B$13-MIN(Комплектация!BE27,Комплектация!BF27))/(Параметры!$B$13-Параметры!$B$14)*100))))</f>
        <v/>
      </c>
      <c r="O25" s="104">
        <f>AVERAGE(H25,L25)</f>
        <v/>
      </c>
      <c r="P25" s="105">
        <f>Параметры!$B$3*(Параметры!$B$5*H25+Параметры!$B$6*L25+Параметры!$B$7*N25+Параметры!$B$8*O25)/100</f>
        <v/>
      </c>
      <c r="Q25" s="106" t="n">
        <v>46001</v>
      </c>
      <c r="R25" s="106" t="n">
        <v>46731</v>
      </c>
      <c r="S25" s="104">
        <f>IF(OR(Q25="",R25="",R25=Q25),"",MAX(0,MIN(100,(Параметры!$B$2-Q25)/(R25-Q25)*100)))</f>
        <v/>
      </c>
      <c r="T25" s="103">
        <f>IF(ISNUMBER(Комплектация!P27),Комплектация!P27,"")</f>
        <v/>
      </c>
      <c r="U25" s="103">
        <f>IF(ISNUMBER(Комплектация!N27),Комплектация!N27,"")</f>
        <v/>
      </c>
      <c r="V25" s="104">
        <f>IF(OR(U25="",T25="",U25=0),"",MAX(0,MIN(100,(U25-T25)/U25*100)))</f>
        <v/>
      </c>
      <c r="W25" s="104">
        <f>MAX(IF(S25="",0,S25),IF(V25="",0,V25))</f>
        <v/>
      </c>
      <c r="X25" s="105">
        <f>Параметры!$B$18*W25/100</f>
        <v/>
      </c>
      <c r="Y25" s="103">
        <f>IF(MIN(Комплектация!AA27,Комплектация!AB27)-Параметры!$B$15&lt;Параметры!$B$16,1,0)+IF(MIN(Комплектация!AK27,Комплектация!AL27)-Параметры!$B$15&lt;Параметры!$B$16,1,0)+IF(MIN(Комплектация!AU27,Комплектация!AV27)-Параметры!$B$15&lt;Параметры!$B$16,1,0)+IF(MIN(Комплектация!BE27,Комплектация!BF27)-Параметры!$B$15&lt;Параметры!$B$16,1,0)</f>
        <v/>
      </c>
      <c r="Z25" s="105">
        <f>Y25*Параметры!$B$19</f>
        <v/>
      </c>
      <c r="AA25" s="107">
        <f>MAX(0,P25-X25-Z25)</f>
        <v/>
      </c>
      <c r="AB25" s="108">
        <f>SUMIFS(Прайс!$D$3:$D$11,Прайс!$A$3:$A$11,B25,Прайс!$B$3:$B$11,C25)</f>
        <v/>
      </c>
      <c r="AC25" s="105">
        <f>IF(AB25="","",AB25-AA25)</f>
        <v/>
      </c>
      <c r="AD25" s="109" t="n">
        <v>3922959.760273973</v>
      </c>
    </row>
    <row r="26">
      <c r="A26" s="101">
        <f>Комплектация!A28</f>
        <v/>
      </c>
      <c r="B26" s="101">
        <f>Комплектация!C28</f>
        <v/>
      </c>
      <c r="C26" s="102">
        <f>Комплектация!E28</f>
        <v/>
      </c>
      <c r="D26" s="103" t="n">
        <v>2050</v>
      </c>
      <c r="E26" s="103">
        <f>IF(D26="",Параметры!$B$11,MAX(1,D26-C26))</f>
        <v/>
      </c>
      <c r="F26" s="103">
        <f>MAX(0,YEAR(Параметры!$B$2)-C26)</f>
        <v/>
      </c>
      <c r="G26" s="104">
        <f>MIN(100,F26/E26*100)</f>
        <v/>
      </c>
      <c r="H26" s="104">
        <f>100-G26</f>
        <v/>
      </c>
      <c r="I26" s="103">
        <f>AVERAGE(Комплектация!BJ28,Комплектация!BP28,Комплектация!BV28,Комплектация!CB28,Комплектация!CH28,Комплектация!CN28)</f>
        <v/>
      </c>
      <c r="J26" s="103">
        <f>MAX(0,YEAR(Параметры!$B$2)-I26)</f>
        <v/>
      </c>
      <c r="K26" s="104">
        <f>MIN(100,J26/Параметры!$B$12*100)</f>
        <v/>
      </c>
      <c r="L26" s="104">
        <f>100-K26</f>
        <v/>
      </c>
      <c r="M26" s="103">
        <f>MIN(Комплектация!AA28,Комплектация!AB28,Комплектация!AK28,Комплектация!AL28,Комплектация!AU28,Комплектация!AV28,Комплектация!BE28,Комплектация!BF28)</f>
        <v/>
      </c>
      <c r="N26" s="104">
        <f>AVERAGE((100-MAX(0,MIN(100,(Параметры!$B$13-MIN(Комплектация!AA28,Комплектация!AB28))/(Параметры!$B$13-Параметры!$B$14)*100))),(100-MAX(0,MIN(100,(Параметры!$B$13-MIN(Комплектация!AK28,Комплектация!AL28))/(Параметры!$B$13-Параметры!$B$14)*100))),(100-MAX(0,MIN(100,(Параметры!$B$13-MIN(Комплектация!AU28,Комплектация!AV28))/(Параметры!$B$13-Параметры!$B$14)*100))),(100-MAX(0,MIN(100,(Параметры!$B$13-MIN(Комплектация!BE28,Комплектация!BF28))/(Параметры!$B$13-Параметры!$B$14)*100))))</f>
        <v/>
      </c>
      <c r="O26" s="104">
        <f>AVERAGE(H26,L26)</f>
        <v/>
      </c>
      <c r="P26" s="105">
        <f>Параметры!$B$3*(Параметры!$B$5*H26+Параметры!$B$6*L26+Параметры!$B$7*N26+Параметры!$B$8*O26)/100</f>
        <v/>
      </c>
      <c r="Q26" s="106" t="n">
        <v>45953</v>
      </c>
      <c r="R26" s="106" t="n">
        <v>46683</v>
      </c>
      <c r="S26" s="104">
        <f>IF(OR(Q26="",R26="",R26=Q26),"",MAX(0,MIN(100,(Параметры!$B$2-Q26)/(R26-Q26)*100)))</f>
        <v/>
      </c>
      <c r="T26" s="103">
        <f>IF(ISNUMBER(Комплектация!P28),Комплектация!P28,"")</f>
        <v/>
      </c>
      <c r="U26" s="103">
        <f>IF(ISNUMBER(Комплектация!N28),Комплектация!N28,"")</f>
        <v/>
      </c>
      <c r="V26" s="104">
        <f>IF(OR(U26="",T26="",U26=0),"",MAX(0,MIN(100,(U26-T26)/U26*100)))</f>
        <v/>
      </c>
      <c r="W26" s="104">
        <f>MAX(IF(S26="",0,S26),IF(V26="",0,V26))</f>
        <v/>
      </c>
      <c r="X26" s="105">
        <f>Параметры!$B$18*W26/100</f>
        <v/>
      </c>
      <c r="Y26" s="103">
        <f>IF(MIN(Комплектация!AA28,Комплектация!AB28)-Параметры!$B$15&lt;Параметры!$B$16,1,0)+IF(MIN(Комплектация!AK28,Комплектация!AL28)-Параметры!$B$15&lt;Параметры!$B$16,1,0)+IF(MIN(Комплектация!AU28,Комплектация!AV28)-Параметры!$B$15&lt;Параметры!$B$16,1,0)+IF(MIN(Комплектация!BE28,Комплектация!BF28)-Параметры!$B$15&lt;Параметры!$B$16,1,0)</f>
        <v/>
      </c>
      <c r="Z26" s="105">
        <f>Y26*Параметры!$B$19</f>
        <v/>
      </c>
      <c r="AA26" s="107">
        <f>MAX(0,P26-X26-Z26)</f>
        <v/>
      </c>
      <c r="AB26" s="108">
        <f>SUMIFS(Прайс!$D$3:$D$11,Прайс!$A$3:$A$11,B26,Прайс!$B$3:$B$11,C26)</f>
        <v/>
      </c>
      <c r="AC26" s="105">
        <f>IF(AB26="","",AB26-AA26)</f>
        <v/>
      </c>
      <c r="AD26" s="109" t="n">
        <v>3892384.417808219</v>
      </c>
    </row>
    <row r="27">
      <c r="A27" s="101">
        <f>Комплектация!A29</f>
        <v/>
      </c>
      <c r="B27" s="101">
        <f>Комплектация!C29</f>
        <v/>
      </c>
      <c r="C27" s="102">
        <f>Комплектация!E29</f>
        <v/>
      </c>
      <c r="D27" s="103" t="n">
        <v>2050</v>
      </c>
      <c r="E27" s="103">
        <f>IF(D27="",Параметры!$B$11,MAX(1,D27-C27))</f>
        <v/>
      </c>
      <c r="F27" s="103">
        <f>MAX(0,YEAR(Параметры!$B$2)-C27)</f>
        <v/>
      </c>
      <c r="G27" s="104">
        <f>MIN(100,F27/E27*100)</f>
        <v/>
      </c>
      <c r="H27" s="104">
        <f>100-G27</f>
        <v/>
      </c>
      <c r="I27" s="103">
        <f>AVERAGE(Комплектация!BJ29,Комплектация!BP29,Комплектация!BV29,Комплектация!CB29,Комплектация!CH29,Комплектация!CN29)</f>
        <v/>
      </c>
      <c r="J27" s="103">
        <f>MAX(0,YEAR(Параметры!$B$2)-I27)</f>
        <v/>
      </c>
      <c r="K27" s="104">
        <f>MIN(100,J27/Параметры!$B$12*100)</f>
        <v/>
      </c>
      <c r="L27" s="104">
        <f>100-K27</f>
        <v/>
      </c>
      <c r="M27" s="103">
        <f>MIN(Комплектация!AA29,Комплектация!AB29,Комплектация!AK29,Комплектация!AL29,Комплектация!AU29,Комплектация!AV29,Комплектация!BE29,Комплектация!BF29)</f>
        <v/>
      </c>
      <c r="N27" s="104">
        <f>AVERAGE((100-MAX(0,MIN(100,(Параметры!$B$13-MIN(Комплектация!AA29,Комплектация!AB29))/(Параметры!$B$13-Параметры!$B$14)*100))),(100-MAX(0,MIN(100,(Параметры!$B$13-MIN(Комплектация!AK29,Комплектация!AL29))/(Параметры!$B$13-Параметры!$B$14)*100))),(100-MAX(0,MIN(100,(Параметры!$B$13-MIN(Комплектация!AU29,Комплектация!AV29))/(Параметры!$B$13-Параметры!$B$14)*100))),(100-MAX(0,MIN(100,(Параметры!$B$13-MIN(Комплектация!BE29,Комплектация!BF29))/(Параметры!$B$13-Параметры!$B$14)*100))))</f>
        <v/>
      </c>
      <c r="O27" s="104">
        <f>AVERAGE(H27,L27)</f>
        <v/>
      </c>
      <c r="P27" s="105">
        <f>Параметры!$B$3*(Параметры!$B$5*H27+Параметры!$B$6*L27+Параметры!$B$7*N27+Параметры!$B$8*O27)/100</f>
        <v/>
      </c>
      <c r="Q27" s="106" t="n">
        <v>45986</v>
      </c>
      <c r="R27" s="106" t="n">
        <v>46716</v>
      </c>
      <c r="S27" s="104">
        <f>IF(OR(Q27="",R27="",R27=Q27),"",MAX(0,MIN(100,(Параметры!$B$2-Q27)/(R27-Q27)*100)))</f>
        <v/>
      </c>
      <c r="T27" s="103">
        <f>IF(ISNUMBER(Комплектация!P29),Комплектация!P29,"")</f>
        <v/>
      </c>
      <c r="U27" s="103">
        <f>IF(ISNUMBER(Комплектация!N29),Комплектация!N29,"")</f>
        <v/>
      </c>
      <c r="V27" s="104">
        <f>IF(OR(U27="",T27="",U27=0),"",MAX(0,MIN(100,(U27-T27)/U27*100)))</f>
        <v/>
      </c>
      <c r="W27" s="104">
        <f>MAX(IF(S27="",0,S27),IF(V27="",0,V27))</f>
        <v/>
      </c>
      <c r="X27" s="105">
        <f>Параметры!$B$18*W27/100</f>
        <v/>
      </c>
      <c r="Y27" s="103">
        <f>IF(MIN(Комплектация!AA29,Комплектация!AB29)-Параметры!$B$15&lt;Параметры!$B$16,1,0)+IF(MIN(Комплектация!AK29,Комплектация!AL29)-Параметры!$B$15&lt;Параметры!$B$16,1,0)+IF(MIN(Комплектация!AU29,Комплектация!AV29)-Параметры!$B$15&lt;Параметры!$B$16,1,0)+IF(MIN(Комплектация!BE29,Комплектация!BF29)-Параметры!$B$15&lt;Параметры!$B$16,1,0)</f>
        <v/>
      </c>
      <c r="Z27" s="105">
        <f>Y27*Параметры!$B$19</f>
        <v/>
      </c>
      <c r="AA27" s="107">
        <f>MAX(0,P27-X27-Z27)</f>
        <v/>
      </c>
      <c r="AB27" s="108">
        <f>SUMIFS(Прайс!$D$3:$D$11,Прайс!$A$3:$A$11,B27,Прайс!$B$3:$B$11,C27)</f>
        <v/>
      </c>
      <c r="AC27" s="105">
        <f>IF(AB27="","",AB27-AA27)</f>
        <v/>
      </c>
      <c r="AD27" s="109" t="n">
        <v>3913404.965753425</v>
      </c>
    </row>
    <row r="28">
      <c r="A28" s="101">
        <f>Комплектация!A30</f>
        <v/>
      </c>
      <c r="B28" s="101">
        <f>Комплектация!C30</f>
        <v/>
      </c>
      <c r="C28" s="102">
        <f>Комплектация!E30</f>
        <v/>
      </c>
      <c r="D28" s="103" t="n">
        <v>2050</v>
      </c>
      <c r="E28" s="103">
        <f>IF(D28="",Параметры!$B$11,MAX(1,D28-C28))</f>
        <v/>
      </c>
      <c r="F28" s="103">
        <f>MAX(0,YEAR(Параметры!$B$2)-C28)</f>
        <v/>
      </c>
      <c r="G28" s="104">
        <f>MIN(100,F28/E28*100)</f>
        <v/>
      </c>
      <c r="H28" s="104">
        <f>100-G28</f>
        <v/>
      </c>
      <c r="I28" s="103">
        <f>AVERAGE(Комплектация!BJ30,Комплектация!BP30,Комплектация!BV30,Комплектация!CB30,Комплектация!CH30,Комплектация!CN30)</f>
        <v/>
      </c>
      <c r="J28" s="103">
        <f>MAX(0,YEAR(Параметры!$B$2)-I28)</f>
        <v/>
      </c>
      <c r="K28" s="104">
        <f>MIN(100,J28/Параметры!$B$12*100)</f>
        <v/>
      </c>
      <c r="L28" s="104">
        <f>100-K28</f>
        <v/>
      </c>
      <c r="M28" s="103">
        <f>MIN(Комплектация!AA30,Комплектация!AB30,Комплектация!AK30,Комплектация!AL30,Комплектация!AU30,Комплектация!AV30,Комплектация!BE30,Комплектация!BF30)</f>
        <v/>
      </c>
      <c r="N28" s="104">
        <f>AVERAGE((100-MAX(0,MIN(100,(Параметры!$B$13-MIN(Комплектация!AA30,Комплектация!AB30))/(Параметры!$B$13-Параметры!$B$14)*100))),(100-MAX(0,MIN(100,(Параметры!$B$13-MIN(Комплектация!AK30,Комплектация!AL30))/(Параметры!$B$13-Параметры!$B$14)*100))),(100-MAX(0,MIN(100,(Параметры!$B$13-MIN(Комплектация!AU30,Комплектация!AV30))/(Параметры!$B$13-Параметры!$B$14)*100))),(100-MAX(0,MIN(100,(Параметры!$B$13-MIN(Комплектация!BE30,Комплектация!BF30))/(Параметры!$B$13-Параметры!$B$14)*100))))</f>
        <v/>
      </c>
      <c r="O28" s="104">
        <f>AVERAGE(H28,L28)</f>
        <v/>
      </c>
      <c r="P28" s="105">
        <f>Параметры!$B$3*(Параметры!$B$5*H28+Параметры!$B$6*L28+Параметры!$B$7*N28+Параметры!$B$8*O28)/100</f>
        <v/>
      </c>
      <c r="Q28" s="106" t="n">
        <v>45922</v>
      </c>
      <c r="R28" s="106" t="n">
        <v>46652</v>
      </c>
      <c r="S28" s="104">
        <f>IF(OR(Q28="",R28="",R28=Q28),"",MAX(0,MIN(100,(Параметры!$B$2-Q28)/(R28-Q28)*100)))</f>
        <v/>
      </c>
      <c r="T28" s="103">
        <f>IF(ISNUMBER(Комплектация!P30),Комплектация!P30,"")</f>
        <v/>
      </c>
      <c r="U28" s="103">
        <f>IF(ISNUMBER(Комплектация!N30),Комплектация!N30,"")</f>
        <v/>
      </c>
      <c r="V28" s="104">
        <f>IF(OR(U28="",T28="",U28=0),"",MAX(0,MIN(100,(U28-T28)/U28*100)))</f>
        <v/>
      </c>
      <c r="W28" s="104">
        <f>MAX(IF(S28="",0,S28),IF(V28="",0,V28))</f>
        <v/>
      </c>
      <c r="X28" s="105">
        <f>Параметры!$B$18*W28/100</f>
        <v/>
      </c>
      <c r="Y28" s="103">
        <f>IF(MIN(Комплектация!AA30,Комплектация!AB30)-Параметры!$B$15&lt;Параметры!$B$16,1,0)+IF(MIN(Комплектация!AK30,Комплектация!AL30)-Параметры!$B$15&lt;Параметры!$B$16,1,0)+IF(MIN(Комплектация!AU30,Комплектация!AV30)-Параметры!$B$15&lt;Параметры!$B$16,1,0)+IF(MIN(Комплектация!BE30,Комплектация!BF30)-Параметры!$B$15&lt;Параметры!$B$16,1,0)</f>
        <v/>
      </c>
      <c r="Z28" s="105">
        <f>Y28*Параметры!$B$19</f>
        <v/>
      </c>
      <c r="AA28" s="107">
        <f>MAX(0,P28-X28-Z28)</f>
        <v/>
      </c>
      <c r="AB28" s="108">
        <f>SUMIFS(Прайс!$D$3:$D$11,Прайс!$A$3:$A$11,B28,Прайс!$B$3:$B$11,C28)</f>
        <v/>
      </c>
      <c r="AC28" s="105">
        <f>IF(AB28="","",AB28-AA28)</f>
        <v/>
      </c>
      <c r="AD28" s="109" t="n">
        <v>3872637.842465753</v>
      </c>
    </row>
    <row r="29">
      <c r="A29" s="101">
        <f>Комплектация!A31</f>
        <v/>
      </c>
      <c r="B29" s="101">
        <f>Комплектация!C31</f>
        <v/>
      </c>
      <c r="C29" s="102">
        <f>Комплектация!E31</f>
        <v/>
      </c>
      <c r="D29" s="103" t="n">
        <v>2050</v>
      </c>
      <c r="E29" s="103">
        <f>IF(D29="",Параметры!$B$11,MAX(1,D29-C29))</f>
        <v/>
      </c>
      <c r="F29" s="103">
        <f>MAX(0,YEAR(Параметры!$B$2)-C29)</f>
        <v/>
      </c>
      <c r="G29" s="104">
        <f>MIN(100,F29/E29*100)</f>
        <v/>
      </c>
      <c r="H29" s="104">
        <f>100-G29</f>
        <v/>
      </c>
      <c r="I29" s="103">
        <f>AVERAGE(Комплектация!BJ31,Комплектация!BP31,Комплектация!BV31,Комплектация!CB31,Комплектация!CH31,Комплектация!CN31)</f>
        <v/>
      </c>
      <c r="J29" s="103">
        <f>MAX(0,YEAR(Параметры!$B$2)-I29)</f>
        <v/>
      </c>
      <c r="K29" s="104">
        <f>MIN(100,J29/Параметры!$B$12*100)</f>
        <v/>
      </c>
      <c r="L29" s="104">
        <f>100-K29</f>
        <v/>
      </c>
      <c r="M29" s="103">
        <f>MIN(Комплектация!AA31,Комплектация!AB31,Комплектация!AK31,Комплектация!AL31,Комплектация!AU31,Комплектация!AV31,Комплектация!BE31,Комплектация!BF31)</f>
        <v/>
      </c>
      <c r="N29" s="104">
        <f>AVERAGE((100-MAX(0,MIN(100,(Параметры!$B$13-MIN(Комплектация!AA31,Комплектация!AB31))/(Параметры!$B$13-Параметры!$B$14)*100))),(100-MAX(0,MIN(100,(Параметры!$B$13-MIN(Комплектация!AK31,Комплектация!AL31))/(Параметры!$B$13-Параметры!$B$14)*100))),(100-MAX(0,MIN(100,(Параметры!$B$13-MIN(Комплектация!AU31,Комплектация!AV31))/(Параметры!$B$13-Параметры!$B$14)*100))),(100-MAX(0,MIN(100,(Параметры!$B$13-MIN(Комплектация!BE31,Комплектация!BF31))/(Параметры!$B$13-Параметры!$B$14)*100))))</f>
        <v/>
      </c>
      <c r="O29" s="104">
        <f>AVERAGE(H29,L29)</f>
        <v/>
      </c>
      <c r="P29" s="105">
        <f>Параметры!$B$3*(Параметры!$B$5*H29+Параметры!$B$6*L29+Параметры!$B$7*N29+Параметры!$B$8*O29)/100</f>
        <v/>
      </c>
      <c r="Q29" s="106" t="n">
        <v>46012</v>
      </c>
      <c r="R29" s="106" t="n">
        <v>46742</v>
      </c>
      <c r="S29" s="104">
        <f>IF(OR(Q29="",R29="",R29=Q29),"",MAX(0,MIN(100,(Параметры!$B$2-Q29)/(R29-Q29)*100)))</f>
        <v/>
      </c>
      <c r="T29" s="103">
        <f>IF(ISNUMBER(Комплектация!P31),Комплектация!P31,"")</f>
        <v/>
      </c>
      <c r="U29" s="103">
        <f>IF(ISNUMBER(Комплектация!N31),Комплектация!N31,"")</f>
        <v/>
      </c>
      <c r="V29" s="104">
        <f>IF(OR(U29="",T29="",U29=0),"",MAX(0,MIN(100,(U29-T29)/U29*100)))</f>
        <v/>
      </c>
      <c r="W29" s="104">
        <f>MAX(IF(S29="",0,S29),IF(V29="",0,V29))</f>
        <v/>
      </c>
      <c r="X29" s="105">
        <f>Параметры!$B$18*W29/100</f>
        <v/>
      </c>
      <c r="Y29" s="103">
        <f>IF(MIN(Комплектация!AA31,Комплектация!AB31)-Параметры!$B$15&lt;Параметры!$B$16,1,0)+IF(MIN(Комплектация!AK31,Комплектация!AL31)-Параметры!$B$15&lt;Параметры!$B$16,1,0)+IF(MIN(Комплектация!AU31,Комплектация!AV31)-Параметры!$B$15&lt;Параметры!$B$16,1,0)+IF(MIN(Комплектация!BE31,Комплектация!BF31)-Параметры!$B$15&lt;Параметры!$B$16,1,0)</f>
        <v/>
      </c>
      <c r="Z29" s="105">
        <f>Y29*Параметры!$B$19</f>
        <v/>
      </c>
      <c r="AA29" s="107">
        <f>MAX(0,P29-X29-Z29)</f>
        <v/>
      </c>
      <c r="AB29" s="108">
        <f>SUMIFS(Прайс!$D$3:$D$11,Прайс!$A$3:$A$11,B29,Прайс!$B$3:$B$11,C29)</f>
        <v/>
      </c>
      <c r="AC29" s="105">
        <f>IF(AB29="","",AB29-AA29)</f>
        <v/>
      </c>
      <c r="AD29" s="109" t="n">
        <v>3929966.609589042</v>
      </c>
    </row>
    <row r="30">
      <c r="A30" s="101">
        <f>Комплектация!A32</f>
        <v/>
      </c>
      <c r="B30" s="101">
        <f>Комплектация!C32</f>
        <v/>
      </c>
      <c r="C30" s="102">
        <f>Комплектация!E32</f>
        <v/>
      </c>
      <c r="D30" s="103" t="n">
        <v>2050</v>
      </c>
      <c r="E30" s="103">
        <f>IF(D30="",Параметры!$B$11,MAX(1,D30-C30))</f>
        <v/>
      </c>
      <c r="F30" s="103">
        <f>MAX(0,YEAR(Параметры!$B$2)-C30)</f>
        <v/>
      </c>
      <c r="G30" s="104">
        <f>MIN(100,F30/E30*100)</f>
        <v/>
      </c>
      <c r="H30" s="104">
        <f>100-G30</f>
        <v/>
      </c>
      <c r="I30" s="103">
        <f>AVERAGE(Комплектация!BJ32,Комплектация!BP32,Комплектация!BV32,Комплектация!CB32,Комплектация!CH32,Комплектация!CN32)</f>
        <v/>
      </c>
      <c r="J30" s="103">
        <f>MAX(0,YEAR(Параметры!$B$2)-I30)</f>
        <v/>
      </c>
      <c r="K30" s="104">
        <f>MIN(100,J30/Параметры!$B$12*100)</f>
        <v/>
      </c>
      <c r="L30" s="104">
        <f>100-K30</f>
        <v/>
      </c>
      <c r="M30" s="103">
        <f>MIN(Комплектация!AA32,Комплектация!AB32,Комплектация!AK32,Комплектация!AL32,Комплектация!AU32,Комплектация!AV32,Комплектация!BE32,Комплектация!BF32)</f>
        <v/>
      </c>
      <c r="N30" s="104">
        <f>AVERAGE((100-MAX(0,MIN(100,(Параметры!$B$13-MIN(Комплектация!AA32,Комплектация!AB32))/(Параметры!$B$13-Параметры!$B$14)*100))),(100-MAX(0,MIN(100,(Параметры!$B$13-MIN(Комплектация!AK32,Комплектация!AL32))/(Параметры!$B$13-Параметры!$B$14)*100))),(100-MAX(0,MIN(100,(Параметры!$B$13-MIN(Комплектация!AU32,Комплектация!AV32))/(Параметры!$B$13-Параметры!$B$14)*100))),(100-MAX(0,MIN(100,(Параметры!$B$13-MIN(Комплектация!BE32,Комплектация!BF32))/(Параметры!$B$13-Параметры!$B$14)*100))))</f>
        <v/>
      </c>
      <c r="O30" s="104">
        <f>AVERAGE(H30,L30)</f>
        <v/>
      </c>
      <c r="P30" s="105">
        <f>Параметры!$B$3*(Параметры!$B$5*H30+Параметры!$B$6*L30+Параметры!$B$7*N30+Параметры!$B$8*O30)/100</f>
        <v/>
      </c>
      <c r="Q30" s="106" t="n">
        <v>45930</v>
      </c>
      <c r="R30" s="106" t="n">
        <v>46660</v>
      </c>
      <c r="S30" s="104">
        <f>IF(OR(Q30="",R30="",R30=Q30),"",MAX(0,MIN(100,(Параметры!$B$2-Q30)/(R30-Q30)*100)))</f>
        <v/>
      </c>
      <c r="T30" s="103">
        <f>IF(ISNUMBER(Комплектация!P32),Комплектация!P32,"")</f>
        <v/>
      </c>
      <c r="U30" s="103">
        <f>IF(ISNUMBER(Комплектация!N32),Комплектация!N32,"")</f>
        <v/>
      </c>
      <c r="V30" s="104">
        <f>IF(OR(U30="",T30="",U30=0),"",MAX(0,MIN(100,(U30-T30)/U30*100)))</f>
        <v/>
      </c>
      <c r="W30" s="104">
        <f>MAX(IF(S30="",0,S30),IF(V30="",0,V30))</f>
        <v/>
      </c>
      <c r="X30" s="105">
        <f>Параметры!$B$18*W30/100</f>
        <v/>
      </c>
      <c r="Y30" s="103">
        <f>IF(MIN(Комплектация!AA32,Комплектация!AB32)-Параметры!$B$15&lt;Параметры!$B$16,1,0)+IF(MIN(Комплектация!AK32,Комплектация!AL32)-Параметры!$B$15&lt;Параметры!$B$16,1,0)+IF(MIN(Комплектация!AU32,Комплектация!AV32)-Параметры!$B$15&lt;Параметры!$B$16,1,0)+IF(MIN(Комплектация!BE32,Комплектация!BF32)-Параметры!$B$15&lt;Параметры!$B$16,1,0)</f>
        <v/>
      </c>
      <c r="Z30" s="105">
        <f>Y30*Параметры!$B$19</f>
        <v/>
      </c>
      <c r="AA30" s="107">
        <f>MAX(0,P30-X30-Z30)</f>
        <v/>
      </c>
      <c r="AB30" s="108">
        <f>SUMIFS(Прайс!$D$3:$D$11,Прайс!$A$3:$A$11,B30,Прайс!$B$3:$B$11,C30)</f>
        <v/>
      </c>
      <c r="AC30" s="105">
        <f>IF(AB30="","",AB30-AA30)</f>
        <v/>
      </c>
      <c r="AD30" s="109" t="n">
        <v>3877733.732876712</v>
      </c>
    </row>
    <row r="31">
      <c r="A31" s="101">
        <f>Комплектация!A33</f>
        <v/>
      </c>
      <c r="B31" s="101">
        <f>Комплектация!C33</f>
        <v/>
      </c>
      <c r="C31" s="102">
        <f>Комплектация!E33</f>
        <v/>
      </c>
      <c r="D31" s="103" t="n">
        <v>2050</v>
      </c>
      <c r="E31" s="103">
        <f>IF(D31="",Параметры!$B$11,MAX(1,D31-C31))</f>
        <v/>
      </c>
      <c r="F31" s="103">
        <f>MAX(0,YEAR(Параметры!$B$2)-C31)</f>
        <v/>
      </c>
      <c r="G31" s="104">
        <f>MIN(100,F31/E31*100)</f>
        <v/>
      </c>
      <c r="H31" s="104">
        <f>100-G31</f>
        <v/>
      </c>
      <c r="I31" s="103">
        <f>AVERAGE(Комплектация!BJ33,Комплектация!BP33,Комплектация!BV33,Комплектация!CB33,Комплектация!CH33,Комплектация!CN33)</f>
        <v/>
      </c>
      <c r="J31" s="103">
        <f>MAX(0,YEAR(Параметры!$B$2)-I31)</f>
        <v/>
      </c>
      <c r="K31" s="104">
        <f>MIN(100,J31/Параметры!$B$12*100)</f>
        <v/>
      </c>
      <c r="L31" s="104">
        <f>100-K31</f>
        <v/>
      </c>
      <c r="M31" s="103">
        <f>MIN(Комплектация!AA33,Комплектация!AB33,Комплектация!AK33,Комплектация!AL33,Комплектация!AU33,Комплектация!AV33,Комплектация!BE33,Комплектация!BF33)</f>
        <v/>
      </c>
      <c r="N31" s="104">
        <f>AVERAGE((100-MAX(0,MIN(100,(Параметры!$B$13-MIN(Комплектация!AA33,Комплектация!AB33))/(Параметры!$B$13-Параметры!$B$14)*100))),(100-MAX(0,MIN(100,(Параметры!$B$13-MIN(Комплектация!AK33,Комплектация!AL33))/(Параметры!$B$13-Параметры!$B$14)*100))),(100-MAX(0,MIN(100,(Параметры!$B$13-MIN(Комплектация!AU33,Комплектация!AV33))/(Параметры!$B$13-Параметры!$B$14)*100))),(100-MAX(0,MIN(100,(Параметры!$B$13-MIN(Комплектация!BE33,Комплектация!BF33))/(Параметры!$B$13-Параметры!$B$14)*100))))</f>
        <v/>
      </c>
      <c r="O31" s="104">
        <f>AVERAGE(H31,L31)</f>
        <v/>
      </c>
      <c r="P31" s="105">
        <f>Параметры!$B$3*(Параметры!$B$5*H31+Параметры!$B$6*L31+Параметры!$B$7*N31+Параметры!$B$8*O31)/100</f>
        <v/>
      </c>
      <c r="Q31" s="106" t="n">
        <v>45913</v>
      </c>
      <c r="R31" s="106" t="n">
        <v>46643</v>
      </c>
      <c r="S31" s="104">
        <f>IF(OR(Q31="",R31="",R31=Q31),"",MAX(0,MIN(100,(Параметры!$B$2-Q31)/(R31-Q31)*100)))</f>
        <v/>
      </c>
      <c r="T31" s="103">
        <f>IF(ISNUMBER(Комплектация!P33),Комплектация!P33,"")</f>
        <v/>
      </c>
      <c r="U31" s="103">
        <f>IF(ISNUMBER(Комплектация!N33),Комплектация!N33,"")</f>
        <v/>
      </c>
      <c r="V31" s="104">
        <f>IF(OR(U31="",T31="",U31=0),"",MAX(0,MIN(100,(U31-T31)/U31*100)))</f>
        <v/>
      </c>
      <c r="W31" s="104">
        <f>MAX(IF(S31="",0,S31),IF(V31="",0,V31))</f>
        <v/>
      </c>
      <c r="X31" s="105">
        <f>Параметры!$B$18*W31/100</f>
        <v/>
      </c>
      <c r="Y31" s="103">
        <f>IF(MIN(Комплектация!AA33,Комплектация!AB33)-Параметры!$B$15&lt;Параметры!$B$16,1,0)+IF(MIN(Комплектация!AK33,Комплектация!AL33)-Параметры!$B$15&lt;Параметры!$B$16,1,0)+IF(MIN(Комплектация!AU33,Комплектация!AV33)-Параметры!$B$15&lt;Параметры!$B$16,1,0)+IF(MIN(Комплектация!BE33,Комплектация!BF33)-Параметры!$B$15&lt;Параметры!$B$16,1,0)</f>
        <v/>
      </c>
      <c r="Z31" s="105">
        <f>Y31*Параметры!$B$19</f>
        <v/>
      </c>
      <c r="AA31" s="107">
        <f>MAX(0,P31-X31-Z31)</f>
        <v/>
      </c>
      <c r="AB31" s="108">
        <f>SUMIFS(Прайс!$D$3:$D$11,Прайс!$A$3:$A$11,B31,Прайс!$B$3:$B$11,C31)</f>
        <v/>
      </c>
      <c r="AC31" s="105">
        <f>IF(AB31="","",AB31-AA31)</f>
        <v/>
      </c>
      <c r="AD31" s="109" t="n">
        <v>3866904.965753425</v>
      </c>
    </row>
    <row r="32">
      <c r="A32" s="101">
        <f>Комплектация!A34</f>
        <v/>
      </c>
      <c r="B32" s="101">
        <f>Комплектация!C34</f>
        <v/>
      </c>
      <c r="C32" s="102">
        <f>Комплектация!E34</f>
        <v/>
      </c>
      <c r="D32" s="103" t="n">
        <v>2050</v>
      </c>
      <c r="E32" s="103">
        <f>IF(D32="",Параметры!$B$11,MAX(1,D32-C32))</f>
        <v/>
      </c>
      <c r="F32" s="103">
        <f>MAX(0,YEAR(Параметры!$B$2)-C32)</f>
        <v/>
      </c>
      <c r="G32" s="104">
        <f>MIN(100,F32/E32*100)</f>
        <v/>
      </c>
      <c r="H32" s="104">
        <f>100-G32</f>
        <v/>
      </c>
      <c r="I32" s="103">
        <f>AVERAGE(Комплектация!BJ34,Комплектация!BP34,Комплектация!BV34,Комплектация!CB34,Комплектация!CH34,Комплектация!CN34)</f>
        <v/>
      </c>
      <c r="J32" s="103">
        <f>MAX(0,YEAR(Параметры!$B$2)-I32)</f>
        <v/>
      </c>
      <c r="K32" s="104">
        <f>MIN(100,J32/Параметры!$B$12*100)</f>
        <v/>
      </c>
      <c r="L32" s="104">
        <f>100-K32</f>
        <v/>
      </c>
      <c r="M32" s="103">
        <f>MIN(Комплектация!AA34,Комплектация!AB34,Комплектация!AK34,Комплектация!AL34,Комплектация!AU34,Комплектация!AV34,Комплектация!BE34,Комплектация!BF34)</f>
        <v/>
      </c>
      <c r="N32" s="104">
        <f>AVERAGE((100-MAX(0,MIN(100,(Параметры!$B$13-MIN(Комплектация!AA34,Комплектация!AB34))/(Параметры!$B$13-Параметры!$B$14)*100))),(100-MAX(0,MIN(100,(Параметры!$B$13-MIN(Комплектация!AK34,Комплектация!AL34))/(Параметры!$B$13-Параметры!$B$14)*100))),(100-MAX(0,MIN(100,(Параметры!$B$13-MIN(Комплектация!AU34,Комплектация!AV34))/(Параметры!$B$13-Параметры!$B$14)*100))),(100-MAX(0,MIN(100,(Параметры!$B$13-MIN(Комплектация!BE34,Комплектация!BF34))/(Параметры!$B$13-Параметры!$B$14)*100))))</f>
        <v/>
      </c>
      <c r="O32" s="104">
        <f>AVERAGE(H32,L32)</f>
        <v/>
      </c>
      <c r="P32" s="105">
        <f>Параметры!$B$3*(Параметры!$B$5*H32+Параметры!$B$6*L32+Параметры!$B$7*N32+Параметры!$B$8*O32)/100</f>
        <v/>
      </c>
      <c r="Q32" s="106" t="n">
        <v>45987</v>
      </c>
      <c r="R32" s="106" t="n">
        <v>46717</v>
      </c>
      <c r="S32" s="104">
        <f>IF(OR(Q32="",R32="",R32=Q32),"",MAX(0,MIN(100,(Параметры!$B$2-Q32)/(R32-Q32)*100)))</f>
        <v/>
      </c>
      <c r="T32" s="103">
        <f>IF(ISNUMBER(Комплектация!P34),Комплектация!P34,"")</f>
        <v/>
      </c>
      <c r="U32" s="103">
        <f>IF(ISNUMBER(Комплектация!N34),Комплектация!N34,"")</f>
        <v/>
      </c>
      <c r="V32" s="104">
        <f>IF(OR(U32="",T32="",U32=0),"",MAX(0,MIN(100,(U32-T32)/U32*100)))</f>
        <v/>
      </c>
      <c r="W32" s="104">
        <f>MAX(IF(S32="",0,S32),IF(V32="",0,V32))</f>
        <v/>
      </c>
      <c r="X32" s="105">
        <f>Параметры!$B$18*W32/100</f>
        <v/>
      </c>
      <c r="Y32" s="103">
        <f>IF(MIN(Комплектация!AA34,Комплектация!AB34)-Параметры!$B$15&lt;Параметры!$B$16,1,0)+IF(MIN(Комплектация!AK34,Комплектация!AL34)-Параметры!$B$15&lt;Параметры!$B$16,1,0)+IF(MIN(Комплектация!AU34,Комплектация!AV34)-Параметры!$B$15&lt;Параметры!$B$16,1,0)+IF(MIN(Комплектация!BE34,Комплектация!BF34)-Параметры!$B$15&lt;Параметры!$B$16,1,0)</f>
        <v/>
      </c>
      <c r="Z32" s="105">
        <f>Y32*Параметры!$B$19</f>
        <v/>
      </c>
      <c r="AA32" s="107">
        <f>MAX(0,P32-X32-Z32)</f>
        <v/>
      </c>
      <c r="AB32" s="108">
        <f>SUMIFS(Прайс!$D$3:$D$11,Прайс!$A$3:$A$11,B32,Прайс!$B$3:$B$11,C32)</f>
        <v/>
      </c>
      <c r="AC32" s="105">
        <f>IF(AB32="","",AB32-AA32)</f>
        <v/>
      </c>
      <c r="AD32" s="109" t="n">
        <v>3914041.952054794</v>
      </c>
    </row>
    <row r="33">
      <c r="A33" s="101">
        <f>Комплектация!A35</f>
        <v/>
      </c>
      <c r="B33" s="101">
        <f>Комплектация!C35</f>
        <v/>
      </c>
      <c r="C33" s="102">
        <f>Комплектация!E35</f>
        <v/>
      </c>
      <c r="D33" s="103" t="n">
        <v>2050</v>
      </c>
      <c r="E33" s="103">
        <f>IF(D33="",Параметры!$B$11,MAX(1,D33-C33))</f>
        <v/>
      </c>
      <c r="F33" s="103">
        <f>MAX(0,YEAR(Параметры!$B$2)-C33)</f>
        <v/>
      </c>
      <c r="G33" s="104">
        <f>MIN(100,F33/E33*100)</f>
        <v/>
      </c>
      <c r="H33" s="104">
        <f>100-G33</f>
        <v/>
      </c>
      <c r="I33" s="103">
        <f>AVERAGE(Комплектация!BJ35,Комплектация!BP35,Комплектация!BV35,Комплектация!CB35,Комплектация!CH35,Комплектация!CN35)</f>
        <v/>
      </c>
      <c r="J33" s="103">
        <f>MAX(0,YEAR(Параметры!$B$2)-I33)</f>
        <v/>
      </c>
      <c r="K33" s="104">
        <f>MIN(100,J33/Параметры!$B$12*100)</f>
        <v/>
      </c>
      <c r="L33" s="104">
        <f>100-K33</f>
        <v/>
      </c>
      <c r="M33" s="103">
        <f>MIN(Комплектация!AA35,Комплектация!AB35,Комплектация!AK35,Комплектация!AL35,Комплектация!AU35,Комплектация!AV35,Комплектация!BE35,Комплектация!BF35)</f>
        <v/>
      </c>
      <c r="N33" s="104">
        <f>AVERAGE((100-MAX(0,MIN(100,(Параметры!$B$13-MIN(Комплектация!AA35,Комплектация!AB35))/(Параметры!$B$13-Параметры!$B$14)*100))),(100-MAX(0,MIN(100,(Параметры!$B$13-MIN(Комплектация!AK35,Комплектация!AL35))/(Параметры!$B$13-Параметры!$B$14)*100))),(100-MAX(0,MIN(100,(Параметры!$B$13-MIN(Комплектация!AU35,Комплектация!AV35))/(Параметры!$B$13-Параметры!$B$14)*100))),(100-MAX(0,MIN(100,(Параметры!$B$13-MIN(Комплектация!BE35,Комплектация!BF35))/(Параметры!$B$13-Параметры!$B$14)*100))))</f>
        <v/>
      </c>
      <c r="O33" s="104">
        <f>AVERAGE(H33,L33)</f>
        <v/>
      </c>
      <c r="P33" s="105">
        <f>Параметры!$B$3*(Параметры!$B$5*H33+Параметры!$B$6*L33+Параметры!$B$7*N33+Параметры!$B$8*O33)/100</f>
        <v/>
      </c>
      <c r="Q33" s="106" t="n">
        <v>45959</v>
      </c>
      <c r="R33" s="106" t="n">
        <v>46689</v>
      </c>
      <c r="S33" s="104">
        <f>IF(OR(Q33="",R33="",R33=Q33),"",MAX(0,MIN(100,(Параметры!$B$2-Q33)/(R33-Q33)*100)))</f>
        <v/>
      </c>
      <c r="T33" s="103">
        <f>IF(ISNUMBER(Комплектация!P35),Комплектация!P35,"")</f>
        <v/>
      </c>
      <c r="U33" s="103">
        <f>IF(ISNUMBER(Комплектация!N35),Комплектация!N35,"")</f>
        <v/>
      </c>
      <c r="V33" s="104">
        <f>IF(OR(U33="",T33="",U33=0),"",MAX(0,MIN(100,(U33-T33)/U33*100)))</f>
        <v/>
      </c>
      <c r="W33" s="104">
        <f>MAX(IF(S33="",0,S33),IF(V33="",0,V33))</f>
        <v/>
      </c>
      <c r="X33" s="105">
        <f>Параметры!$B$18*W33/100</f>
        <v/>
      </c>
      <c r="Y33" s="103">
        <f>IF(MIN(Комплектация!AA35,Комплектация!AB35)-Параметры!$B$15&lt;Параметры!$B$16,1,0)+IF(MIN(Комплектация!AK35,Комплектация!AL35)-Параметры!$B$15&lt;Параметры!$B$16,1,0)+IF(MIN(Комплектация!AU35,Комплектация!AV35)-Параметры!$B$15&lt;Параметры!$B$16,1,0)+IF(MIN(Комплектация!BE35,Комплектация!BF35)-Параметры!$B$15&lt;Параметры!$B$16,1,0)</f>
        <v/>
      </c>
      <c r="Z33" s="105">
        <f>Y33*Параметры!$B$19</f>
        <v/>
      </c>
      <c r="AA33" s="107">
        <f>MAX(0,P33-X33-Z33)</f>
        <v/>
      </c>
      <c r="AB33" s="108">
        <f>SUMIFS(Прайс!$D$3:$D$11,Прайс!$A$3:$A$11,B33,Прайс!$B$3:$B$11,C33)</f>
        <v/>
      </c>
      <c r="AC33" s="105">
        <f>IF(AB33="","",AB33-AA33)</f>
        <v/>
      </c>
      <c r="AD33" s="109" t="n">
        <v>3896206.335616438</v>
      </c>
    </row>
    <row r="34">
      <c r="A34" s="101">
        <f>Комплектация!A36</f>
        <v/>
      </c>
      <c r="B34" s="101">
        <f>Комплектация!C36</f>
        <v/>
      </c>
      <c r="C34" s="102">
        <f>Комплектация!E36</f>
        <v/>
      </c>
      <c r="D34" s="103" t="n">
        <v>2050</v>
      </c>
      <c r="E34" s="103">
        <f>IF(D34="",Параметры!$B$11,MAX(1,D34-C34))</f>
        <v/>
      </c>
      <c r="F34" s="103">
        <f>MAX(0,YEAR(Параметры!$B$2)-C34)</f>
        <v/>
      </c>
      <c r="G34" s="104">
        <f>MIN(100,F34/E34*100)</f>
        <v/>
      </c>
      <c r="H34" s="104">
        <f>100-G34</f>
        <v/>
      </c>
      <c r="I34" s="103">
        <f>AVERAGE(Комплектация!BJ36,Комплектация!BP36,Комплектация!BV36,Комплектация!CB36,Комплектация!CH36,Комплектация!CN36)</f>
        <v/>
      </c>
      <c r="J34" s="103">
        <f>MAX(0,YEAR(Параметры!$B$2)-I34)</f>
        <v/>
      </c>
      <c r="K34" s="104">
        <f>MIN(100,J34/Параметры!$B$12*100)</f>
        <v/>
      </c>
      <c r="L34" s="104">
        <f>100-K34</f>
        <v/>
      </c>
      <c r="M34" s="103">
        <f>MIN(Комплектация!AA36,Комплектация!AB36,Комплектация!AK36,Комплектация!AL36,Комплектация!AU36,Комплектация!AV36,Комплектация!BE36,Комплектация!BF36)</f>
        <v/>
      </c>
      <c r="N34" s="104">
        <f>AVERAGE((100-MAX(0,MIN(100,(Параметры!$B$13-MIN(Комплектация!AA36,Комплектация!AB36))/(Параметры!$B$13-Параметры!$B$14)*100))),(100-MAX(0,MIN(100,(Параметры!$B$13-MIN(Комплектация!AK36,Комплектация!AL36))/(Параметры!$B$13-Параметры!$B$14)*100))),(100-MAX(0,MIN(100,(Параметры!$B$13-MIN(Комплектация!AU36,Комплектация!AV36))/(Параметры!$B$13-Параметры!$B$14)*100))),(100-MAX(0,MIN(100,(Параметры!$B$13-MIN(Комплектация!BE36,Комплектация!BF36))/(Параметры!$B$13-Параметры!$B$14)*100))))</f>
        <v/>
      </c>
      <c r="O34" s="104">
        <f>AVERAGE(H34,L34)</f>
        <v/>
      </c>
      <c r="P34" s="105">
        <f>Параметры!$B$3*(Параметры!$B$5*H34+Параметры!$B$6*L34+Параметры!$B$7*N34+Параметры!$B$8*O34)/100</f>
        <v/>
      </c>
      <c r="Q34" s="106" t="n">
        <v>46034</v>
      </c>
      <c r="R34" s="106" t="n">
        <v>46764</v>
      </c>
      <c r="S34" s="104">
        <f>IF(OR(Q34="",R34="",R34=Q34),"",MAX(0,MIN(100,(Параметры!$B$2-Q34)/(R34-Q34)*100)))</f>
        <v/>
      </c>
      <c r="T34" s="103">
        <f>IF(ISNUMBER(Комплектация!P36),Комплектация!P36,"")</f>
        <v/>
      </c>
      <c r="U34" s="103">
        <f>IF(ISNUMBER(Комплектация!N36),Комплектация!N36,"")</f>
        <v/>
      </c>
      <c r="V34" s="104">
        <f>IF(OR(U34="",T34="",U34=0),"",MAX(0,MIN(100,(U34-T34)/U34*100)))</f>
        <v/>
      </c>
      <c r="W34" s="104">
        <f>MAX(IF(S34="",0,S34),IF(V34="",0,V34))</f>
        <v/>
      </c>
      <c r="X34" s="105">
        <f>Параметры!$B$18*W34/100</f>
        <v/>
      </c>
      <c r="Y34" s="103">
        <f>IF(MIN(Комплектация!AA36,Комплектация!AB36)-Параметры!$B$15&lt;Параметры!$B$16,1,0)+IF(MIN(Комплектация!AK36,Комплектация!AL36)-Параметры!$B$15&lt;Параметры!$B$16,1,0)+IF(MIN(Комплектация!AU36,Комплектация!AV36)-Параметры!$B$15&lt;Параметры!$B$16,1,0)+IF(MIN(Комплектация!BE36,Комплектация!BF36)-Параметры!$B$15&lt;Параметры!$B$16,1,0)</f>
        <v/>
      </c>
      <c r="Z34" s="105">
        <f>Y34*Параметры!$B$19</f>
        <v/>
      </c>
      <c r="AA34" s="107">
        <f>MAX(0,P34-X34-Z34)</f>
        <v/>
      </c>
      <c r="AB34" s="108">
        <f>SUMIFS(Прайс!$D$3:$D$11,Прайс!$A$3:$A$11,B34,Прайс!$B$3:$B$11,C34)</f>
        <v/>
      </c>
      <c r="AC34" s="105">
        <f>IF(AB34="","",AB34-AA34)</f>
        <v/>
      </c>
      <c r="AD34" s="109" t="n">
        <v>3943980.308219178</v>
      </c>
    </row>
    <row r="35">
      <c r="A35" s="101">
        <f>Комплектация!A37</f>
        <v/>
      </c>
      <c r="B35" s="101">
        <f>Комплектация!C37</f>
        <v/>
      </c>
      <c r="C35" s="102">
        <f>Комплектация!E37</f>
        <v/>
      </c>
      <c r="D35" s="103" t="n">
        <v>2050</v>
      </c>
      <c r="E35" s="103">
        <f>IF(D35="",Параметры!$B$11,MAX(1,D35-C35))</f>
        <v/>
      </c>
      <c r="F35" s="103">
        <f>MAX(0,YEAR(Параметры!$B$2)-C35)</f>
        <v/>
      </c>
      <c r="G35" s="104">
        <f>MIN(100,F35/E35*100)</f>
        <v/>
      </c>
      <c r="H35" s="104">
        <f>100-G35</f>
        <v/>
      </c>
      <c r="I35" s="103">
        <f>AVERAGE(Комплектация!BJ37,Комплектация!BP37,Комплектация!BV37,Комплектация!CB37,Комплектация!CH37,Комплектация!CN37)</f>
        <v/>
      </c>
      <c r="J35" s="103">
        <f>MAX(0,YEAR(Параметры!$B$2)-I35)</f>
        <v/>
      </c>
      <c r="K35" s="104">
        <f>MIN(100,J35/Параметры!$B$12*100)</f>
        <v/>
      </c>
      <c r="L35" s="104">
        <f>100-K35</f>
        <v/>
      </c>
      <c r="M35" s="103">
        <f>MIN(Комплектация!AA37,Комплектация!AB37,Комплектация!AK37,Комплектация!AL37,Комплектация!AU37,Комплектация!AV37,Комплектация!BE37,Комплектация!BF37)</f>
        <v/>
      </c>
      <c r="N35" s="104">
        <f>AVERAGE((100-MAX(0,MIN(100,(Параметры!$B$13-MIN(Комплектация!AA37,Комплектация!AB37))/(Параметры!$B$13-Параметры!$B$14)*100))),(100-MAX(0,MIN(100,(Параметры!$B$13-MIN(Комплектация!AK37,Комплектация!AL37))/(Параметры!$B$13-Параметры!$B$14)*100))),(100-MAX(0,MIN(100,(Параметры!$B$13-MIN(Комплектация!AU37,Комплектация!AV37))/(Параметры!$B$13-Параметры!$B$14)*100))),(100-MAX(0,MIN(100,(Параметры!$B$13-MIN(Комплектация!BE37,Комплектация!BF37))/(Параметры!$B$13-Параметры!$B$14)*100))))</f>
        <v/>
      </c>
      <c r="O35" s="104">
        <f>AVERAGE(H35,L35)</f>
        <v/>
      </c>
      <c r="P35" s="105">
        <f>Параметры!$B$3*(Параметры!$B$5*H35+Параметры!$B$6*L35+Параметры!$B$7*N35+Параметры!$B$8*O35)/100</f>
        <v/>
      </c>
      <c r="Q35" s="106" t="n">
        <v>45984</v>
      </c>
      <c r="R35" s="106" t="n">
        <v>46714</v>
      </c>
      <c r="S35" s="104">
        <f>IF(OR(Q35="",R35="",R35=Q35),"",MAX(0,MIN(100,(Параметры!$B$2-Q35)/(R35-Q35)*100)))</f>
        <v/>
      </c>
      <c r="T35" s="103">
        <f>IF(ISNUMBER(Комплектация!P37),Комплектация!P37,"")</f>
        <v/>
      </c>
      <c r="U35" s="103">
        <f>IF(ISNUMBER(Комплектация!N37),Комплектация!N37,"")</f>
        <v/>
      </c>
      <c r="V35" s="104">
        <f>IF(OR(U35="",T35="",U35=0),"",MAX(0,MIN(100,(U35-T35)/U35*100)))</f>
        <v/>
      </c>
      <c r="W35" s="104">
        <f>MAX(IF(S35="",0,S35),IF(V35="",0,V35))</f>
        <v/>
      </c>
      <c r="X35" s="105">
        <f>Параметры!$B$18*W35/100</f>
        <v/>
      </c>
      <c r="Y35" s="103">
        <f>IF(MIN(Комплектация!AA37,Комплектация!AB37)-Параметры!$B$15&lt;Параметры!$B$16,1,0)+IF(MIN(Комплектация!AK37,Комплектация!AL37)-Параметры!$B$15&lt;Параметры!$B$16,1,0)+IF(MIN(Комплектация!AU37,Комплектация!AV37)-Параметры!$B$15&lt;Параметры!$B$16,1,0)+IF(MIN(Комплектация!BE37,Комплектация!BF37)-Параметры!$B$15&lt;Параметры!$B$16,1,0)</f>
        <v/>
      </c>
      <c r="Z35" s="105">
        <f>Y35*Параметры!$B$19</f>
        <v/>
      </c>
      <c r="AA35" s="107">
        <f>MAX(0,P35-X35-Z35)</f>
        <v/>
      </c>
      <c r="AB35" s="108">
        <f>SUMIFS(Прайс!$D$3:$D$11,Прайс!$A$3:$A$11,B35,Прайс!$B$3:$B$11,C35)</f>
        <v/>
      </c>
      <c r="AC35" s="105">
        <f>IF(AB35="","",AB35-AA35)</f>
        <v/>
      </c>
      <c r="AD35" s="109" t="n">
        <v>3505255.993150685</v>
      </c>
    </row>
    <row r="36">
      <c r="A36" s="101">
        <f>Комплектация!A38</f>
        <v/>
      </c>
      <c r="B36" s="101">
        <f>Комплектация!C38</f>
        <v/>
      </c>
      <c r="C36" s="102">
        <f>Комплектация!E38</f>
        <v/>
      </c>
      <c r="D36" s="103" t="n">
        <v>2050</v>
      </c>
      <c r="E36" s="103">
        <f>IF(D36="",Параметры!$B$11,MAX(1,D36-C36))</f>
        <v/>
      </c>
      <c r="F36" s="103">
        <f>MAX(0,YEAR(Параметры!$B$2)-C36)</f>
        <v/>
      </c>
      <c r="G36" s="104">
        <f>MIN(100,F36/E36*100)</f>
        <v/>
      </c>
      <c r="H36" s="104">
        <f>100-G36</f>
        <v/>
      </c>
      <c r="I36" s="103">
        <f>AVERAGE(Комплектация!BJ38,Комплектация!BP38,Комплектация!BV38,Комплектация!CB38,Комплектация!CH38,Комплектация!CN38)</f>
        <v/>
      </c>
      <c r="J36" s="103">
        <f>MAX(0,YEAR(Параметры!$B$2)-I36)</f>
        <v/>
      </c>
      <c r="K36" s="104">
        <f>MIN(100,J36/Параметры!$B$12*100)</f>
        <v/>
      </c>
      <c r="L36" s="104">
        <f>100-K36</f>
        <v/>
      </c>
      <c r="M36" s="103">
        <f>MIN(Комплектация!AA38,Комплектация!AB38,Комплектация!AK38,Комплектация!AL38,Комплектация!AU38,Комплектация!AV38,Комплектация!BE38,Комплектация!BF38)</f>
        <v/>
      </c>
      <c r="N36" s="104">
        <f>AVERAGE((100-MAX(0,MIN(100,(Параметры!$B$13-MIN(Комплектация!AA38,Комплектация!AB38))/(Параметры!$B$13-Параметры!$B$14)*100))),(100-MAX(0,MIN(100,(Параметры!$B$13-MIN(Комплектация!AK38,Комплектация!AL38))/(Параметры!$B$13-Параметры!$B$14)*100))),(100-MAX(0,MIN(100,(Параметры!$B$13-MIN(Комплектация!AU38,Комплектация!AV38))/(Параметры!$B$13-Параметры!$B$14)*100))),(100-MAX(0,MIN(100,(Параметры!$B$13-MIN(Комплектация!BE38,Комплектация!BF38))/(Параметры!$B$13-Параметры!$B$14)*100))))</f>
        <v/>
      </c>
      <c r="O36" s="104">
        <f>AVERAGE(H36,L36)</f>
        <v/>
      </c>
      <c r="P36" s="105">
        <f>Параметры!$B$3*(Параметры!$B$5*H36+Параметры!$B$6*L36+Параметры!$B$7*N36+Параметры!$B$8*O36)/100</f>
        <v/>
      </c>
      <c r="Q36" s="106" t="n">
        <v>45913</v>
      </c>
      <c r="R36" s="106" t="n">
        <v>46643</v>
      </c>
      <c r="S36" s="104">
        <f>IF(OR(Q36="",R36="",R36=Q36),"",MAX(0,MIN(100,(Параметры!$B$2-Q36)/(R36-Q36)*100)))</f>
        <v/>
      </c>
      <c r="T36" s="103">
        <f>IF(ISNUMBER(Комплектация!P38),Комплектация!P38,"")</f>
        <v/>
      </c>
      <c r="U36" s="103">
        <f>IF(ISNUMBER(Комплектация!N38),Комплектация!N38,"")</f>
        <v/>
      </c>
      <c r="V36" s="104">
        <f>IF(OR(U36="",T36="",U36=0),"",MAX(0,MIN(100,(U36-T36)/U36*100)))</f>
        <v/>
      </c>
      <c r="W36" s="104">
        <f>MAX(IF(S36="",0,S36),IF(V36="",0,V36))</f>
        <v/>
      </c>
      <c r="X36" s="105">
        <f>Параметры!$B$18*W36/100</f>
        <v/>
      </c>
      <c r="Y36" s="103">
        <f>IF(MIN(Комплектация!AA38,Комплектация!AB38)-Параметры!$B$15&lt;Параметры!$B$16,1,0)+IF(MIN(Комплектация!AK38,Комплектация!AL38)-Параметры!$B$15&lt;Параметры!$B$16,1,0)+IF(MIN(Комплектация!AU38,Комплектация!AV38)-Параметры!$B$15&lt;Параметры!$B$16,1,0)+IF(MIN(Комплектация!BE38,Комплектация!BF38)-Параметры!$B$15&lt;Параметры!$B$16,1,0)</f>
        <v/>
      </c>
      <c r="Z36" s="105">
        <f>Y36*Параметры!$B$19</f>
        <v/>
      </c>
      <c r="AA36" s="107">
        <f>MAX(0,P36-X36-Z36)</f>
        <v/>
      </c>
      <c r="AB36" s="108">
        <f>SUMIFS(Прайс!$D$3:$D$11,Прайс!$A$3:$A$11,B36,Прайс!$B$3:$B$11,C36)</f>
        <v/>
      </c>
      <c r="AC36" s="105">
        <f>IF(AB36="","",AB36-AA36)</f>
        <v/>
      </c>
      <c r="AD36" s="109" t="n">
        <v>3866904.965753425</v>
      </c>
    </row>
    <row r="37">
      <c r="A37" s="101">
        <f>Комплектация!A39</f>
        <v/>
      </c>
      <c r="B37" s="101">
        <f>Комплектация!C39</f>
        <v/>
      </c>
      <c r="C37" s="102">
        <f>Комплектация!E39</f>
        <v/>
      </c>
      <c r="D37" s="103" t="n">
        <v>2050</v>
      </c>
      <c r="E37" s="103">
        <f>IF(D37="",Параметры!$B$11,MAX(1,D37-C37))</f>
        <v/>
      </c>
      <c r="F37" s="103">
        <f>MAX(0,YEAR(Параметры!$B$2)-C37)</f>
        <v/>
      </c>
      <c r="G37" s="104">
        <f>MIN(100,F37/E37*100)</f>
        <v/>
      </c>
      <c r="H37" s="104">
        <f>100-G37</f>
        <v/>
      </c>
      <c r="I37" s="103">
        <f>AVERAGE(Комплектация!BJ39,Комплектация!BP39,Комплектация!BV39,Комплектация!CB39,Комплектация!CH39,Комплектация!CN39)</f>
        <v/>
      </c>
      <c r="J37" s="103">
        <f>MAX(0,YEAR(Параметры!$B$2)-I37)</f>
        <v/>
      </c>
      <c r="K37" s="104">
        <f>MIN(100,J37/Параметры!$B$12*100)</f>
        <v/>
      </c>
      <c r="L37" s="104">
        <f>100-K37</f>
        <v/>
      </c>
      <c r="M37" s="103">
        <f>MIN(Комплектация!AA39,Комплектация!AB39,Комплектация!AK39,Комплектация!AL39,Комплектация!AU39,Комплектация!AV39,Комплектация!BE39,Комплектация!BF39)</f>
        <v/>
      </c>
      <c r="N37" s="104">
        <f>AVERAGE((100-MAX(0,MIN(100,(Параметры!$B$13-MIN(Комплектация!AA39,Комплектация!AB39))/(Параметры!$B$13-Параметры!$B$14)*100))),(100-MAX(0,MIN(100,(Параметры!$B$13-MIN(Комплектация!AK39,Комплектация!AL39))/(Параметры!$B$13-Параметры!$B$14)*100))),(100-MAX(0,MIN(100,(Параметры!$B$13-MIN(Комплектация!AU39,Комплектация!AV39))/(Параметры!$B$13-Параметры!$B$14)*100))),(100-MAX(0,MIN(100,(Параметры!$B$13-MIN(Комплектация!BE39,Комплектация!BF39))/(Параметры!$B$13-Параметры!$B$14)*100))))</f>
        <v/>
      </c>
      <c r="O37" s="104">
        <f>AVERAGE(H37,L37)</f>
        <v/>
      </c>
      <c r="P37" s="105">
        <f>Параметры!$B$3*(Параметры!$B$5*H37+Параметры!$B$6*L37+Параметры!$B$7*N37+Параметры!$B$8*O37)/100</f>
        <v/>
      </c>
      <c r="Q37" s="106" t="n">
        <v>45944</v>
      </c>
      <c r="R37" s="106" t="n">
        <v>46674</v>
      </c>
      <c r="S37" s="104">
        <f>IF(OR(Q37="",R37="",R37=Q37),"",MAX(0,MIN(100,(Параметры!$B$2-Q37)/(R37-Q37)*100)))</f>
        <v/>
      </c>
      <c r="T37" s="103">
        <f>IF(ISNUMBER(Комплектация!P39),Комплектация!P39,"")</f>
        <v/>
      </c>
      <c r="U37" s="103">
        <f>IF(ISNUMBER(Комплектация!N39),Комплектация!N39,"")</f>
        <v/>
      </c>
      <c r="V37" s="104">
        <f>IF(OR(U37="",T37="",U37=0),"",MAX(0,MIN(100,(U37-T37)/U37*100)))</f>
        <v/>
      </c>
      <c r="W37" s="104">
        <f>MAX(IF(S37="",0,S37),IF(V37="",0,V37))</f>
        <v/>
      </c>
      <c r="X37" s="105">
        <f>Параметры!$B$18*W37/100</f>
        <v/>
      </c>
      <c r="Y37" s="103">
        <f>IF(MIN(Комплектация!AA39,Комплектация!AB39)-Параметры!$B$15&lt;Параметры!$B$16,1,0)+IF(MIN(Комплектация!AK39,Комплектация!AL39)-Параметры!$B$15&lt;Параметры!$B$16,1,0)+IF(MIN(Комплектация!AU39,Комплектация!AV39)-Параметры!$B$15&lt;Параметры!$B$16,1,0)+IF(MIN(Комплектация!BE39,Комплектация!BF39)-Параметры!$B$15&lt;Параметры!$B$16,1,0)</f>
        <v/>
      </c>
      <c r="Z37" s="105">
        <f>Y37*Параметры!$B$19</f>
        <v/>
      </c>
      <c r="AA37" s="107">
        <f>MAX(0,P37-X37-Z37)</f>
        <v/>
      </c>
      <c r="AB37" s="108">
        <f>SUMIFS(Прайс!$D$3:$D$11,Прайс!$A$3:$A$11,B37,Прайс!$B$3:$B$11,C37)</f>
        <v/>
      </c>
      <c r="AC37" s="105">
        <f>IF(AB37="","",AB37-AA37)</f>
        <v/>
      </c>
      <c r="AD37" s="109" t="n">
        <v>3886651.541095891</v>
      </c>
    </row>
    <row r="38">
      <c r="A38" s="101">
        <f>Комплектация!A40</f>
        <v/>
      </c>
      <c r="B38" s="101">
        <f>Комплектация!C40</f>
        <v/>
      </c>
      <c r="C38" s="102">
        <f>Комплектация!E40</f>
        <v/>
      </c>
      <c r="D38" s="103" t="n">
        <v>2050</v>
      </c>
      <c r="E38" s="103">
        <f>IF(D38="",Параметры!$B$11,MAX(1,D38-C38))</f>
        <v/>
      </c>
      <c r="F38" s="103">
        <f>MAX(0,YEAR(Параметры!$B$2)-C38)</f>
        <v/>
      </c>
      <c r="G38" s="104">
        <f>MIN(100,F38/E38*100)</f>
        <v/>
      </c>
      <c r="H38" s="104">
        <f>100-G38</f>
        <v/>
      </c>
      <c r="I38" s="103">
        <f>AVERAGE(Комплектация!BJ40,Комплектация!BP40,Комплектация!BV40,Комплектация!CB40,Комплектация!CH40,Комплектация!CN40)</f>
        <v/>
      </c>
      <c r="J38" s="103">
        <f>MAX(0,YEAR(Параметры!$B$2)-I38)</f>
        <v/>
      </c>
      <c r="K38" s="104">
        <f>MIN(100,J38/Параметры!$B$12*100)</f>
        <v/>
      </c>
      <c r="L38" s="104">
        <f>100-K38</f>
        <v/>
      </c>
      <c r="M38" s="103">
        <f>MIN(Комплектация!AA40,Комплектация!AB40,Комплектация!AK40,Комплектация!AL40,Комплектация!AU40,Комплектация!AV40,Комплектация!BE40,Комплектация!BF40)</f>
        <v/>
      </c>
      <c r="N38" s="104">
        <f>AVERAGE((100-MAX(0,MIN(100,(Параметры!$B$13-MIN(Комплектация!AA40,Комплектация!AB40))/(Параметры!$B$13-Параметры!$B$14)*100))),(100-MAX(0,MIN(100,(Параметры!$B$13-MIN(Комплектация!AK40,Комплектация!AL40))/(Параметры!$B$13-Параметры!$B$14)*100))),(100-MAX(0,MIN(100,(Параметры!$B$13-MIN(Комплектация!AU40,Комплектация!AV40))/(Параметры!$B$13-Параметры!$B$14)*100))),(100-MAX(0,MIN(100,(Параметры!$B$13-MIN(Комплектация!BE40,Комплектация!BF40))/(Параметры!$B$13-Параметры!$B$14)*100))))</f>
        <v/>
      </c>
      <c r="O38" s="104">
        <f>AVERAGE(H38,L38)</f>
        <v/>
      </c>
      <c r="P38" s="105">
        <f>Параметры!$B$3*(Параметры!$B$5*H38+Параметры!$B$6*L38+Параметры!$B$7*N38+Параметры!$B$8*O38)/100</f>
        <v/>
      </c>
      <c r="Q38" s="106" t="n">
        <v>45982</v>
      </c>
      <c r="R38" s="106" t="n">
        <v>46712</v>
      </c>
      <c r="S38" s="104">
        <f>IF(OR(Q38="",R38="",R38=Q38),"",MAX(0,MIN(100,(Параметры!$B$2-Q38)/(R38-Q38)*100)))</f>
        <v/>
      </c>
      <c r="T38" s="103">
        <f>IF(ISNUMBER(Комплектация!P40),Комплектация!P40,"")</f>
        <v/>
      </c>
      <c r="U38" s="103">
        <f>IF(ISNUMBER(Комплектация!N40),Комплектация!N40,"")</f>
        <v/>
      </c>
      <c r="V38" s="104">
        <f>IF(OR(U38="",T38="",U38=0),"",MAX(0,MIN(100,(U38-T38)/U38*100)))</f>
        <v/>
      </c>
      <c r="W38" s="104">
        <f>MAX(IF(S38="",0,S38),IF(V38="",0,V38))</f>
        <v/>
      </c>
      <c r="X38" s="105">
        <f>Параметры!$B$18*W38/100</f>
        <v/>
      </c>
      <c r="Y38" s="103">
        <f>IF(MIN(Комплектация!AA40,Комплектация!AB40)-Параметры!$B$15&lt;Параметры!$B$16,1,0)+IF(MIN(Комплектация!AK40,Комплектация!AL40)-Параметры!$B$15&lt;Параметры!$B$16,1,0)+IF(MIN(Комплектация!AU40,Комплектация!AV40)-Параметры!$B$15&lt;Параметры!$B$16,1,0)+IF(MIN(Комплектация!BE40,Комплектация!BF40)-Параметры!$B$15&lt;Параметры!$B$16,1,0)</f>
        <v/>
      </c>
      <c r="Z38" s="105">
        <f>Y38*Параметры!$B$19</f>
        <v/>
      </c>
      <c r="AA38" s="107">
        <f>MAX(0,P38-X38-Z38)</f>
        <v/>
      </c>
      <c r="AB38" s="108">
        <f>SUMIFS(Прайс!$D$3:$D$11,Прайс!$A$3:$A$11,B38,Прайс!$B$3:$B$11,C38)</f>
        <v/>
      </c>
      <c r="AC38" s="105">
        <f>IF(AB38="","",AB38-AA38)</f>
        <v/>
      </c>
      <c r="AD38" s="109" t="n">
        <v>3910857.020547946</v>
      </c>
    </row>
    <row r="39">
      <c r="A39" s="101">
        <f>Комплектация!A41</f>
        <v/>
      </c>
      <c r="B39" s="101">
        <f>Комплектация!C41</f>
        <v/>
      </c>
      <c r="C39" s="102">
        <f>Комплектация!E41</f>
        <v/>
      </c>
      <c r="D39" s="103" t="n">
        <v>2050</v>
      </c>
      <c r="E39" s="103">
        <f>IF(D39="",Параметры!$B$11,MAX(1,D39-C39))</f>
        <v/>
      </c>
      <c r="F39" s="103">
        <f>MAX(0,YEAR(Параметры!$B$2)-C39)</f>
        <v/>
      </c>
      <c r="G39" s="104">
        <f>MIN(100,F39/E39*100)</f>
        <v/>
      </c>
      <c r="H39" s="104">
        <f>100-G39</f>
        <v/>
      </c>
      <c r="I39" s="103">
        <f>AVERAGE(Комплектация!BJ41,Комплектация!BP41,Комплектация!BV41,Комплектация!CB41,Комплектация!CH41,Комплектация!CN41)</f>
        <v/>
      </c>
      <c r="J39" s="103">
        <f>MAX(0,YEAR(Параметры!$B$2)-I39)</f>
        <v/>
      </c>
      <c r="K39" s="104">
        <f>MIN(100,J39/Параметры!$B$12*100)</f>
        <v/>
      </c>
      <c r="L39" s="104">
        <f>100-K39</f>
        <v/>
      </c>
      <c r="M39" s="103">
        <f>MIN(Комплектация!AA41,Комплектация!AB41,Комплектация!AK41,Комплектация!AL41,Комплектация!AU41,Комплектация!AV41,Комплектация!BE41,Комплектация!BF41)</f>
        <v/>
      </c>
      <c r="N39" s="104">
        <f>AVERAGE((100-MAX(0,MIN(100,(Параметры!$B$13-MIN(Комплектация!AA41,Комплектация!AB41))/(Параметры!$B$13-Параметры!$B$14)*100))),(100-MAX(0,MIN(100,(Параметры!$B$13-MIN(Комплектация!AK41,Комплектация!AL41))/(Параметры!$B$13-Параметры!$B$14)*100))),(100-MAX(0,MIN(100,(Параметры!$B$13-MIN(Комплектация!AU41,Комплектация!AV41))/(Параметры!$B$13-Параметры!$B$14)*100))),(100-MAX(0,MIN(100,(Параметры!$B$13-MIN(Комплектация!BE41,Комплектация!BF41))/(Параметры!$B$13-Параметры!$B$14)*100))))</f>
        <v/>
      </c>
      <c r="O39" s="104">
        <f>AVERAGE(H39,L39)</f>
        <v/>
      </c>
      <c r="P39" s="105">
        <f>Параметры!$B$3*(Параметры!$B$5*H39+Параметры!$B$6*L39+Параметры!$B$7*N39+Параметры!$B$8*O39)/100</f>
        <v/>
      </c>
      <c r="Q39" s="106" t="n">
        <v>45968</v>
      </c>
      <c r="R39" s="106" t="n">
        <v>46698</v>
      </c>
      <c r="S39" s="104">
        <f>IF(OR(Q39="",R39="",R39=Q39),"",MAX(0,MIN(100,(Параметры!$B$2-Q39)/(R39-Q39)*100)))</f>
        <v/>
      </c>
      <c r="T39" s="103">
        <f>IF(ISNUMBER(Комплектация!P41),Комплектация!P41,"")</f>
        <v/>
      </c>
      <c r="U39" s="103">
        <f>IF(ISNUMBER(Комплектация!N41),Комплектация!N41,"")</f>
        <v/>
      </c>
      <c r="V39" s="104">
        <f>IF(OR(U39="",T39="",U39=0),"",MAX(0,MIN(100,(U39-T39)/U39*100)))</f>
        <v/>
      </c>
      <c r="W39" s="104">
        <f>MAX(IF(S39="",0,S39),IF(V39="",0,V39))</f>
        <v/>
      </c>
      <c r="X39" s="105">
        <f>Параметры!$B$18*W39/100</f>
        <v/>
      </c>
      <c r="Y39" s="103">
        <f>IF(MIN(Комплектация!AA41,Комплектация!AB41)-Параметры!$B$15&lt;Параметры!$B$16,1,0)+IF(MIN(Комплектация!AK41,Комплектация!AL41)-Параметры!$B$15&lt;Параметры!$B$16,1,0)+IF(MIN(Комплектация!AU41,Комплектация!AV41)-Параметры!$B$15&lt;Параметры!$B$16,1,0)+IF(MIN(Комплектация!BE41,Комплектация!BF41)-Параметры!$B$15&lt;Параметры!$B$16,1,0)</f>
        <v/>
      </c>
      <c r="Z39" s="105">
        <f>Y39*Параметры!$B$19</f>
        <v/>
      </c>
      <c r="AA39" s="107">
        <f>MAX(0,P39-X39-Z39)</f>
        <v/>
      </c>
      <c r="AB39" s="108">
        <f>SUMIFS(Прайс!$D$3:$D$11,Прайс!$A$3:$A$11,B39,Прайс!$B$3:$B$11,C39)</f>
        <v/>
      </c>
      <c r="AC39" s="105">
        <f>IF(AB39="","",AB39-AA39)</f>
        <v/>
      </c>
      <c r="AD39" s="109" t="n">
        <v>3901939.212328766</v>
      </c>
    </row>
    <row r="40">
      <c r="A40" s="101">
        <f>Комплектация!A42</f>
        <v/>
      </c>
      <c r="B40" s="101">
        <f>Комплектация!C42</f>
        <v/>
      </c>
      <c r="C40" s="102">
        <f>Комплектация!E42</f>
        <v/>
      </c>
      <c r="D40" s="103" t="n">
        <v>2050</v>
      </c>
      <c r="E40" s="103">
        <f>IF(D40="",Параметры!$B$11,MAX(1,D40-C40))</f>
        <v/>
      </c>
      <c r="F40" s="103">
        <f>MAX(0,YEAR(Параметры!$B$2)-C40)</f>
        <v/>
      </c>
      <c r="G40" s="104">
        <f>MIN(100,F40/E40*100)</f>
        <v/>
      </c>
      <c r="H40" s="104">
        <f>100-G40</f>
        <v/>
      </c>
      <c r="I40" s="103">
        <f>AVERAGE(Комплектация!BJ42,Комплектация!BP42,Комплектация!BV42,Комплектация!CB42,Комплектация!CH42,Комплектация!CN42)</f>
        <v/>
      </c>
      <c r="J40" s="103">
        <f>MAX(0,YEAR(Параметры!$B$2)-I40)</f>
        <v/>
      </c>
      <c r="K40" s="104">
        <f>MIN(100,J40/Параметры!$B$12*100)</f>
        <v/>
      </c>
      <c r="L40" s="104">
        <f>100-K40</f>
        <v/>
      </c>
      <c r="M40" s="103">
        <f>MIN(Комплектация!AA42,Комплектация!AB42,Комплектация!AK42,Комплектация!AL42,Комплектация!AU42,Комплектация!AV42,Комплектация!BE42,Комплектация!BF42)</f>
        <v/>
      </c>
      <c r="N40" s="104">
        <f>AVERAGE((100-MAX(0,MIN(100,(Параметры!$B$13-MIN(Комплектация!AA42,Комплектация!AB42))/(Параметры!$B$13-Параметры!$B$14)*100))),(100-MAX(0,MIN(100,(Параметры!$B$13-MIN(Комплектация!AK42,Комплектация!AL42))/(Параметры!$B$13-Параметры!$B$14)*100))),(100-MAX(0,MIN(100,(Параметры!$B$13-MIN(Комплектация!AU42,Комплектация!AV42))/(Параметры!$B$13-Параметры!$B$14)*100))),(100-MAX(0,MIN(100,(Параметры!$B$13-MIN(Комплектация!BE42,Комплектация!BF42))/(Параметры!$B$13-Параметры!$B$14)*100))))</f>
        <v/>
      </c>
      <c r="O40" s="104">
        <f>AVERAGE(H40,L40)</f>
        <v/>
      </c>
      <c r="P40" s="105">
        <f>Параметры!$B$3*(Параметры!$B$5*H40+Параметры!$B$6*L40+Параметры!$B$7*N40+Параметры!$B$8*O40)/100</f>
        <v/>
      </c>
      <c r="Q40" s="106" t="n">
        <v>45966</v>
      </c>
      <c r="R40" s="106" t="n">
        <v>46696</v>
      </c>
      <c r="S40" s="104">
        <f>IF(OR(Q40="",R40="",R40=Q40),"",MAX(0,MIN(100,(Параметры!$B$2-Q40)/(R40-Q40)*100)))</f>
        <v/>
      </c>
      <c r="T40" s="103">
        <f>IF(ISNUMBER(Комплектация!P42),Комплектация!P42,"")</f>
        <v/>
      </c>
      <c r="U40" s="103">
        <f>IF(ISNUMBER(Комплектация!N42),Комплектация!N42,"")</f>
        <v/>
      </c>
      <c r="V40" s="104">
        <f>IF(OR(U40="",T40="",U40=0),"",MAX(0,MIN(100,(U40-T40)/U40*100)))</f>
        <v/>
      </c>
      <c r="W40" s="104">
        <f>MAX(IF(S40="",0,S40),IF(V40="",0,V40))</f>
        <v/>
      </c>
      <c r="X40" s="105">
        <f>Параметры!$B$18*W40/100</f>
        <v/>
      </c>
      <c r="Y40" s="103">
        <f>IF(MIN(Комплектация!AA42,Комплектация!AB42)-Параметры!$B$15&lt;Параметры!$B$16,1,0)+IF(MIN(Комплектация!AK42,Комплектация!AL42)-Параметры!$B$15&lt;Параметры!$B$16,1,0)+IF(MIN(Комплектация!AU42,Комплектация!AV42)-Параметры!$B$15&lt;Параметры!$B$16,1,0)+IF(MIN(Комплектация!BE42,Комплектация!BF42)-Параметры!$B$15&lt;Параметры!$B$16,1,0)</f>
        <v/>
      </c>
      <c r="Z40" s="105">
        <f>Y40*Параметры!$B$19</f>
        <v/>
      </c>
      <c r="AA40" s="107">
        <f>MAX(0,P40-X40-Z40)</f>
        <v/>
      </c>
      <c r="AB40" s="108">
        <f>SUMIFS(Прайс!$D$3:$D$11,Прайс!$A$3:$A$11,B40,Прайс!$B$3:$B$11,C40)</f>
        <v/>
      </c>
      <c r="AC40" s="105">
        <f>IF(AB40="","",AB40-AA40)</f>
        <v/>
      </c>
      <c r="AD40" s="109" t="n">
        <v>3900665.239726027</v>
      </c>
    </row>
    <row r="41">
      <c r="A41" s="101">
        <f>Комплектация!A43</f>
        <v/>
      </c>
      <c r="B41" s="101">
        <f>Комплектация!C43</f>
        <v/>
      </c>
      <c r="C41" s="102">
        <f>Комплектация!E43</f>
        <v/>
      </c>
      <c r="D41" s="103" t="n">
        <v>2050</v>
      </c>
      <c r="E41" s="103">
        <f>IF(D41="",Параметры!$B$11,MAX(1,D41-C41))</f>
        <v/>
      </c>
      <c r="F41" s="103">
        <f>MAX(0,YEAR(Параметры!$B$2)-C41)</f>
        <v/>
      </c>
      <c r="G41" s="104">
        <f>MIN(100,F41/E41*100)</f>
        <v/>
      </c>
      <c r="H41" s="104">
        <f>100-G41</f>
        <v/>
      </c>
      <c r="I41" s="103">
        <f>AVERAGE(Комплектация!BJ43,Комплектация!BP43,Комплектация!BV43,Комплектация!CB43,Комплектация!CH43,Комплектация!CN43)</f>
        <v/>
      </c>
      <c r="J41" s="103">
        <f>MAX(0,YEAR(Параметры!$B$2)-I41)</f>
        <v/>
      </c>
      <c r="K41" s="104">
        <f>MIN(100,J41/Параметры!$B$12*100)</f>
        <v/>
      </c>
      <c r="L41" s="104">
        <f>100-K41</f>
        <v/>
      </c>
      <c r="M41" s="103">
        <f>MIN(Комплектация!AA43,Комплектация!AB43,Комплектация!AK43,Комплектация!AL43,Комплектация!AU43,Комплектация!AV43,Комплектация!BE43,Комплектация!BF43)</f>
        <v/>
      </c>
      <c r="N41" s="104">
        <f>AVERAGE((100-MAX(0,MIN(100,(Параметры!$B$13-MIN(Комплектация!AA43,Комплектация!AB43))/(Параметры!$B$13-Параметры!$B$14)*100))),(100-MAX(0,MIN(100,(Параметры!$B$13-MIN(Комплектация!AK43,Комплектация!AL43))/(Параметры!$B$13-Параметры!$B$14)*100))),(100-MAX(0,MIN(100,(Параметры!$B$13-MIN(Комплектация!AU43,Комплектация!AV43))/(Параметры!$B$13-Параметры!$B$14)*100))),(100-MAX(0,MIN(100,(Параметры!$B$13-MIN(Комплектация!BE43,Комплектация!BF43))/(Параметры!$B$13-Параметры!$B$14)*100))))</f>
        <v/>
      </c>
      <c r="O41" s="104">
        <f>AVERAGE(H41,L41)</f>
        <v/>
      </c>
      <c r="P41" s="105">
        <f>Параметры!$B$3*(Параметры!$B$5*H41+Параметры!$B$6*L41+Параметры!$B$7*N41+Параметры!$B$8*O41)/100</f>
        <v/>
      </c>
      <c r="Q41" s="106" t="n">
        <v>45978</v>
      </c>
      <c r="R41" s="106" t="n">
        <v>46708</v>
      </c>
      <c r="S41" s="104">
        <f>IF(OR(Q41="",R41="",R41=Q41),"",MAX(0,MIN(100,(Параметры!$B$2-Q41)/(R41-Q41)*100)))</f>
        <v/>
      </c>
      <c r="T41" s="103">
        <f>IF(ISNUMBER(Комплектация!P43),Комплектация!P43,"")</f>
        <v/>
      </c>
      <c r="U41" s="103">
        <f>IF(ISNUMBER(Комплектация!N43),Комплектация!N43,"")</f>
        <v/>
      </c>
      <c r="V41" s="104">
        <f>IF(OR(U41="",T41="",U41=0),"",MAX(0,MIN(100,(U41-T41)/U41*100)))</f>
        <v/>
      </c>
      <c r="W41" s="104">
        <f>MAX(IF(S41="",0,S41),IF(V41="",0,V41))</f>
        <v/>
      </c>
      <c r="X41" s="105">
        <f>Параметры!$B$18*W41/100</f>
        <v/>
      </c>
      <c r="Y41" s="103">
        <f>IF(MIN(Комплектация!AA43,Комплектация!AB43)-Параметры!$B$15&lt;Параметры!$B$16,1,0)+IF(MIN(Комплектация!AK43,Комплектация!AL43)-Параметры!$B$15&lt;Параметры!$B$16,1,0)+IF(MIN(Комплектация!AU43,Комплектация!AV43)-Параметры!$B$15&lt;Параметры!$B$16,1,0)+IF(MIN(Комплектация!BE43,Комплектация!BF43)-Параметры!$B$15&lt;Параметры!$B$16,1,0)</f>
        <v/>
      </c>
      <c r="Z41" s="105">
        <f>Y41*Параметры!$B$19</f>
        <v/>
      </c>
      <c r="AA41" s="107">
        <f>MAX(0,P41-X41-Z41)</f>
        <v/>
      </c>
      <c r="AB41" s="108">
        <f>SUMIFS(Прайс!$D$3:$D$11,Прайс!$A$3:$A$11,B41,Прайс!$B$3:$B$11,C41)</f>
        <v/>
      </c>
      <c r="AC41" s="105">
        <f>IF(AB41="","",AB41-AA41)</f>
        <v/>
      </c>
      <c r="AD41" s="109" t="n">
        <v>3908309.075342466</v>
      </c>
    </row>
    <row r="42">
      <c r="A42" s="101">
        <f>Комплектация!A44</f>
        <v/>
      </c>
      <c r="B42" s="101">
        <f>Комплектация!C44</f>
        <v/>
      </c>
      <c r="C42" s="102">
        <f>Комплектация!E44</f>
        <v/>
      </c>
      <c r="D42" s="103" t="n">
        <v>2050</v>
      </c>
      <c r="E42" s="103">
        <f>IF(D42="",Параметры!$B$11,MAX(1,D42-C42))</f>
        <v/>
      </c>
      <c r="F42" s="103">
        <f>MAX(0,YEAR(Параметры!$B$2)-C42)</f>
        <v/>
      </c>
      <c r="G42" s="104">
        <f>MIN(100,F42/E42*100)</f>
        <v/>
      </c>
      <c r="H42" s="104">
        <f>100-G42</f>
        <v/>
      </c>
      <c r="I42" s="103">
        <f>AVERAGE(Комплектация!BJ44,Комплектация!BP44,Комплектация!BV44,Комплектация!CB44,Комплектация!CH44,Комплектация!CN44)</f>
        <v/>
      </c>
      <c r="J42" s="103">
        <f>MAX(0,YEAR(Параметры!$B$2)-I42)</f>
        <v/>
      </c>
      <c r="K42" s="104">
        <f>MIN(100,J42/Параметры!$B$12*100)</f>
        <v/>
      </c>
      <c r="L42" s="104">
        <f>100-K42</f>
        <v/>
      </c>
      <c r="M42" s="103">
        <f>MIN(Комплектация!AA44,Комплектация!AB44,Комплектация!AK44,Комплектация!AL44,Комплектация!AU44,Комплектация!AV44,Комплектация!BE44,Комплектация!BF44)</f>
        <v/>
      </c>
      <c r="N42" s="104">
        <f>AVERAGE((100-MAX(0,MIN(100,(Параметры!$B$13-MIN(Комплектация!AA44,Комплектация!AB44))/(Параметры!$B$13-Параметры!$B$14)*100))),(100-MAX(0,MIN(100,(Параметры!$B$13-MIN(Комплектация!AK44,Комплектация!AL44))/(Параметры!$B$13-Параметры!$B$14)*100))),(100-MAX(0,MIN(100,(Параметры!$B$13-MIN(Комплектация!AU44,Комплектация!AV44))/(Параметры!$B$13-Параметры!$B$14)*100))),(100-MAX(0,MIN(100,(Параметры!$B$13-MIN(Комплектация!BE44,Комплектация!BF44))/(Параметры!$B$13-Параметры!$B$14)*100))))</f>
        <v/>
      </c>
      <c r="O42" s="104">
        <f>AVERAGE(H42,L42)</f>
        <v/>
      </c>
      <c r="P42" s="105">
        <f>Параметры!$B$3*(Параметры!$B$5*H42+Параметры!$B$6*L42+Параметры!$B$7*N42+Параметры!$B$8*O42)/100</f>
        <v/>
      </c>
      <c r="Q42" s="106" t="n">
        <v>45916</v>
      </c>
      <c r="R42" s="106" t="n">
        <v>46646</v>
      </c>
      <c r="S42" s="104">
        <f>IF(OR(Q42="",R42="",R42=Q42),"",MAX(0,MIN(100,(Параметры!$B$2-Q42)/(R42-Q42)*100)))</f>
        <v/>
      </c>
      <c r="T42" s="103">
        <f>IF(ISNUMBER(Комплектация!P44),Комплектация!P44,"")</f>
        <v/>
      </c>
      <c r="U42" s="103">
        <f>IF(ISNUMBER(Комплектация!N44),Комплектация!N44,"")</f>
        <v/>
      </c>
      <c r="V42" s="104">
        <f>IF(OR(U42="",T42="",U42=0),"",MAX(0,MIN(100,(U42-T42)/U42*100)))</f>
        <v/>
      </c>
      <c r="W42" s="104">
        <f>MAX(IF(S42="",0,S42),IF(V42="",0,V42))</f>
        <v/>
      </c>
      <c r="X42" s="105">
        <f>Параметры!$B$18*W42/100</f>
        <v/>
      </c>
      <c r="Y42" s="103">
        <f>IF(MIN(Комплектация!AA44,Комплектация!AB44)-Параметры!$B$15&lt;Параметры!$B$16,1,0)+IF(MIN(Комплектация!AK44,Комплектация!AL44)-Параметры!$B$15&lt;Параметры!$B$16,1,0)+IF(MIN(Комплектация!AU44,Комплектация!AV44)-Параметры!$B$15&lt;Параметры!$B$16,1,0)+IF(MIN(Комплектация!BE44,Комплектация!BF44)-Параметры!$B$15&lt;Параметры!$B$16,1,0)</f>
        <v/>
      </c>
      <c r="Z42" s="105">
        <f>Y42*Параметры!$B$19</f>
        <v/>
      </c>
      <c r="AA42" s="107">
        <f>MAX(0,P42-X42-Z42)</f>
        <v/>
      </c>
      <c r="AB42" s="108">
        <f>SUMIFS(Прайс!$D$3:$D$11,Прайс!$A$3:$A$11,B42,Прайс!$B$3:$B$11,C42)</f>
        <v/>
      </c>
      <c r="AC42" s="105">
        <f>IF(AB42="","",AB42-AA42)</f>
        <v/>
      </c>
      <c r="AD42" s="109" t="n">
        <v>3461940.924657534</v>
      </c>
    </row>
    <row r="43">
      <c r="A43" s="101">
        <f>Комплектация!A45</f>
        <v/>
      </c>
      <c r="B43" s="101">
        <f>Комплектация!C45</f>
        <v/>
      </c>
      <c r="C43" s="102">
        <f>Комплектация!E45</f>
        <v/>
      </c>
      <c r="D43" s="103" t="n">
        <v>2050</v>
      </c>
      <c r="E43" s="103">
        <f>IF(D43="",Параметры!$B$11,MAX(1,D43-C43))</f>
        <v/>
      </c>
      <c r="F43" s="103">
        <f>MAX(0,YEAR(Параметры!$B$2)-C43)</f>
        <v/>
      </c>
      <c r="G43" s="104">
        <f>MIN(100,F43/E43*100)</f>
        <v/>
      </c>
      <c r="H43" s="104">
        <f>100-G43</f>
        <v/>
      </c>
      <c r="I43" s="103">
        <f>AVERAGE(Комплектация!BJ45,Комплектация!BP45,Комплектация!BV45,Комплектация!CB45,Комплектация!CH45,Комплектация!CN45)</f>
        <v/>
      </c>
      <c r="J43" s="103">
        <f>MAX(0,YEAR(Параметры!$B$2)-I43)</f>
        <v/>
      </c>
      <c r="K43" s="104">
        <f>MIN(100,J43/Параметры!$B$12*100)</f>
        <v/>
      </c>
      <c r="L43" s="104">
        <f>100-K43</f>
        <v/>
      </c>
      <c r="M43" s="103">
        <f>MIN(Комплектация!AA45,Комплектация!AB45,Комплектация!AK45,Комплектация!AL45,Комплектация!AU45,Комплектация!AV45,Комплектация!BE45,Комплектация!BF45)</f>
        <v/>
      </c>
      <c r="N43" s="104">
        <f>AVERAGE((100-MAX(0,MIN(100,(Параметры!$B$13-MIN(Комплектация!AA45,Комплектация!AB45))/(Параметры!$B$13-Параметры!$B$14)*100))),(100-MAX(0,MIN(100,(Параметры!$B$13-MIN(Комплектация!AK45,Комплектация!AL45))/(Параметры!$B$13-Параметры!$B$14)*100))),(100-MAX(0,MIN(100,(Параметры!$B$13-MIN(Комплектация!AU45,Комплектация!AV45))/(Параметры!$B$13-Параметры!$B$14)*100))),(100-MAX(0,MIN(100,(Параметры!$B$13-MIN(Комплектация!BE45,Комплектация!BF45))/(Параметры!$B$13-Параметры!$B$14)*100))))</f>
        <v/>
      </c>
      <c r="O43" s="104">
        <f>AVERAGE(H43,L43)</f>
        <v/>
      </c>
      <c r="P43" s="105">
        <f>Параметры!$B$3*(Параметры!$B$5*H43+Параметры!$B$6*L43+Параметры!$B$7*N43+Параметры!$B$8*O43)/100</f>
        <v/>
      </c>
      <c r="Q43" s="106" t="n">
        <v>45999</v>
      </c>
      <c r="R43" s="106" t="n">
        <v>46729</v>
      </c>
      <c r="S43" s="104">
        <f>IF(OR(Q43="",R43="",R43=Q43),"",MAX(0,MIN(100,(Параметры!$B$2-Q43)/(R43-Q43)*100)))</f>
        <v/>
      </c>
      <c r="T43" s="103">
        <f>IF(ISNUMBER(Комплектация!P45),Комплектация!P45,"")</f>
        <v/>
      </c>
      <c r="U43" s="103">
        <f>IF(ISNUMBER(Комплектация!N45),Комплектация!N45,"")</f>
        <v/>
      </c>
      <c r="V43" s="104">
        <f>IF(OR(U43="",T43="",U43=0),"",MAX(0,MIN(100,(U43-T43)/U43*100)))</f>
        <v/>
      </c>
      <c r="W43" s="104">
        <f>MAX(IF(S43="",0,S43),IF(V43="",0,V43))</f>
        <v/>
      </c>
      <c r="X43" s="105">
        <f>Параметры!$B$18*W43/100</f>
        <v/>
      </c>
      <c r="Y43" s="103">
        <f>IF(MIN(Комплектация!AA45,Комплектация!AB45)-Параметры!$B$15&lt;Параметры!$B$16,1,0)+IF(MIN(Комплектация!AK45,Комплектация!AL45)-Параметры!$B$15&lt;Параметры!$B$16,1,0)+IF(MIN(Комплектация!AU45,Комплектация!AV45)-Параметры!$B$15&lt;Параметры!$B$16,1,0)+IF(MIN(Комплектация!BE45,Комплектация!BF45)-Параметры!$B$15&lt;Параметры!$B$16,1,0)</f>
        <v/>
      </c>
      <c r="Z43" s="105">
        <f>Y43*Параметры!$B$19</f>
        <v/>
      </c>
      <c r="AA43" s="107">
        <f>MAX(0,P43-X43-Z43)</f>
        <v/>
      </c>
      <c r="AB43" s="108">
        <f>SUMIFS(Прайс!$D$3:$D$11,Прайс!$A$3:$A$11,B43,Прайс!$B$3:$B$11,C43)</f>
        <v/>
      </c>
      <c r="AC43" s="105">
        <f>IF(AB43="","",AB43-AA43)</f>
        <v/>
      </c>
      <c r="AD43" s="109" t="n">
        <v>3921685.787671234</v>
      </c>
    </row>
    <row r="44">
      <c r="A44" s="101">
        <f>Комплектация!A46</f>
        <v/>
      </c>
      <c r="B44" s="101">
        <f>Комплектация!C46</f>
        <v/>
      </c>
      <c r="C44" s="102">
        <f>Комплектация!E46</f>
        <v/>
      </c>
      <c r="D44" s="103" t="n">
        <v>2050</v>
      </c>
      <c r="E44" s="103">
        <f>IF(D44="",Параметры!$B$11,MAX(1,D44-C44))</f>
        <v/>
      </c>
      <c r="F44" s="103">
        <f>MAX(0,YEAR(Параметры!$B$2)-C44)</f>
        <v/>
      </c>
      <c r="G44" s="104">
        <f>MIN(100,F44/E44*100)</f>
        <v/>
      </c>
      <c r="H44" s="104">
        <f>100-G44</f>
        <v/>
      </c>
      <c r="I44" s="103">
        <f>AVERAGE(Комплектация!BJ46,Комплектация!BP46,Комплектация!BV46,Комплектация!CB46,Комплектация!CH46,Комплектация!CN46)</f>
        <v/>
      </c>
      <c r="J44" s="103">
        <f>MAX(0,YEAR(Параметры!$B$2)-I44)</f>
        <v/>
      </c>
      <c r="K44" s="104">
        <f>MIN(100,J44/Параметры!$B$12*100)</f>
        <v/>
      </c>
      <c r="L44" s="104">
        <f>100-K44</f>
        <v/>
      </c>
      <c r="M44" s="103">
        <f>MIN(Комплектация!AA46,Комплектация!AB46,Комплектация!AK46,Комплектация!AL46,Комплектация!AU46,Комплектация!AV46,Комплектация!BE46,Комплектация!BF46)</f>
        <v/>
      </c>
      <c r="N44" s="104">
        <f>AVERAGE((100-MAX(0,MIN(100,(Параметры!$B$13-MIN(Комплектация!AA46,Комплектация!AB46))/(Параметры!$B$13-Параметры!$B$14)*100))),(100-MAX(0,MIN(100,(Параметры!$B$13-MIN(Комплектация!AK46,Комплектация!AL46))/(Параметры!$B$13-Параметры!$B$14)*100))),(100-MAX(0,MIN(100,(Параметры!$B$13-MIN(Комплектация!AU46,Комплектация!AV46))/(Параметры!$B$13-Параметры!$B$14)*100))),(100-MAX(0,MIN(100,(Параметры!$B$13-MIN(Комплектация!BE46,Комплектация!BF46))/(Параметры!$B$13-Параметры!$B$14)*100))))</f>
        <v/>
      </c>
      <c r="O44" s="104">
        <f>AVERAGE(H44,L44)</f>
        <v/>
      </c>
      <c r="P44" s="105">
        <f>Параметры!$B$3*(Параметры!$B$5*H44+Параметры!$B$6*L44+Параметры!$B$7*N44+Параметры!$B$8*O44)/100</f>
        <v/>
      </c>
      <c r="Q44" s="106" t="n">
        <v>45900</v>
      </c>
      <c r="R44" s="106" t="n">
        <v>46630</v>
      </c>
      <c r="S44" s="104">
        <f>IF(OR(Q44="",R44="",R44=Q44),"",MAX(0,MIN(100,(Параметры!$B$2-Q44)/(R44-Q44)*100)))</f>
        <v/>
      </c>
      <c r="T44" s="103">
        <f>IF(ISNUMBER(Комплектация!P46),Комплектация!P46,"")</f>
        <v/>
      </c>
      <c r="U44" s="103">
        <f>IF(ISNUMBER(Комплектация!N46),Комплектация!N46,"")</f>
        <v/>
      </c>
      <c r="V44" s="104">
        <f>IF(OR(U44="",T44="",U44=0),"",MAX(0,MIN(100,(U44-T44)/U44*100)))</f>
        <v/>
      </c>
      <c r="W44" s="104">
        <f>MAX(IF(S44="",0,S44),IF(V44="",0,V44))</f>
        <v/>
      </c>
      <c r="X44" s="105">
        <f>Параметры!$B$18*W44/100</f>
        <v/>
      </c>
      <c r="Y44" s="103">
        <f>IF(MIN(Комплектация!AA46,Комплектация!AB46)-Параметры!$B$15&lt;Параметры!$B$16,1,0)+IF(MIN(Комплектация!AK46,Комплектация!AL46)-Параметры!$B$15&lt;Параметры!$B$16,1,0)+IF(MIN(Комплектация!AU46,Комплектация!AV46)-Параметры!$B$15&lt;Параметры!$B$16,1,0)+IF(MIN(Комплектация!BE46,Комплектация!BF46)-Параметры!$B$15&lt;Параметры!$B$16,1,0)</f>
        <v/>
      </c>
      <c r="Z44" s="105">
        <f>Y44*Параметры!$B$19</f>
        <v/>
      </c>
      <c r="AA44" s="107">
        <f>MAX(0,P44-X44-Z44)</f>
        <v/>
      </c>
      <c r="AB44" s="108">
        <f>SUMIFS(Прайс!$D$3:$D$11,Прайс!$A$3:$A$11,B44,Прайс!$B$3:$B$11,C44)</f>
        <v/>
      </c>
      <c r="AC44" s="105">
        <f>IF(AB44="","",AB44-AA44)</f>
        <v/>
      </c>
      <c r="AD44" s="109" t="n">
        <v>3451749.143835617</v>
      </c>
    </row>
    <row r="45">
      <c r="A45" s="101">
        <f>Комплектация!A47</f>
        <v/>
      </c>
      <c r="B45" s="101">
        <f>Комплектация!C47</f>
        <v/>
      </c>
      <c r="C45" s="102">
        <f>Комплектация!E47</f>
        <v/>
      </c>
      <c r="D45" s="103" t="n">
        <v>2050</v>
      </c>
      <c r="E45" s="103">
        <f>IF(D45="",Параметры!$B$11,MAX(1,D45-C45))</f>
        <v/>
      </c>
      <c r="F45" s="103">
        <f>MAX(0,YEAR(Параметры!$B$2)-C45)</f>
        <v/>
      </c>
      <c r="G45" s="104">
        <f>MIN(100,F45/E45*100)</f>
        <v/>
      </c>
      <c r="H45" s="104">
        <f>100-G45</f>
        <v/>
      </c>
      <c r="I45" s="103">
        <f>AVERAGE(Комплектация!BJ47,Комплектация!BP47,Комплектация!BV47,Комплектация!CB47,Комплектация!CH47,Комплектация!CN47)</f>
        <v/>
      </c>
      <c r="J45" s="103">
        <f>MAX(0,YEAR(Параметры!$B$2)-I45)</f>
        <v/>
      </c>
      <c r="K45" s="104">
        <f>MIN(100,J45/Параметры!$B$12*100)</f>
        <v/>
      </c>
      <c r="L45" s="104">
        <f>100-K45</f>
        <v/>
      </c>
      <c r="M45" s="103">
        <f>MIN(Комплектация!AA47,Комплектация!AB47,Комплектация!AK47,Комплектация!AL47,Комплектация!AU47,Комплектация!AV47,Комплектация!BE47,Комплектация!BF47)</f>
        <v/>
      </c>
      <c r="N45" s="104">
        <f>AVERAGE((100-MAX(0,MIN(100,(Параметры!$B$13-MIN(Комплектация!AA47,Комплектация!AB47))/(Параметры!$B$13-Параметры!$B$14)*100))),(100-MAX(0,MIN(100,(Параметры!$B$13-MIN(Комплектация!AK47,Комплектация!AL47))/(Параметры!$B$13-Параметры!$B$14)*100))),(100-MAX(0,MIN(100,(Параметры!$B$13-MIN(Комплектация!AU47,Комплектация!AV47))/(Параметры!$B$13-Параметры!$B$14)*100))),(100-MAX(0,MIN(100,(Параметры!$B$13-MIN(Комплектация!BE47,Комплектация!BF47))/(Параметры!$B$13-Параметры!$B$14)*100))))</f>
        <v/>
      </c>
      <c r="O45" s="104">
        <f>AVERAGE(H45,L45)</f>
        <v/>
      </c>
      <c r="P45" s="105">
        <f>Параметры!$B$3*(Параметры!$B$5*H45+Параметры!$B$6*L45+Параметры!$B$7*N45+Параметры!$B$8*O45)/100</f>
        <v/>
      </c>
      <c r="Q45" s="106" t="n">
        <v>45975</v>
      </c>
      <c r="R45" s="106" t="n">
        <v>46705</v>
      </c>
      <c r="S45" s="104">
        <f>IF(OR(Q45="",R45="",R45=Q45),"",MAX(0,MIN(100,(Параметры!$B$2-Q45)/(R45-Q45)*100)))</f>
        <v/>
      </c>
      <c r="T45" s="103">
        <f>IF(ISNUMBER(Комплектация!P47),Комплектация!P47,"")</f>
        <v/>
      </c>
      <c r="U45" s="103">
        <f>IF(ISNUMBER(Комплектация!N47),Комплектация!N47,"")</f>
        <v/>
      </c>
      <c r="V45" s="104">
        <f>IF(OR(U45="",T45="",U45=0),"",MAX(0,MIN(100,(U45-T45)/U45*100)))</f>
        <v/>
      </c>
      <c r="W45" s="104">
        <f>MAX(IF(S45="",0,S45),IF(V45="",0,V45))</f>
        <v/>
      </c>
      <c r="X45" s="105">
        <f>Параметры!$B$18*W45/100</f>
        <v/>
      </c>
      <c r="Y45" s="103">
        <f>IF(MIN(Комплектация!AA47,Комплектация!AB47)-Параметры!$B$15&lt;Параметры!$B$16,1,0)+IF(MIN(Комплектация!AK47,Комплектация!AL47)-Параметры!$B$15&lt;Параметры!$B$16,1,0)+IF(MIN(Комплектация!AU47,Комплектация!AV47)-Параметры!$B$15&lt;Параметры!$B$16,1,0)+IF(MIN(Комплектация!BE47,Комплектация!BF47)-Параметры!$B$15&lt;Параметры!$B$16,1,0)</f>
        <v/>
      </c>
      <c r="Z45" s="105">
        <f>Y45*Параметры!$B$19</f>
        <v/>
      </c>
      <c r="AA45" s="107">
        <f>MAX(0,P45-X45-Z45)</f>
        <v/>
      </c>
      <c r="AB45" s="108">
        <f>SUMIFS(Прайс!$D$3:$D$11,Прайс!$A$3:$A$11,B45,Прайс!$B$3:$B$11,C45)</f>
        <v/>
      </c>
      <c r="AC45" s="105">
        <f>IF(AB45="","",AB45-AA45)</f>
        <v/>
      </c>
      <c r="AD45" s="109" t="n">
        <v>3906398.116438356</v>
      </c>
    </row>
    <row r="46">
      <c r="A46" s="101">
        <f>Комплектация!A48</f>
        <v/>
      </c>
      <c r="B46" s="101">
        <f>Комплектация!C48</f>
        <v/>
      </c>
      <c r="C46" s="102">
        <f>Комплектация!E48</f>
        <v/>
      </c>
      <c r="D46" s="103" t="n">
        <v>2050</v>
      </c>
      <c r="E46" s="103">
        <f>IF(D46="",Параметры!$B$11,MAX(1,D46-C46))</f>
        <v/>
      </c>
      <c r="F46" s="103">
        <f>MAX(0,YEAR(Параметры!$B$2)-C46)</f>
        <v/>
      </c>
      <c r="G46" s="104">
        <f>MIN(100,F46/E46*100)</f>
        <v/>
      </c>
      <c r="H46" s="104">
        <f>100-G46</f>
        <v/>
      </c>
      <c r="I46" s="103">
        <f>AVERAGE(Комплектация!BJ48,Комплектация!BP48,Комплектация!BV48,Комплектация!CB48,Комплектация!CH48,Комплектация!CN48)</f>
        <v/>
      </c>
      <c r="J46" s="103">
        <f>MAX(0,YEAR(Параметры!$B$2)-I46)</f>
        <v/>
      </c>
      <c r="K46" s="104">
        <f>MIN(100,J46/Параметры!$B$12*100)</f>
        <v/>
      </c>
      <c r="L46" s="104">
        <f>100-K46</f>
        <v/>
      </c>
      <c r="M46" s="103">
        <f>MIN(Комплектация!AA48,Комплектация!AB48,Комплектация!AK48,Комплектация!AL48,Комплектация!AU48,Комплектация!AV48,Комплектация!BE48,Комплектация!BF48)</f>
        <v/>
      </c>
      <c r="N46" s="104">
        <f>AVERAGE((100-MAX(0,MIN(100,(Параметры!$B$13-MIN(Комплектация!AA48,Комплектация!AB48))/(Параметры!$B$13-Параметры!$B$14)*100))),(100-MAX(0,MIN(100,(Параметры!$B$13-MIN(Комплектация!AK48,Комплектация!AL48))/(Параметры!$B$13-Параметры!$B$14)*100))),(100-MAX(0,MIN(100,(Параметры!$B$13-MIN(Комплектация!AU48,Комплектация!AV48))/(Параметры!$B$13-Параметры!$B$14)*100))),(100-MAX(0,MIN(100,(Параметры!$B$13-MIN(Комплектация!BE48,Комплектация!BF48))/(Параметры!$B$13-Параметры!$B$14)*100))))</f>
        <v/>
      </c>
      <c r="O46" s="104">
        <f>AVERAGE(H46,L46)</f>
        <v/>
      </c>
      <c r="P46" s="105">
        <f>Параметры!$B$3*(Параметры!$B$5*H46+Параметры!$B$6*L46+Параметры!$B$7*N46+Параметры!$B$8*O46)/100</f>
        <v/>
      </c>
      <c r="Q46" s="106" t="n">
        <v>45895</v>
      </c>
      <c r="R46" s="106" t="n">
        <v>46625</v>
      </c>
      <c r="S46" s="104">
        <f>IF(OR(Q46="",R46="",R46=Q46),"",MAX(0,MIN(100,(Параметры!$B$2-Q46)/(R46-Q46)*100)))</f>
        <v/>
      </c>
      <c r="T46" s="103">
        <f>IF(ISNUMBER(Комплектация!P48),Комплектация!P48,"")</f>
        <v/>
      </c>
      <c r="U46" s="103">
        <f>IF(ISNUMBER(Комплектация!N48),Комплектация!N48,"")</f>
        <v/>
      </c>
      <c r="V46" s="104">
        <f>IF(OR(U46="",T46="",U46=0),"",MAX(0,MIN(100,(U46-T46)/U46*100)))</f>
        <v/>
      </c>
      <c r="W46" s="104">
        <f>MAX(IF(S46="",0,S46),IF(V46="",0,V46))</f>
        <v/>
      </c>
      <c r="X46" s="105">
        <f>Параметры!$B$18*W46/100</f>
        <v/>
      </c>
      <c r="Y46" s="103">
        <f>IF(MIN(Комплектация!AA48,Комплектация!AB48)-Параметры!$B$15&lt;Параметры!$B$16,1,0)+IF(MIN(Комплектация!AK48,Комплектация!AL48)-Параметры!$B$15&lt;Параметры!$B$16,1,0)+IF(MIN(Комплектация!AU48,Комплектация!AV48)-Параметры!$B$15&lt;Параметры!$B$16,1,0)+IF(MIN(Комплектация!BE48,Комплектация!BF48)-Параметры!$B$15&lt;Параметры!$B$16,1,0)</f>
        <v/>
      </c>
      <c r="Z46" s="105">
        <f>Y46*Параметры!$B$19</f>
        <v/>
      </c>
      <c r="AA46" s="107">
        <f>MAX(0,P46-X46-Z46)</f>
        <v/>
      </c>
      <c r="AB46" s="108">
        <f>SUMIFS(Прайс!$D$3:$D$11,Прайс!$A$3:$A$11,B46,Прайс!$B$3:$B$11,C46)</f>
        <v/>
      </c>
      <c r="AC46" s="105">
        <f>IF(AB46="","",AB46-AA46)</f>
        <v/>
      </c>
      <c r="AD46" s="109" t="n">
        <v>3855439.212328766</v>
      </c>
    </row>
    <row r="47">
      <c r="A47" s="101">
        <f>Комплектация!A49</f>
        <v/>
      </c>
      <c r="B47" s="101">
        <f>Комплектация!C49</f>
        <v/>
      </c>
      <c r="C47" s="102">
        <f>Комплектация!E49</f>
        <v/>
      </c>
      <c r="D47" s="103" t="n">
        <v>2050</v>
      </c>
      <c r="E47" s="103">
        <f>IF(D47="",Параметры!$B$11,MAX(1,D47-C47))</f>
        <v/>
      </c>
      <c r="F47" s="103">
        <f>MAX(0,YEAR(Параметры!$B$2)-C47)</f>
        <v/>
      </c>
      <c r="G47" s="104">
        <f>MIN(100,F47/E47*100)</f>
        <v/>
      </c>
      <c r="H47" s="104">
        <f>100-G47</f>
        <v/>
      </c>
      <c r="I47" s="103">
        <f>AVERAGE(Комплектация!BJ49,Комплектация!BP49,Комплектация!BV49,Комплектация!CB49,Комплектация!CH49,Комплектация!CN49)</f>
        <v/>
      </c>
      <c r="J47" s="103">
        <f>MAX(0,YEAR(Параметры!$B$2)-I47)</f>
        <v/>
      </c>
      <c r="K47" s="104">
        <f>MIN(100,J47/Параметры!$B$12*100)</f>
        <v/>
      </c>
      <c r="L47" s="104">
        <f>100-K47</f>
        <v/>
      </c>
      <c r="M47" s="103">
        <f>MIN(Комплектация!AA49,Комплектация!AB49,Комплектация!AK49,Комплектация!AL49,Комплектация!AU49,Комплектация!AV49,Комплектация!BE49,Комплектация!BF49)</f>
        <v/>
      </c>
      <c r="N47" s="104">
        <f>AVERAGE((100-MAX(0,MIN(100,(Параметры!$B$13-MIN(Комплектация!AA49,Комплектация!AB49))/(Параметры!$B$13-Параметры!$B$14)*100))),(100-MAX(0,MIN(100,(Параметры!$B$13-MIN(Комплектация!AK49,Комплектация!AL49))/(Параметры!$B$13-Параметры!$B$14)*100))),(100-MAX(0,MIN(100,(Параметры!$B$13-MIN(Комплектация!AU49,Комплектация!AV49))/(Параметры!$B$13-Параметры!$B$14)*100))),(100-MAX(0,MIN(100,(Параметры!$B$13-MIN(Комплектация!BE49,Комплектация!BF49))/(Параметры!$B$13-Параметры!$B$14)*100))))</f>
        <v/>
      </c>
      <c r="O47" s="104">
        <f>AVERAGE(H47,L47)</f>
        <v/>
      </c>
      <c r="P47" s="105">
        <f>Параметры!$B$3*(Параметры!$B$5*H47+Параметры!$B$6*L47+Параметры!$B$7*N47+Параметры!$B$8*O47)/100</f>
        <v/>
      </c>
      <c r="Q47" s="106" t="n">
        <v>45960</v>
      </c>
      <c r="R47" s="106" t="n">
        <v>46690</v>
      </c>
      <c r="S47" s="104">
        <f>IF(OR(Q47="",R47="",R47=Q47),"",MAX(0,MIN(100,(Параметры!$B$2-Q47)/(R47-Q47)*100)))</f>
        <v/>
      </c>
      <c r="T47" s="103">
        <f>IF(ISNUMBER(Комплектация!P49),Комплектация!P49,"")</f>
        <v/>
      </c>
      <c r="U47" s="103">
        <f>IF(ISNUMBER(Комплектация!N49),Комплектация!N49,"")</f>
        <v/>
      </c>
      <c r="V47" s="104">
        <f>IF(OR(U47="",T47="",U47=0),"",MAX(0,MIN(100,(U47-T47)/U47*100)))</f>
        <v/>
      </c>
      <c r="W47" s="104">
        <f>MAX(IF(S47="",0,S47),IF(V47="",0,V47))</f>
        <v/>
      </c>
      <c r="X47" s="105">
        <f>Параметры!$B$18*W47/100</f>
        <v/>
      </c>
      <c r="Y47" s="103">
        <f>IF(MIN(Комплектация!AA49,Комплектация!AB49)-Параметры!$B$15&lt;Параметры!$B$16,1,0)+IF(MIN(Комплектация!AK49,Комплектация!AL49)-Параметры!$B$15&lt;Параметры!$B$16,1,0)+IF(MIN(Комплектация!AU49,Комплектация!AV49)-Параметры!$B$15&lt;Параметры!$B$16,1,0)+IF(MIN(Комплектация!BE49,Комплектация!BF49)-Параметры!$B$15&lt;Параметры!$B$16,1,0)</f>
        <v/>
      </c>
      <c r="Z47" s="105">
        <f>Y47*Параметры!$B$19</f>
        <v/>
      </c>
      <c r="AA47" s="107">
        <f>MAX(0,P47-X47-Z47)</f>
        <v/>
      </c>
      <c r="AB47" s="108">
        <f>SUMIFS(Прайс!$D$3:$D$11,Прайс!$A$3:$A$11,B47,Прайс!$B$3:$B$11,C47)</f>
        <v/>
      </c>
      <c r="AC47" s="105">
        <f>IF(AB47="","",AB47-AA47)</f>
        <v/>
      </c>
      <c r="AD47" s="109" t="n">
        <v>3896843.321917808</v>
      </c>
    </row>
    <row r="48">
      <c r="A48" s="101">
        <f>Комплектация!A50</f>
        <v/>
      </c>
      <c r="B48" s="101">
        <f>Комплектация!C50</f>
        <v/>
      </c>
      <c r="C48" s="102">
        <f>Комплектация!E50</f>
        <v/>
      </c>
      <c r="D48" s="103" t="n">
        <v>2050</v>
      </c>
      <c r="E48" s="103">
        <f>IF(D48="",Параметры!$B$11,MAX(1,D48-C48))</f>
        <v/>
      </c>
      <c r="F48" s="103">
        <f>MAX(0,YEAR(Параметры!$B$2)-C48)</f>
        <v/>
      </c>
      <c r="G48" s="104">
        <f>MIN(100,F48/E48*100)</f>
        <v/>
      </c>
      <c r="H48" s="104">
        <f>100-G48</f>
        <v/>
      </c>
      <c r="I48" s="103">
        <f>AVERAGE(Комплектация!BJ50,Комплектация!BP50,Комплектация!BV50,Комплектация!CB50,Комплектация!CH50,Комплектация!CN50)</f>
        <v/>
      </c>
      <c r="J48" s="103">
        <f>MAX(0,YEAR(Параметры!$B$2)-I48)</f>
        <v/>
      </c>
      <c r="K48" s="104">
        <f>MIN(100,J48/Параметры!$B$12*100)</f>
        <v/>
      </c>
      <c r="L48" s="104">
        <f>100-K48</f>
        <v/>
      </c>
      <c r="M48" s="103">
        <f>MIN(Комплектация!AA50,Комплектация!AB50,Комплектация!AK50,Комплектация!AL50,Комплектация!AU50,Комплектация!AV50,Комплектация!BE50,Комплектация!BF50)</f>
        <v/>
      </c>
      <c r="N48" s="104">
        <f>AVERAGE((100-MAX(0,MIN(100,(Параметры!$B$13-MIN(Комплектация!AA50,Комплектация!AB50))/(Параметры!$B$13-Параметры!$B$14)*100))),(100-MAX(0,MIN(100,(Параметры!$B$13-MIN(Комплектация!AK50,Комплектация!AL50))/(Параметры!$B$13-Параметры!$B$14)*100))),(100-MAX(0,MIN(100,(Параметры!$B$13-MIN(Комплектация!AU50,Комплектация!AV50))/(Параметры!$B$13-Параметры!$B$14)*100))),(100-MAX(0,MIN(100,(Параметры!$B$13-MIN(Комплектация!BE50,Комплектация!BF50))/(Параметры!$B$13-Параметры!$B$14)*100))))</f>
        <v/>
      </c>
      <c r="O48" s="104">
        <f>AVERAGE(H48,L48)</f>
        <v/>
      </c>
      <c r="P48" s="105">
        <f>Параметры!$B$3*(Параметры!$B$5*H48+Параметры!$B$6*L48+Параметры!$B$7*N48+Параметры!$B$8*O48)/100</f>
        <v/>
      </c>
      <c r="Q48" s="106" t="n">
        <v>46005</v>
      </c>
      <c r="R48" s="106" t="n">
        <v>46735</v>
      </c>
      <c r="S48" s="104">
        <f>IF(OR(Q48="",R48="",R48=Q48),"",MAX(0,MIN(100,(Параметры!$B$2-Q48)/(R48-Q48)*100)))</f>
        <v/>
      </c>
      <c r="T48" s="103">
        <f>IF(ISNUMBER(Комплектация!P50),Комплектация!P50,"")</f>
        <v/>
      </c>
      <c r="U48" s="103">
        <f>IF(ISNUMBER(Комплектация!N50),Комплектация!N50,"")</f>
        <v/>
      </c>
      <c r="V48" s="104">
        <f>IF(OR(U48="",T48="",U48=0),"",MAX(0,MIN(100,(U48-T48)/U48*100)))</f>
        <v/>
      </c>
      <c r="W48" s="104">
        <f>MAX(IF(S48="",0,S48),IF(V48="",0,V48))</f>
        <v/>
      </c>
      <c r="X48" s="105">
        <f>Параметры!$B$18*W48/100</f>
        <v/>
      </c>
      <c r="Y48" s="103">
        <f>IF(MIN(Комплектация!AA50,Комплектация!AB50)-Параметры!$B$15&lt;Параметры!$B$16,1,0)+IF(MIN(Комплектация!AK50,Комплектация!AL50)-Параметры!$B$15&lt;Параметры!$B$16,1,0)+IF(MIN(Комплектация!AU50,Комплектация!AV50)-Параметры!$B$15&lt;Параметры!$B$16,1,0)+IF(MIN(Комплектация!BE50,Комплектация!BF50)-Параметры!$B$15&lt;Параметры!$B$16,1,0)</f>
        <v/>
      </c>
      <c r="Z48" s="105">
        <f>Y48*Параметры!$B$19</f>
        <v/>
      </c>
      <c r="AA48" s="107">
        <f>MAX(0,P48-X48-Z48)</f>
        <v/>
      </c>
      <c r="AB48" s="108">
        <f>SUMIFS(Прайс!$D$3:$D$11,Прайс!$A$3:$A$11,B48,Прайс!$B$3:$B$11,C48)</f>
        <v/>
      </c>
      <c r="AC48" s="105">
        <f>IF(AB48="","",AB48-AA48)</f>
        <v/>
      </c>
      <c r="AD48" s="109" t="n">
        <v>3925507.705479452</v>
      </c>
    </row>
    <row r="49">
      <c r="A49" s="101">
        <f>Комплектация!A51</f>
        <v/>
      </c>
      <c r="B49" s="101">
        <f>Комплектация!C51</f>
        <v/>
      </c>
      <c r="C49" s="102">
        <f>Комплектация!E51</f>
        <v/>
      </c>
      <c r="D49" s="103" t="n">
        <v>2050</v>
      </c>
      <c r="E49" s="103">
        <f>IF(D49="",Параметры!$B$11,MAX(1,D49-C49))</f>
        <v/>
      </c>
      <c r="F49" s="103">
        <f>MAX(0,YEAR(Параметры!$B$2)-C49)</f>
        <v/>
      </c>
      <c r="G49" s="104">
        <f>MIN(100,F49/E49*100)</f>
        <v/>
      </c>
      <c r="H49" s="104">
        <f>100-G49</f>
        <v/>
      </c>
      <c r="I49" s="103">
        <f>AVERAGE(Комплектация!BJ51,Комплектация!BP51,Комплектация!BV51,Комплектация!CB51,Комплектация!CH51,Комплектация!CN51)</f>
        <v/>
      </c>
      <c r="J49" s="103">
        <f>MAX(0,YEAR(Параметры!$B$2)-I49)</f>
        <v/>
      </c>
      <c r="K49" s="104">
        <f>MIN(100,J49/Параметры!$B$12*100)</f>
        <v/>
      </c>
      <c r="L49" s="104">
        <f>100-K49</f>
        <v/>
      </c>
      <c r="M49" s="103">
        <f>MIN(Комплектация!AA51,Комплектация!AB51,Комплектация!AK51,Комплектация!AL51,Комплектация!AU51,Комплектация!AV51,Комплектация!BE51,Комплектация!BF51)</f>
        <v/>
      </c>
      <c r="N49" s="104">
        <f>AVERAGE((100-MAX(0,MIN(100,(Параметры!$B$13-MIN(Комплектация!AA51,Комплектация!AB51))/(Параметры!$B$13-Параметры!$B$14)*100))),(100-MAX(0,MIN(100,(Параметры!$B$13-MIN(Комплектация!AK51,Комплектация!AL51))/(Параметры!$B$13-Параметры!$B$14)*100))),(100-MAX(0,MIN(100,(Параметры!$B$13-MIN(Комплектация!AU51,Комплектация!AV51))/(Параметры!$B$13-Параметры!$B$14)*100))),(100-MAX(0,MIN(100,(Параметры!$B$13-MIN(Комплектация!BE51,Комплектация!BF51))/(Параметры!$B$13-Параметры!$B$14)*100))))</f>
        <v/>
      </c>
      <c r="O49" s="104">
        <f>AVERAGE(H49,L49)</f>
        <v/>
      </c>
      <c r="P49" s="105">
        <f>Параметры!$B$3*(Параметры!$B$5*H49+Параметры!$B$6*L49+Параметры!$B$7*N49+Параметры!$B$8*O49)/100</f>
        <v/>
      </c>
      <c r="Q49" s="106" t="n">
        <v>46085</v>
      </c>
      <c r="R49" s="106" t="n">
        <v>46816</v>
      </c>
      <c r="S49" s="104">
        <f>IF(OR(Q49="",R49="",R49=Q49),"",MAX(0,MIN(100,(Параметры!$B$2-Q49)/(R49-Q49)*100)))</f>
        <v/>
      </c>
      <c r="T49" s="103">
        <f>IF(ISNUMBER(Комплектация!P51),Комплектация!P51,"")</f>
        <v/>
      </c>
      <c r="U49" s="103">
        <f>IF(ISNUMBER(Комплектация!N51),Комплектация!N51,"")</f>
        <v/>
      </c>
      <c r="V49" s="104">
        <f>IF(OR(U49="",T49="",U49=0),"",MAX(0,MIN(100,(U49-T49)/U49*100)))</f>
        <v/>
      </c>
      <c r="W49" s="104">
        <f>MAX(IF(S49="",0,S49),IF(V49="",0,V49))</f>
        <v/>
      </c>
      <c r="X49" s="105">
        <f>Параметры!$B$18*W49/100</f>
        <v/>
      </c>
      <c r="Y49" s="103">
        <f>IF(MIN(Комплектация!AA51,Комплектация!AB51)-Параметры!$B$15&lt;Параметры!$B$16,1,0)+IF(MIN(Комплектация!AK51,Комплектация!AL51)-Параметры!$B$15&lt;Параметры!$B$16,1,0)+IF(MIN(Комплектация!AU51,Комплектация!AV51)-Параметры!$B$15&lt;Параметры!$B$16,1,0)+IF(MIN(Комплектация!BE51,Комплектация!BF51)-Параметры!$B$15&lt;Параметры!$B$16,1,0)</f>
        <v/>
      </c>
      <c r="Z49" s="105">
        <f>Y49*Параметры!$B$19</f>
        <v/>
      </c>
      <c r="AA49" s="107">
        <f>MAX(0,P49-X49-Z49)</f>
        <v/>
      </c>
      <c r="AB49" s="108">
        <f>SUMIFS(Прайс!$D$3:$D$11,Прайс!$A$3:$A$11,B49,Прайс!$B$3:$B$11,C49)</f>
        <v/>
      </c>
      <c r="AC49" s="105">
        <f>IF(AB49="","",AB49-AA49)</f>
        <v/>
      </c>
      <c r="AD49" s="109" t="n">
        <v>3976600.803693571</v>
      </c>
    </row>
    <row r="50">
      <c r="A50" s="101">
        <f>Комплектация!A52</f>
        <v/>
      </c>
      <c r="B50" s="101">
        <f>Комплектация!C52</f>
        <v/>
      </c>
      <c r="C50" s="102">
        <f>Комплектация!E52</f>
        <v/>
      </c>
      <c r="D50" s="103" t="n">
        <v>2050</v>
      </c>
      <c r="E50" s="103">
        <f>IF(D50="",Параметры!$B$11,MAX(1,D50-C50))</f>
        <v/>
      </c>
      <c r="F50" s="103">
        <f>MAX(0,YEAR(Параметры!$B$2)-C50)</f>
        <v/>
      </c>
      <c r="G50" s="104">
        <f>MIN(100,F50/E50*100)</f>
        <v/>
      </c>
      <c r="H50" s="104">
        <f>100-G50</f>
        <v/>
      </c>
      <c r="I50" s="103">
        <f>AVERAGE(Комплектация!BJ52,Комплектация!BP52,Комплектация!BV52,Комплектация!CB52,Комплектация!CH52,Комплектация!CN52)</f>
        <v/>
      </c>
      <c r="J50" s="103">
        <f>MAX(0,YEAR(Параметры!$B$2)-I50)</f>
        <v/>
      </c>
      <c r="K50" s="104">
        <f>MIN(100,J50/Параметры!$B$12*100)</f>
        <v/>
      </c>
      <c r="L50" s="104">
        <f>100-K50</f>
        <v/>
      </c>
      <c r="M50" s="103">
        <f>MIN(Комплектация!AA52,Комплектация!AB52,Комплектация!AK52,Комплектация!AL52,Комплектация!AU52,Комплектация!AV52,Комплектация!BE52,Комплектация!BF52)</f>
        <v/>
      </c>
      <c r="N50" s="104">
        <f>AVERAGE((100-MAX(0,MIN(100,(Параметры!$B$13-MIN(Комплектация!AA52,Комплектация!AB52))/(Параметры!$B$13-Параметры!$B$14)*100))),(100-MAX(0,MIN(100,(Параметры!$B$13-MIN(Комплектация!AK52,Комплектация!AL52))/(Параметры!$B$13-Параметры!$B$14)*100))),(100-MAX(0,MIN(100,(Параметры!$B$13-MIN(Комплектация!AU52,Комплектация!AV52))/(Параметры!$B$13-Параметры!$B$14)*100))),(100-MAX(0,MIN(100,(Параметры!$B$13-MIN(Комплектация!BE52,Комплектация!BF52))/(Параметры!$B$13-Параметры!$B$14)*100))))</f>
        <v/>
      </c>
      <c r="O50" s="104">
        <f>AVERAGE(H50,L50)</f>
        <v/>
      </c>
      <c r="P50" s="105">
        <f>Параметры!$B$3*(Параметры!$B$5*H50+Параметры!$B$6*L50+Параметры!$B$7*N50+Параметры!$B$8*O50)/100</f>
        <v/>
      </c>
      <c r="Q50" s="106" t="n">
        <v>45987</v>
      </c>
      <c r="R50" s="106" t="n">
        <v>46717</v>
      </c>
      <c r="S50" s="104">
        <f>IF(OR(Q50="",R50="",R50=Q50),"",MAX(0,MIN(100,(Параметры!$B$2-Q50)/(R50-Q50)*100)))</f>
        <v/>
      </c>
      <c r="T50" s="103">
        <f>IF(ISNUMBER(Комплектация!P52),Комплектация!P52,"")</f>
        <v/>
      </c>
      <c r="U50" s="103">
        <f>IF(ISNUMBER(Комплектация!N52),Комплектация!N52,"")</f>
        <v/>
      </c>
      <c r="V50" s="104">
        <f>IF(OR(U50="",T50="",U50=0),"",MAX(0,MIN(100,(U50-T50)/U50*100)))</f>
        <v/>
      </c>
      <c r="W50" s="104">
        <f>MAX(IF(S50="",0,S50),IF(V50="",0,V50))</f>
        <v/>
      </c>
      <c r="X50" s="105">
        <f>Параметры!$B$18*W50/100</f>
        <v/>
      </c>
      <c r="Y50" s="103">
        <f>IF(MIN(Комплектация!AA52,Комплектация!AB52)-Параметры!$B$15&lt;Параметры!$B$16,1,0)+IF(MIN(Комплектация!AK52,Комплектация!AL52)-Параметры!$B$15&lt;Параметры!$B$16,1,0)+IF(MIN(Комплектация!AU52,Комплектация!AV52)-Параметры!$B$15&lt;Параметры!$B$16,1,0)+IF(MIN(Комплектация!BE52,Комплектация!BF52)-Параметры!$B$15&lt;Параметры!$B$16,1,0)</f>
        <v/>
      </c>
      <c r="Z50" s="105">
        <f>Y50*Параметры!$B$19</f>
        <v/>
      </c>
      <c r="AA50" s="107">
        <f>MAX(0,P50-X50-Z50)</f>
        <v/>
      </c>
      <c r="AB50" s="108">
        <f>SUMIFS(Прайс!$D$3:$D$11,Прайс!$A$3:$A$11,B50,Прайс!$B$3:$B$11,C50)</f>
        <v/>
      </c>
      <c r="AC50" s="105">
        <f>IF(AB50="","",AB50-AA50)</f>
        <v/>
      </c>
      <c r="AD50" s="109" t="n">
        <v>3914041.952054794</v>
      </c>
    </row>
    <row r="51">
      <c r="A51" s="101">
        <f>Комплектация!A53</f>
        <v/>
      </c>
      <c r="B51" s="101">
        <f>Комплектация!C53</f>
        <v/>
      </c>
      <c r="C51" s="102">
        <f>Комплектация!E53</f>
        <v/>
      </c>
      <c r="D51" s="103" t="n">
        <v>2050</v>
      </c>
      <c r="E51" s="103">
        <f>IF(D51="",Параметры!$B$11,MAX(1,D51-C51))</f>
        <v/>
      </c>
      <c r="F51" s="103">
        <f>MAX(0,YEAR(Параметры!$B$2)-C51)</f>
        <v/>
      </c>
      <c r="G51" s="104">
        <f>MIN(100,F51/E51*100)</f>
        <v/>
      </c>
      <c r="H51" s="104">
        <f>100-G51</f>
        <v/>
      </c>
      <c r="I51" s="103">
        <f>AVERAGE(Комплектация!BJ53,Комплектация!BP53,Комплектация!BV53,Комплектация!CB53,Комплектация!CH53,Комплектация!CN53)</f>
        <v/>
      </c>
      <c r="J51" s="103">
        <f>MAX(0,YEAR(Параметры!$B$2)-I51)</f>
        <v/>
      </c>
      <c r="K51" s="104">
        <f>MIN(100,J51/Параметры!$B$12*100)</f>
        <v/>
      </c>
      <c r="L51" s="104">
        <f>100-K51</f>
        <v/>
      </c>
      <c r="M51" s="103">
        <f>MIN(Комплектация!AA53,Комплектация!AB53,Комплектация!AK53,Комплектация!AL53,Комплектация!AU53,Комплектация!AV53,Комплектация!BE53,Комплектация!BF53)</f>
        <v/>
      </c>
      <c r="N51" s="104">
        <f>AVERAGE((100-MAX(0,MIN(100,(Параметры!$B$13-MIN(Комплектация!AA53,Комплектация!AB53))/(Параметры!$B$13-Параметры!$B$14)*100))),(100-MAX(0,MIN(100,(Параметры!$B$13-MIN(Комплектация!AK53,Комплектация!AL53))/(Параметры!$B$13-Параметры!$B$14)*100))),(100-MAX(0,MIN(100,(Параметры!$B$13-MIN(Комплектация!AU53,Комплектация!AV53))/(Параметры!$B$13-Параметры!$B$14)*100))),(100-MAX(0,MIN(100,(Параметры!$B$13-MIN(Комплектация!BE53,Комплектация!BF53))/(Параметры!$B$13-Параметры!$B$14)*100))))</f>
        <v/>
      </c>
      <c r="O51" s="104">
        <f>AVERAGE(H51,L51)</f>
        <v/>
      </c>
      <c r="P51" s="105">
        <f>Параметры!$B$3*(Параметры!$B$5*H51+Параметры!$B$6*L51+Параметры!$B$7*N51+Параметры!$B$8*O51)/100</f>
        <v/>
      </c>
      <c r="Q51" s="106" t="n">
        <v>45990</v>
      </c>
      <c r="R51" s="106" t="n">
        <v>46720</v>
      </c>
      <c r="S51" s="104">
        <f>IF(OR(Q51="",R51="",R51=Q51),"",MAX(0,MIN(100,(Параметры!$B$2-Q51)/(R51-Q51)*100)))</f>
        <v/>
      </c>
      <c r="T51" s="103">
        <f>IF(ISNUMBER(Комплектация!P53),Комплектация!P53,"")</f>
        <v/>
      </c>
      <c r="U51" s="103">
        <f>IF(ISNUMBER(Комплектация!N53),Комплектация!N53,"")</f>
        <v/>
      </c>
      <c r="V51" s="104">
        <f>IF(OR(U51="",T51="",U51=0),"",MAX(0,MIN(100,(U51-T51)/U51*100)))</f>
        <v/>
      </c>
      <c r="W51" s="104">
        <f>MAX(IF(S51="",0,S51),IF(V51="",0,V51))</f>
        <v/>
      </c>
      <c r="X51" s="105">
        <f>Параметры!$B$18*W51/100</f>
        <v/>
      </c>
      <c r="Y51" s="103">
        <f>IF(MIN(Комплектация!AA53,Комплектация!AB53)-Параметры!$B$15&lt;Параметры!$B$16,1,0)+IF(MIN(Комплектация!AK53,Комплектация!AL53)-Параметры!$B$15&lt;Параметры!$B$16,1,0)+IF(MIN(Комплектация!AU53,Комплектация!AV53)-Параметры!$B$15&lt;Параметры!$B$16,1,0)+IF(MIN(Комплектация!BE53,Комплектация!BF53)-Параметры!$B$15&lt;Параметры!$B$16,1,0)</f>
        <v/>
      </c>
      <c r="Z51" s="105">
        <f>Y51*Параметры!$B$19</f>
        <v/>
      </c>
      <c r="AA51" s="107">
        <f>MAX(0,P51-X51-Z51)</f>
        <v/>
      </c>
      <c r="AB51" s="108">
        <f>SUMIFS(Прайс!$D$3:$D$11,Прайс!$A$3:$A$11,B51,Прайс!$B$3:$B$11,C51)</f>
        <v/>
      </c>
      <c r="AC51" s="105">
        <f>IF(AB51="","",AB51-AA51)</f>
        <v/>
      </c>
      <c r="AD51" s="109" t="n">
        <v>3915952.910958904</v>
      </c>
    </row>
    <row r="52">
      <c r="A52" s="101">
        <f>Комплектация!A54</f>
        <v/>
      </c>
      <c r="B52" s="101">
        <f>Комплектация!C54</f>
        <v/>
      </c>
      <c r="C52" s="102">
        <f>Комплектация!E54</f>
        <v/>
      </c>
      <c r="D52" s="103" t="n">
        <v>2050</v>
      </c>
      <c r="E52" s="103">
        <f>IF(D52="",Параметры!$B$11,MAX(1,D52-C52))</f>
        <v/>
      </c>
      <c r="F52" s="103">
        <f>MAX(0,YEAR(Параметры!$B$2)-C52)</f>
        <v/>
      </c>
      <c r="G52" s="104">
        <f>MIN(100,F52/E52*100)</f>
        <v/>
      </c>
      <c r="H52" s="104">
        <f>100-G52</f>
        <v/>
      </c>
      <c r="I52" s="103">
        <f>AVERAGE(Комплектация!BJ54,Комплектация!BP54,Комплектация!BV54,Комплектация!CB54,Комплектация!CH54,Комплектация!CN54)</f>
        <v/>
      </c>
      <c r="J52" s="103">
        <f>MAX(0,YEAR(Параметры!$B$2)-I52)</f>
        <v/>
      </c>
      <c r="K52" s="104">
        <f>MIN(100,J52/Параметры!$B$12*100)</f>
        <v/>
      </c>
      <c r="L52" s="104">
        <f>100-K52</f>
        <v/>
      </c>
      <c r="M52" s="103">
        <f>MIN(Комплектация!AA54,Комплектация!AB54,Комплектация!AK54,Комплектация!AL54,Комплектация!AU54,Комплектация!AV54,Комплектация!BE54,Комплектация!BF54)</f>
        <v/>
      </c>
      <c r="N52" s="104">
        <f>AVERAGE((100-MAX(0,MIN(100,(Параметры!$B$13-MIN(Комплектация!AA54,Комплектация!AB54))/(Параметры!$B$13-Параметры!$B$14)*100))),(100-MAX(0,MIN(100,(Параметры!$B$13-MIN(Комплектация!AK54,Комплектация!AL54))/(Параметры!$B$13-Параметры!$B$14)*100))),(100-MAX(0,MIN(100,(Параметры!$B$13-MIN(Комплектация!AU54,Комплектация!AV54))/(Параметры!$B$13-Параметры!$B$14)*100))),(100-MAX(0,MIN(100,(Параметры!$B$13-MIN(Комплектация!BE54,Комплектация!BF54))/(Параметры!$B$13-Параметры!$B$14)*100))))</f>
        <v/>
      </c>
      <c r="O52" s="104">
        <f>AVERAGE(H52,L52)</f>
        <v/>
      </c>
      <c r="P52" s="105">
        <f>Параметры!$B$3*(Параметры!$B$5*H52+Параметры!$B$6*L52+Параметры!$B$7*N52+Параметры!$B$8*O52)/100</f>
        <v/>
      </c>
      <c r="Q52" s="106" t="n">
        <v>45972</v>
      </c>
      <c r="R52" s="106" t="n">
        <v>46702</v>
      </c>
      <c r="S52" s="104">
        <f>IF(OR(Q52="",R52="",R52=Q52),"",MAX(0,MIN(100,(Параметры!$B$2-Q52)/(R52-Q52)*100)))</f>
        <v/>
      </c>
      <c r="T52" s="103">
        <f>IF(ISNUMBER(Комплектация!P54),Комплектация!P54,"")</f>
        <v/>
      </c>
      <c r="U52" s="103">
        <f>IF(ISNUMBER(Комплектация!N54),Комплектация!N54,"")</f>
        <v/>
      </c>
      <c r="V52" s="104">
        <f>IF(OR(U52="",T52="",U52=0),"",MAX(0,MIN(100,(U52-T52)/U52*100)))</f>
        <v/>
      </c>
      <c r="W52" s="104">
        <f>MAX(IF(S52="",0,S52),IF(V52="",0,V52))</f>
        <v/>
      </c>
      <c r="X52" s="105">
        <f>Параметры!$B$18*W52/100</f>
        <v/>
      </c>
      <c r="Y52" s="103">
        <f>IF(MIN(Комплектация!AA54,Комплектация!AB54)-Параметры!$B$15&lt;Параметры!$B$16,1,0)+IF(MIN(Комплектация!AK54,Комплектация!AL54)-Параметры!$B$15&lt;Параметры!$B$16,1,0)+IF(MIN(Комплектация!AU54,Комплектация!AV54)-Параметры!$B$15&lt;Параметры!$B$16,1,0)+IF(MIN(Комплектация!BE54,Комплектация!BF54)-Параметры!$B$15&lt;Параметры!$B$16,1,0)</f>
        <v/>
      </c>
      <c r="Z52" s="105">
        <f>Y52*Параметры!$B$19</f>
        <v/>
      </c>
      <c r="AA52" s="107">
        <f>MAX(0,P52-X52-Z52)</f>
        <v/>
      </c>
      <c r="AB52" s="108">
        <f>SUMIFS(Прайс!$D$3:$D$11,Прайс!$A$3:$A$11,B52,Прайс!$B$3:$B$11,C52)</f>
        <v/>
      </c>
      <c r="AC52" s="105">
        <f>IF(AB52="","",AB52-AA52)</f>
        <v/>
      </c>
      <c r="AD52" s="109" t="n">
        <v>3904487.157534247</v>
      </c>
    </row>
    <row r="53">
      <c r="A53" s="101">
        <f>Комплектация!A55</f>
        <v/>
      </c>
      <c r="B53" s="101">
        <f>Комплектация!C55</f>
        <v/>
      </c>
      <c r="C53" s="102">
        <f>Комплектация!E55</f>
        <v/>
      </c>
      <c r="D53" s="103" t="n">
        <v>2050</v>
      </c>
      <c r="E53" s="103">
        <f>IF(D53="",Параметры!$B$11,MAX(1,D53-C53))</f>
        <v/>
      </c>
      <c r="F53" s="103">
        <f>MAX(0,YEAR(Параметры!$B$2)-C53)</f>
        <v/>
      </c>
      <c r="G53" s="104">
        <f>MIN(100,F53/E53*100)</f>
        <v/>
      </c>
      <c r="H53" s="104">
        <f>100-G53</f>
        <v/>
      </c>
      <c r="I53" s="103">
        <f>AVERAGE(Комплектация!BJ55,Комплектация!BP55,Комплектация!BV55,Комплектация!CB55,Комплектация!CH55,Комплектация!CN55)</f>
        <v/>
      </c>
      <c r="J53" s="103">
        <f>MAX(0,YEAR(Параметры!$B$2)-I53)</f>
        <v/>
      </c>
      <c r="K53" s="104">
        <f>MIN(100,J53/Параметры!$B$12*100)</f>
        <v/>
      </c>
      <c r="L53" s="104">
        <f>100-K53</f>
        <v/>
      </c>
      <c r="M53" s="103">
        <f>MIN(Комплектация!AA55,Комплектация!AB55,Комплектация!AK55,Комплектация!AL55,Комплектация!AU55,Комплектация!AV55,Комплектация!BE55,Комплектация!BF55)</f>
        <v/>
      </c>
      <c r="N53" s="104">
        <f>AVERAGE((100-MAX(0,MIN(100,(Параметры!$B$13-MIN(Комплектация!AA55,Комплектация!AB55))/(Параметры!$B$13-Параметры!$B$14)*100))),(100-MAX(0,MIN(100,(Параметры!$B$13-MIN(Комплектация!AK55,Комплектация!AL55))/(Параметры!$B$13-Параметры!$B$14)*100))),(100-MAX(0,MIN(100,(Параметры!$B$13-MIN(Комплектация!AU55,Комплектация!AV55))/(Параметры!$B$13-Параметры!$B$14)*100))),(100-MAX(0,MIN(100,(Параметры!$B$13-MIN(Комплектация!BE55,Комплектация!BF55))/(Параметры!$B$13-Параметры!$B$14)*100))))</f>
        <v/>
      </c>
      <c r="O53" s="104">
        <f>AVERAGE(H53,L53)</f>
        <v/>
      </c>
      <c r="P53" s="105">
        <f>Параметры!$B$3*(Параметры!$B$5*H53+Параметры!$B$6*L53+Параметры!$B$7*N53+Параметры!$B$8*O53)/100</f>
        <v/>
      </c>
      <c r="Q53" s="106" t="n">
        <v>46001</v>
      </c>
      <c r="R53" s="106" t="n">
        <v>46731</v>
      </c>
      <c r="S53" s="104">
        <f>IF(OR(Q53="",R53="",R53=Q53),"",MAX(0,MIN(100,(Параметры!$B$2-Q53)/(R53-Q53)*100)))</f>
        <v/>
      </c>
      <c r="T53" s="103">
        <f>IF(ISNUMBER(Комплектация!P55),Комплектация!P55,"")</f>
        <v/>
      </c>
      <c r="U53" s="103">
        <f>IF(ISNUMBER(Комплектация!N55),Комплектация!N55,"")</f>
        <v/>
      </c>
      <c r="V53" s="104">
        <f>IF(OR(U53="",T53="",U53=0),"",MAX(0,MIN(100,(U53-T53)/U53*100)))</f>
        <v/>
      </c>
      <c r="W53" s="104">
        <f>MAX(IF(S53="",0,S53),IF(V53="",0,V53))</f>
        <v/>
      </c>
      <c r="X53" s="105">
        <f>Параметры!$B$18*W53/100</f>
        <v/>
      </c>
      <c r="Y53" s="103">
        <f>IF(MIN(Комплектация!AA55,Комплектация!AB55)-Параметры!$B$15&lt;Параметры!$B$16,1,0)+IF(MIN(Комплектация!AK55,Комплектация!AL55)-Параметры!$B$15&lt;Параметры!$B$16,1,0)+IF(MIN(Комплектация!AU55,Комплектация!AV55)-Параметры!$B$15&lt;Параметры!$B$16,1,0)+IF(MIN(Комплектация!BE55,Комплектация!BF55)-Параметры!$B$15&lt;Параметры!$B$16,1,0)</f>
        <v/>
      </c>
      <c r="Z53" s="105">
        <f>Y53*Параметры!$B$19</f>
        <v/>
      </c>
      <c r="AA53" s="107">
        <f>MAX(0,P53-X53-Z53)</f>
        <v/>
      </c>
      <c r="AB53" s="108">
        <f>SUMIFS(Прайс!$D$3:$D$11,Прайс!$A$3:$A$11,B53,Прайс!$B$3:$B$11,C53)</f>
        <v/>
      </c>
      <c r="AC53" s="105">
        <f>IF(AB53="","",AB53-AA53)</f>
        <v/>
      </c>
      <c r="AD53" s="109" t="n">
        <v>3922959.760273973</v>
      </c>
    </row>
    <row r="54">
      <c r="A54" s="101">
        <f>Комплектация!A56</f>
        <v/>
      </c>
      <c r="B54" s="101">
        <f>Комплектация!C56</f>
        <v/>
      </c>
      <c r="C54" s="102">
        <f>Комплектация!E56</f>
        <v/>
      </c>
      <c r="D54" s="103" t="n">
        <v>2050</v>
      </c>
      <c r="E54" s="103">
        <f>IF(D54="",Параметры!$B$11,MAX(1,D54-C54))</f>
        <v/>
      </c>
      <c r="F54" s="103">
        <f>MAX(0,YEAR(Параметры!$B$2)-C54)</f>
        <v/>
      </c>
      <c r="G54" s="104">
        <f>MIN(100,F54/E54*100)</f>
        <v/>
      </c>
      <c r="H54" s="104">
        <f>100-G54</f>
        <v/>
      </c>
      <c r="I54" s="103">
        <f>AVERAGE(Комплектация!BJ56,Комплектация!BP56,Комплектация!BV56,Комплектация!CB56,Комплектация!CH56,Комплектация!CN56)</f>
        <v/>
      </c>
      <c r="J54" s="103">
        <f>MAX(0,YEAR(Параметры!$B$2)-I54)</f>
        <v/>
      </c>
      <c r="K54" s="104">
        <f>MIN(100,J54/Параметры!$B$12*100)</f>
        <v/>
      </c>
      <c r="L54" s="104">
        <f>100-K54</f>
        <v/>
      </c>
      <c r="M54" s="103">
        <f>MIN(Комплектация!AA56,Комплектация!AB56,Комплектация!AK56,Комплектация!AL56,Комплектация!AU56,Комплектация!AV56,Комплектация!BE56,Комплектация!BF56)</f>
        <v/>
      </c>
      <c r="N54" s="104">
        <f>AVERAGE((100-MAX(0,MIN(100,(Параметры!$B$13-MIN(Комплектация!AA56,Комплектация!AB56))/(Параметры!$B$13-Параметры!$B$14)*100))),(100-MAX(0,MIN(100,(Параметры!$B$13-MIN(Комплектация!AK56,Комплектация!AL56))/(Параметры!$B$13-Параметры!$B$14)*100))),(100-MAX(0,MIN(100,(Параметры!$B$13-MIN(Комплектация!AU56,Комплектация!AV56))/(Параметры!$B$13-Параметры!$B$14)*100))),(100-MAX(0,MIN(100,(Параметры!$B$13-MIN(Комплектация!BE56,Комплектация!BF56))/(Параметры!$B$13-Параметры!$B$14)*100))))</f>
        <v/>
      </c>
      <c r="O54" s="104">
        <f>AVERAGE(H54,L54)</f>
        <v/>
      </c>
      <c r="P54" s="105">
        <f>Параметры!$B$3*(Параметры!$B$5*H54+Параметры!$B$6*L54+Параметры!$B$7*N54+Параметры!$B$8*O54)/100</f>
        <v/>
      </c>
      <c r="Q54" s="106" t="n">
        <v>45963</v>
      </c>
      <c r="R54" s="106" t="n">
        <v>46693</v>
      </c>
      <c r="S54" s="104">
        <f>IF(OR(Q54="",R54="",R54=Q54),"",MAX(0,MIN(100,(Параметры!$B$2-Q54)/(R54-Q54)*100)))</f>
        <v/>
      </c>
      <c r="T54" s="103">
        <f>IF(ISNUMBER(Комплектация!P56),Комплектация!P56,"")</f>
        <v/>
      </c>
      <c r="U54" s="103">
        <f>IF(ISNUMBER(Комплектация!N56),Комплектация!N56,"")</f>
        <v/>
      </c>
      <c r="V54" s="104">
        <f>IF(OR(U54="",T54="",U54=0),"",MAX(0,MIN(100,(U54-T54)/U54*100)))</f>
        <v/>
      </c>
      <c r="W54" s="104">
        <f>MAX(IF(S54="",0,S54),IF(V54="",0,V54))</f>
        <v/>
      </c>
      <c r="X54" s="105">
        <f>Параметры!$B$18*W54/100</f>
        <v/>
      </c>
      <c r="Y54" s="103">
        <f>IF(MIN(Комплектация!AA56,Комплектация!AB56)-Параметры!$B$15&lt;Параметры!$B$16,1,0)+IF(MIN(Комплектация!AK56,Комплектация!AL56)-Параметры!$B$15&lt;Параметры!$B$16,1,0)+IF(MIN(Комплектация!AU56,Комплектация!AV56)-Параметры!$B$15&lt;Параметры!$B$16,1,0)+IF(MIN(Комплектация!BE56,Комплектация!BF56)-Параметры!$B$15&lt;Параметры!$B$16,1,0)</f>
        <v/>
      </c>
      <c r="Z54" s="105">
        <f>Y54*Параметры!$B$19</f>
        <v/>
      </c>
      <c r="AA54" s="107">
        <f>MAX(0,P54-X54-Z54)</f>
        <v/>
      </c>
      <c r="AB54" s="108">
        <f>SUMIFS(Прайс!$D$3:$D$11,Прайс!$A$3:$A$11,B54,Прайс!$B$3:$B$11,C54)</f>
        <v/>
      </c>
      <c r="AC54" s="105">
        <f>IF(AB54="","",AB54-AA54)</f>
        <v/>
      </c>
      <c r="AD54" s="109" t="n">
        <v>3898754.280821918</v>
      </c>
    </row>
    <row r="55">
      <c r="A55" s="101">
        <f>Комплектация!A57</f>
        <v/>
      </c>
      <c r="B55" s="101">
        <f>Комплектация!C57</f>
        <v/>
      </c>
      <c r="C55" s="102">
        <f>Комплектация!E57</f>
        <v/>
      </c>
      <c r="D55" s="103" t="n">
        <v>2050</v>
      </c>
      <c r="E55" s="103">
        <f>IF(D55="",Параметры!$B$11,MAX(1,D55-C55))</f>
        <v/>
      </c>
      <c r="F55" s="103">
        <f>MAX(0,YEAR(Параметры!$B$2)-C55)</f>
        <v/>
      </c>
      <c r="G55" s="104">
        <f>MIN(100,F55/E55*100)</f>
        <v/>
      </c>
      <c r="H55" s="104">
        <f>100-G55</f>
        <v/>
      </c>
      <c r="I55" s="103">
        <f>AVERAGE(Комплектация!BJ57,Комплектация!BP57,Комплектация!BV57,Комплектация!CB57,Комплектация!CH57,Комплектация!CN57)</f>
        <v/>
      </c>
      <c r="J55" s="103">
        <f>MAX(0,YEAR(Параметры!$B$2)-I55)</f>
        <v/>
      </c>
      <c r="K55" s="104">
        <f>MIN(100,J55/Параметры!$B$12*100)</f>
        <v/>
      </c>
      <c r="L55" s="104">
        <f>100-K55</f>
        <v/>
      </c>
      <c r="M55" s="103">
        <f>MIN(Комплектация!AA57,Комплектация!AB57,Комплектация!AK57,Комплектация!AL57,Комплектация!AU57,Комплектация!AV57,Комплектация!BE57,Комплектация!BF57)</f>
        <v/>
      </c>
      <c r="N55" s="104">
        <f>AVERAGE((100-MAX(0,MIN(100,(Параметры!$B$13-MIN(Комплектация!AA57,Комплектация!AB57))/(Параметры!$B$13-Параметры!$B$14)*100))),(100-MAX(0,MIN(100,(Параметры!$B$13-MIN(Комплектация!AK57,Комплектация!AL57))/(Параметры!$B$13-Параметры!$B$14)*100))),(100-MAX(0,MIN(100,(Параметры!$B$13-MIN(Комплектация!AU57,Комплектация!AV57))/(Параметры!$B$13-Параметры!$B$14)*100))),(100-MAX(0,MIN(100,(Параметры!$B$13-MIN(Комплектация!BE57,Комплектация!BF57))/(Параметры!$B$13-Параметры!$B$14)*100))))</f>
        <v/>
      </c>
      <c r="O55" s="104">
        <f>AVERAGE(H55,L55)</f>
        <v/>
      </c>
      <c r="P55" s="105">
        <f>Параметры!$B$3*(Параметры!$B$5*H55+Параметры!$B$6*L55+Параметры!$B$7*N55+Параметры!$B$8*O55)/100</f>
        <v/>
      </c>
      <c r="Q55" s="106" t="n">
        <v>45963</v>
      </c>
      <c r="R55" s="106" t="n">
        <v>46693</v>
      </c>
      <c r="S55" s="104">
        <f>IF(OR(Q55="",R55="",R55=Q55),"",MAX(0,MIN(100,(Параметры!$B$2-Q55)/(R55-Q55)*100)))</f>
        <v/>
      </c>
      <c r="T55" s="103">
        <f>IF(ISNUMBER(Комплектация!P57),Комплектация!P57,"")</f>
        <v/>
      </c>
      <c r="U55" s="103">
        <f>IF(ISNUMBER(Комплектация!N57),Комплектация!N57,"")</f>
        <v/>
      </c>
      <c r="V55" s="104">
        <f>IF(OR(U55="",T55="",U55=0),"",MAX(0,MIN(100,(U55-T55)/U55*100)))</f>
        <v/>
      </c>
      <c r="W55" s="104">
        <f>MAX(IF(S55="",0,S55),IF(V55="",0,V55))</f>
        <v/>
      </c>
      <c r="X55" s="105">
        <f>Параметры!$B$18*W55/100</f>
        <v/>
      </c>
      <c r="Y55" s="103">
        <f>IF(MIN(Комплектация!AA57,Комплектация!AB57)-Параметры!$B$15&lt;Параметры!$B$16,1,0)+IF(MIN(Комплектация!AK57,Комплектация!AL57)-Параметры!$B$15&lt;Параметры!$B$16,1,0)+IF(MIN(Комплектация!AU57,Комплектация!AV57)-Параметры!$B$15&lt;Параметры!$B$16,1,0)+IF(MIN(Комплектация!BE57,Комплектация!BF57)-Параметры!$B$15&lt;Параметры!$B$16,1,0)</f>
        <v/>
      </c>
      <c r="Z55" s="105">
        <f>Y55*Параметры!$B$19</f>
        <v/>
      </c>
      <c r="AA55" s="107">
        <f>MAX(0,P55-X55-Z55)</f>
        <v/>
      </c>
      <c r="AB55" s="108">
        <f>SUMIFS(Прайс!$D$3:$D$11,Прайс!$A$3:$A$11,B55,Прайс!$B$3:$B$11,C55)</f>
        <v/>
      </c>
      <c r="AC55" s="105">
        <f>IF(AB55="","",AB55-AA55)</f>
        <v/>
      </c>
      <c r="AD55" s="109" t="n">
        <v>3898754.280821918</v>
      </c>
    </row>
    <row r="56">
      <c r="A56" s="101">
        <f>Комплектация!A58</f>
        <v/>
      </c>
      <c r="B56" s="101">
        <f>Комплектация!C58</f>
        <v/>
      </c>
      <c r="C56" s="102">
        <f>Комплектация!E58</f>
        <v/>
      </c>
      <c r="D56" s="103" t="n">
        <v>2050</v>
      </c>
      <c r="E56" s="103">
        <f>IF(D56="",Параметры!$B$11,MAX(1,D56-C56))</f>
        <v/>
      </c>
      <c r="F56" s="103">
        <f>MAX(0,YEAR(Параметры!$B$2)-C56)</f>
        <v/>
      </c>
      <c r="G56" s="104">
        <f>MIN(100,F56/E56*100)</f>
        <v/>
      </c>
      <c r="H56" s="104">
        <f>100-G56</f>
        <v/>
      </c>
      <c r="I56" s="103">
        <f>AVERAGE(Комплектация!BJ58,Комплектация!BP58,Комплектация!BV58,Комплектация!CB58,Комплектация!CH58,Комплектация!CN58)</f>
        <v/>
      </c>
      <c r="J56" s="103">
        <f>MAX(0,YEAR(Параметры!$B$2)-I56)</f>
        <v/>
      </c>
      <c r="K56" s="104">
        <f>MIN(100,J56/Параметры!$B$12*100)</f>
        <v/>
      </c>
      <c r="L56" s="104">
        <f>100-K56</f>
        <v/>
      </c>
      <c r="M56" s="103">
        <f>MIN(Комплектация!AA58,Комплектация!AB58,Комплектация!AK58,Комплектация!AL58,Комплектация!AU58,Комплектация!AV58,Комплектация!BE58,Комплектация!BF58)</f>
        <v/>
      </c>
      <c r="N56" s="104">
        <f>AVERAGE((100-MAX(0,MIN(100,(Параметры!$B$13-MIN(Комплектация!AA58,Комплектация!AB58))/(Параметры!$B$13-Параметры!$B$14)*100))),(100-MAX(0,MIN(100,(Параметры!$B$13-MIN(Комплектация!AK58,Комплектация!AL58))/(Параметры!$B$13-Параметры!$B$14)*100))),(100-MAX(0,MIN(100,(Параметры!$B$13-MIN(Комплектация!AU58,Комплектация!AV58))/(Параметры!$B$13-Параметры!$B$14)*100))),(100-MAX(0,MIN(100,(Параметры!$B$13-MIN(Комплектация!BE58,Комплектация!BF58))/(Параметры!$B$13-Параметры!$B$14)*100))))</f>
        <v/>
      </c>
      <c r="O56" s="104">
        <f>AVERAGE(H56,L56)</f>
        <v/>
      </c>
      <c r="P56" s="105">
        <f>Параметры!$B$3*(Параметры!$B$5*H56+Параметры!$B$6*L56+Параметры!$B$7*N56+Параметры!$B$8*O56)/100</f>
        <v/>
      </c>
      <c r="Q56" s="106" t="n">
        <v>45916</v>
      </c>
      <c r="R56" s="106" t="n">
        <v>46646</v>
      </c>
      <c r="S56" s="104">
        <f>IF(OR(Q56="",R56="",R56=Q56),"",MAX(0,MIN(100,(Параметры!$B$2-Q56)/(R56-Q56)*100)))</f>
        <v/>
      </c>
      <c r="T56" s="103">
        <f>IF(ISNUMBER(Комплектация!P58),Комплектация!P58,"")</f>
        <v/>
      </c>
      <c r="U56" s="103">
        <f>IF(ISNUMBER(Комплектация!N58),Комплектация!N58,"")</f>
        <v/>
      </c>
      <c r="V56" s="104">
        <f>IF(OR(U56="",T56="",U56=0),"",MAX(0,MIN(100,(U56-T56)/U56*100)))</f>
        <v/>
      </c>
      <c r="W56" s="104">
        <f>MAX(IF(S56="",0,S56),IF(V56="",0,V56))</f>
        <v/>
      </c>
      <c r="X56" s="105">
        <f>Параметры!$B$18*W56/100</f>
        <v/>
      </c>
      <c r="Y56" s="103">
        <f>IF(MIN(Комплектация!AA58,Комплектация!AB58)-Параметры!$B$15&lt;Параметры!$B$16,1,0)+IF(MIN(Комплектация!AK58,Комплектация!AL58)-Параметры!$B$15&lt;Параметры!$B$16,1,0)+IF(MIN(Комплектация!AU58,Комплектация!AV58)-Параметры!$B$15&lt;Параметры!$B$16,1,0)+IF(MIN(Комплектация!BE58,Комплектация!BF58)-Параметры!$B$15&lt;Параметры!$B$16,1,0)</f>
        <v/>
      </c>
      <c r="Z56" s="105">
        <f>Y56*Параметры!$B$19</f>
        <v/>
      </c>
      <c r="AA56" s="107">
        <f>MAX(0,P56-X56-Z56)</f>
        <v/>
      </c>
      <c r="AB56" s="108">
        <f>SUMIFS(Прайс!$D$3:$D$11,Прайс!$A$3:$A$11,B56,Прайс!$B$3:$B$11,C56)</f>
        <v/>
      </c>
      <c r="AC56" s="105">
        <f>IF(AB56="","",AB56-AA56)</f>
        <v/>
      </c>
      <c r="AD56" s="109" t="n">
        <v>3868815.924657534</v>
      </c>
    </row>
    <row r="57">
      <c r="A57" s="101">
        <f>Комплектация!A59</f>
        <v/>
      </c>
      <c r="B57" s="101">
        <f>Комплектация!C59</f>
        <v/>
      </c>
      <c r="C57" s="102">
        <f>Комплектация!E59</f>
        <v/>
      </c>
      <c r="D57" s="103" t="n">
        <v>2050</v>
      </c>
      <c r="E57" s="103">
        <f>IF(D57="",Параметры!$B$11,MAX(1,D57-C57))</f>
        <v/>
      </c>
      <c r="F57" s="103">
        <f>MAX(0,YEAR(Параметры!$B$2)-C57)</f>
        <v/>
      </c>
      <c r="G57" s="104">
        <f>MIN(100,F57/E57*100)</f>
        <v/>
      </c>
      <c r="H57" s="104">
        <f>100-G57</f>
        <v/>
      </c>
      <c r="I57" s="103">
        <f>AVERAGE(Комплектация!BJ59,Комплектация!BP59,Комплектация!BV59,Комплектация!CB59,Комплектация!CH59,Комплектация!CN59)</f>
        <v/>
      </c>
      <c r="J57" s="103">
        <f>MAX(0,YEAR(Параметры!$B$2)-I57)</f>
        <v/>
      </c>
      <c r="K57" s="104">
        <f>MIN(100,J57/Параметры!$B$12*100)</f>
        <v/>
      </c>
      <c r="L57" s="104">
        <f>100-K57</f>
        <v/>
      </c>
      <c r="M57" s="103">
        <f>MIN(Комплектация!AA59,Комплектация!AB59,Комплектация!AK59,Комплектация!AL59,Комплектация!AU59,Комплектация!AV59,Комплектация!BE59,Комплектация!BF59)</f>
        <v/>
      </c>
      <c r="N57" s="104">
        <f>AVERAGE((100-MAX(0,MIN(100,(Параметры!$B$13-MIN(Комплектация!AA59,Комплектация!AB59))/(Параметры!$B$13-Параметры!$B$14)*100))),(100-MAX(0,MIN(100,(Параметры!$B$13-MIN(Комплектация!AK59,Комплектация!AL59))/(Параметры!$B$13-Параметры!$B$14)*100))),(100-MAX(0,MIN(100,(Параметры!$B$13-MIN(Комплектация!AU59,Комплектация!AV59))/(Параметры!$B$13-Параметры!$B$14)*100))),(100-MAX(0,MIN(100,(Параметры!$B$13-MIN(Комплектация!BE59,Комплектация!BF59))/(Параметры!$B$13-Параметры!$B$14)*100))))</f>
        <v/>
      </c>
      <c r="O57" s="104">
        <f>AVERAGE(H57,L57)</f>
        <v/>
      </c>
      <c r="P57" s="105">
        <f>Параметры!$B$3*(Параметры!$B$5*H57+Параметры!$B$6*L57+Параметры!$B$7*N57+Параметры!$B$8*O57)/100</f>
        <v/>
      </c>
      <c r="Q57" s="106" t="n">
        <v>45944</v>
      </c>
      <c r="R57" s="106" t="n">
        <v>46674</v>
      </c>
      <c r="S57" s="104">
        <f>IF(OR(Q57="",R57="",R57=Q57),"",MAX(0,MIN(100,(Параметры!$B$2-Q57)/(R57-Q57)*100)))</f>
        <v/>
      </c>
      <c r="T57" s="103">
        <f>IF(ISNUMBER(Комплектация!P59),Комплектация!P59,"")</f>
        <v/>
      </c>
      <c r="U57" s="103">
        <f>IF(ISNUMBER(Комплектация!N59),Комплектация!N59,"")</f>
        <v/>
      </c>
      <c r="V57" s="104">
        <f>IF(OR(U57="",T57="",U57=0),"",MAX(0,MIN(100,(U57-T57)/U57*100)))</f>
        <v/>
      </c>
      <c r="W57" s="104">
        <f>MAX(IF(S57="",0,S57),IF(V57="",0,V57))</f>
        <v/>
      </c>
      <c r="X57" s="105">
        <f>Параметры!$B$18*W57/100</f>
        <v/>
      </c>
      <c r="Y57" s="103">
        <f>IF(MIN(Комплектация!AA59,Комплектация!AB59)-Параметры!$B$15&lt;Параметры!$B$16,1,0)+IF(MIN(Комплектация!AK59,Комплектация!AL59)-Параметры!$B$15&lt;Параметры!$B$16,1,0)+IF(MIN(Комплектация!AU59,Комплектация!AV59)-Параметры!$B$15&lt;Параметры!$B$16,1,0)+IF(MIN(Комплектация!BE59,Комплектация!BF59)-Параметры!$B$15&lt;Параметры!$B$16,1,0)</f>
        <v/>
      </c>
      <c r="Z57" s="105">
        <f>Y57*Параметры!$B$19</f>
        <v/>
      </c>
      <c r="AA57" s="107">
        <f>MAX(0,P57-X57-Z57)</f>
        <v/>
      </c>
      <c r="AB57" s="108">
        <f>SUMIFS(Прайс!$D$3:$D$11,Прайс!$A$3:$A$11,B57,Прайс!$B$3:$B$11,C57)</f>
        <v/>
      </c>
      <c r="AC57" s="105">
        <f>IF(AB57="","",AB57-AA57)</f>
        <v/>
      </c>
      <c r="AD57" s="109" t="n">
        <v>3479776.541095891</v>
      </c>
    </row>
    <row r="58">
      <c r="A58" s="101">
        <f>Комплектация!A60</f>
        <v/>
      </c>
      <c r="B58" s="101">
        <f>Комплектация!C60</f>
        <v/>
      </c>
      <c r="C58" s="102">
        <f>Комплектация!E60</f>
        <v/>
      </c>
      <c r="D58" s="103" t="n">
        <v>2050</v>
      </c>
      <c r="E58" s="103">
        <f>IF(D58="",Параметры!$B$11,MAX(1,D58-C58))</f>
        <v/>
      </c>
      <c r="F58" s="103">
        <f>MAX(0,YEAR(Параметры!$B$2)-C58)</f>
        <v/>
      </c>
      <c r="G58" s="104">
        <f>MIN(100,F58/E58*100)</f>
        <v/>
      </c>
      <c r="H58" s="104">
        <f>100-G58</f>
        <v/>
      </c>
      <c r="I58" s="103">
        <f>AVERAGE(Комплектация!BJ60,Комплектация!BP60,Комплектация!BV60,Комплектация!CB60,Комплектация!CH60,Комплектация!CN60)</f>
        <v/>
      </c>
      <c r="J58" s="103">
        <f>MAX(0,YEAR(Параметры!$B$2)-I58)</f>
        <v/>
      </c>
      <c r="K58" s="104">
        <f>MIN(100,J58/Параметры!$B$12*100)</f>
        <v/>
      </c>
      <c r="L58" s="104">
        <f>100-K58</f>
        <v/>
      </c>
      <c r="M58" s="103">
        <f>MIN(Комплектация!AA60,Комплектация!AB60,Комплектация!AK60,Комплектация!AL60,Комплектация!AU60,Комплектация!AV60,Комплектация!BE60,Комплектация!BF60)</f>
        <v/>
      </c>
      <c r="N58" s="104">
        <f>AVERAGE((100-MAX(0,MIN(100,(Параметры!$B$13-MIN(Комплектация!AA60,Комплектация!AB60))/(Параметры!$B$13-Параметры!$B$14)*100))),(100-MAX(0,MIN(100,(Параметры!$B$13-MIN(Комплектация!AK60,Комплектация!AL60))/(Параметры!$B$13-Параметры!$B$14)*100))),(100-MAX(0,MIN(100,(Параметры!$B$13-MIN(Комплектация!AU60,Комплектация!AV60))/(Параметры!$B$13-Параметры!$B$14)*100))),(100-MAX(0,MIN(100,(Параметры!$B$13-MIN(Комплектация!BE60,Комплектация!BF60))/(Параметры!$B$13-Параметры!$B$14)*100))))</f>
        <v/>
      </c>
      <c r="O58" s="104">
        <f>AVERAGE(H58,L58)</f>
        <v/>
      </c>
      <c r="P58" s="105">
        <f>Параметры!$B$3*(Параметры!$B$5*H58+Параметры!$B$6*L58+Параметры!$B$7*N58+Параметры!$B$8*O58)/100</f>
        <v/>
      </c>
      <c r="Q58" s="106" t="n">
        <v>45944</v>
      </c>
      <c r="R58" s="106" t="n">
        <v>46674</v>
      </c>
      <c r="S58" s="104">
        <f>IF(OR(Q58="",R58="",R58=Q58),"",MAX(0,MIN(100,(Параметры!$B$2-Q58)/(R58-Q58)*100)))</f>
        <v/>
      </c>
      <c r="T58" s="103">
        <f>IF(ISNUMBER(Комплектация!P60),Комплектация!P60,"")</f>
        <v/>
      </c>
      <c r="U58" s="103">
        <f>IF(ISNUMBER(Комплектация!N60),Комплектация!N60,"")</f>
        <v/>
      </c>
      <c r="V58" s="104">
        <f>IF(OR(U58="",T58="",U58=0),"",MAX(0,MIN(100,(U58-T58)/U58*100)))</f>
        <v/>
      </c>
      <c r="W58" s="104">
        <f>MAX(IF(S58="",0,S58),IF(V58="",0,V58))</f>
        <v/>
      </c>
      <c r="X58" s="105">
        <f>Параметры!$B$18*W58/100</f>
        <v/>
      </c>
      <c r="Y58" s="103">
        <f>IF(MIN(Комплектация!AA60,Комплектация!AB60)-Параметры!$B$15&lt;Параметры!$B$16,1,0)+IF(MIN(Комплектация!AK60,Комплектация!AL60)-Параметры!$B$15&lt;Параметры!$B$16,1,0)+IF(MIN(Комплектация!AU60,Комплектация!AV60)-Параметры!$B$15&lt;Параметры!$B$16,1,0)+IF(MIN(Комплектация!BE60,Комплектация!BF60)-Параметры!$B$15&lt;Параметры!$B$16,1,0)</f>
        <v/>
      </c>
      <c r="Z58" s="105">
        <f>Y58*Параметры!$B$19</f>
        <v/>
      </c>
      <c r="AA58" s="107">
        <f>MAX(0,P58-X58-Z58)</f>
        <v/>
      </c>
      <c r="AB58" s="108">
        <f>SUMIFS(Прайс!$D$3:$D$11,Прайс!$A$3:$A$11,B58,Прайс!$B$3:$B$11,C58)</f>
        <v/>
      </c>
      <c r="AC58" s="105">
        <f>IF(AB58="","",AB58-AA58)</f>
        <v/>
      </c>
      <c r="AD58" s="109" t="n">
        <v>3886651.541095891</v>
      </c>
    </row>
    <row r="59">
      <c r="A59" s="101">
        <f>Комплектация!A61</f>
        <v/>
      </c>
      <c r="B59" s="101">
        <f>Комплектация!C61</f>
        <v/>
      </c>
      <c r="C59" s="102">
        <f>Комплектация!E61</f>
        <v/>
      </c>
      <c r="D59" s="103" t="n">
        <v>2050</v>
      </c>
      <c r="E59" s="103">
        <f>IF(D59="",Параметры!$B$11,MAX(1,D59-C59))</f>
        <v/>
      </c>
      <c r="F59" s="103">
        <f>MAX(0,YEAR(Параметры!$B$2)-C59)</f>
        <v/>
      </c>
      <c r="G59" s="104">
        <f>MIN(100,F59/E59*100)</f>
        <v/>
      </c>
      <c r="H59" s="104">
        <f>100-G59</f>
        <v/>
      </c>
      <c r="I59" s="103">
        <f>AVERAGE(Комплектация!BJ61,Комплектация!BP61,Комплектация!BV61,Комплектация!CB61,Комплектация!CH61,Комплектация!CN61)</f>
        <v/>
      </c>
      <c r="J59" s="103">
        <f>MAX(0,YEAR(Параметры!$B$2)-I59)</f>
        <v/>
      </c>
      <c r="K59" s="104">
        <f>MIN(100,J59/Параметры!$B$12*100)</f>
        <v/>
      </c>
      <c r="L59" s="104">
        <f>100-K59</f>
        <v/>
      </c>
      <c r="M59" s="103">
        <f>MIN(Комплектация!AA61,Комплектация!AB61,Комплектация!AK61,Комплектация!AL61,Комплектация!AU61,Комплектация!AV61,Комплектация!BE61,Комплектация!BF61)</f>
        <v/>
      </c>
      <c r="N59" s="104">
        <f>AVERAGE((100-MAX(0,MIN(100,(Параметры!$B$13-MIN(Комплектация!AA61,Комплектация!AB61))/(Параметры!$B$13-Параметры!$B$14)*100))),(100-MAX(0,MIN(100,(Параметры!$B$13-MIN(Комплектация!AK61,Комплектация!AL61))/(Параметры!$B$13-Параметры!$B$14)*100))),(100-MAX(0,MIN(100,(Параметры!$B$13-MIN(Комплектация!AU61,Комплектация!AV61))/(Параметры!$B$13-Параметры!$B$14)*100))),(100-MAX(0,MIN(100,(Параметры!$B$13-MIN(Комплектация!BE61,Комплектация!BF61))/(Параметры!$B$13-Параметры!$B$14)*100))))</f>
        <v/>
      </c>
      <c r="O59" s="104">
        <f>AVERAGE(H59,L59)</f>
        <v/>
      </c>
      <c r="P59" s="105">
        <f>Параметры!$B$3*(Параметры!$B$5*H59+Параметры!$B$6*L59+Параметры!$B$7*N59+Параметры!$B$8*O59)/100</f>
        <v/>
      </c>
      <c r="Q59" s="106" t="n">
        <v>46007</v>
      </c>
      <c r="R59" s="106" t="n">
        <v>46737</v>
      </c>
      <c r="S59" s="104">
        <f>IF(OR(Q59="",R59="",R59=Q59),"",MAX(0,MIN(100,(Параметры!$B$2-Q59)/(R59-Q59)*100)))</f>
        <v/>
      </c>
      <c r="T59" s="103">
        <f>IF(ISNUMBER(Комплектация!P61),Комплектация!P61,"")</f>
        <v/>
      </c>
      <c r="U59" s="103">
        <f>IF(ISNUMBER(Комплектация!N61),Комплектация!N61,"")</f>
        <v/>
      </c>
      <c r="V59" s="104">
        <f>IF(OR(U59="",T59="",U59=0),"",MAX(0,MIN(100,(U59-T59)/U59*100)))</f>
        <v/>
      </c>
      <c r="W59" s="104">
        <f>MAX(IF(S59="",0,S59),IF(V59="",0,V59))</f>
        <v/>
      </c>
      <c r="X59" s="105">
        <f>Параметры!$B$18*W59/100</f>
        <v/>
      </c>
      <c r="Y59" s="103">
        <f>IF(MIN(Комплектация!AA61,Комплектация!AB61)-Параметры!$B$15&lt;Параметры!$B$16,1,0)+IF(MIN(Комплектация!AK61,Комплектация!AL61)-Параметры!$B$15&lt;Параметры!$B$16,1,0)+IF(MIN(Комплектация!AU61,Комплектация!AV61)-Параметры!$B$15&lt;Параметры!$B$16,1,0)+IF(MIN(Комплектация!BE61,Комплектация!BF61)-Параметры!$B$15&lt;Параметры!$B$16,1,0)</f>
        <v/>
      </c>
      <c r="Z59" s="105">
        <f>Y59*Параметры!$B$19</f>
        <v/>
      </c>
      <c r="AA59" s="107">
        <f>MAX(0,P59-X59-Z59)</f>
        <v/>
      </c>
      <c r="AB59" s="108">
        <f>SUMIFS(Прайс!$D$3:$D$11,Прайс!$A$3:$A$11,B59,Прайс!$B$3:$B$11,C59)</f>
        <v/>
      </c>
      <c r="AC59" s="105">
        <f>IF(AB59="","",AB59-AA59)</f>
        <v/>
      </c>
      <c r="AD59" s="109" t="n">
        <v>3095594.178082192</v>
      </c>
    </row>
    <row r="60">
      <c r="A60" s="101">
        <f>Комплектация!A62</f>
        <v/>
      </c>
      <c r="B60" s="101">
        <f>Комплектация!C62</f>
        <v/>
      </c>
      <c r="C60" s="102">
        <f>Комплектация!E62</f>
        <v/>
      </c>
      <c r="D60" s="103" t="n">
        <v>2050</v>
      </c>
      <c r="E60" s="103">
        <f>IF(D60="",Параметры!$B$11,MAX(1,D60-C60))</f>
        <v/>
      </c>
      <c r="F60" s="103">
        <f>MAX(0,YEAR(Параметры!$B$2)-C60)</f>
        <v/>
      </c>
      <c r="G60" s="104">
        <f>MIN(100,F60/E60*100)</f>
        <v/>
      </c>
      <c r="H60" s="104">
        <f>100-G60</f>
        <v/>
      </c>
      <c r="I60" s="103">
        <f>AVERAGE(Комплектация!BJ62,Комплектация!BP62,Комплектация!BV62,Комплектация!CB62,Комплектация!CH62,Комплектация!CN62)</f>
        <v/>
      </c>
      <c r="J60" s="103">
        <f>MAX(0,YEAR(Параметры!$B$2)-I60)</f>
        <v/>
      </c>
      <c r="K60" s="104">
        <f>MIN(100,J60/Параметры!$B$12*100)</f>
        <v/>
      </c>
      <c r="L60" s="104">
        <f>100-K60</f>
        <v/>
      </c>
      <c r="M60" s="103">
        <f>MIN(Комплектация!AA62,Комплектация!AB62,Комплектация!AK62,Комплектация!AL62,Комплектация!AU62,Комплектация!AV62,Комплектация!BE62,Комплектация!BF62)</f>
        <v/>
      </c>
      <c r="N60" s="104">
        <f>AVERAGE((100-MAX(0,MIN(100,(Параметры!$B$13-MIN(Комплектация!AA62,Комплектация!AB62))/(Параметры!$B$13-Параметры!$B$14)*100))),(100-MAX(0,MIN(100,(Параметры!$B$13-MIN(Комплектация!AK62,Комплектация!AL62))/(Параметры!$B$13-Параметры!$B$14)*100))),(100-MAX(0,MIN(100,(Параметры!$B$13-MIN(Комплектация!AU62,Комплектация!AV62))/(Параметры!$B$13-Параметры!$B$14)*100))),(100-MAX(0,MIN(100,(Параметры!$B$13-MIN(Комплектация!BE62,Комплектация!BF62))/(Параметры!$B$13-Параметры!$B$14)*100))))</f>
        <v/>
      </c>
      <c r="O60" s="104">
        <f>AVERAGE(H60,L60)</f>
        <v/>
      </c>
      <c r="P60" s="105">
        <f>Параметры!$B$3*(Параметры!$B$5*H60+Параметры!$B$6*L60+Параметры!$B$7*N60+Параметры!$B$8*O60)/100</f>
        <v/>
      </c>
      <c r="Q60" s="106" t="n">
        <v>45988</v>
      </c>
      <c r="R60" s="106" t="n">
        <v>46718</v>
      </c>
      <c r="S60" s="104">
        <f>IF(OR(Q60="",R60="",R60=Q60),"",MAX(0,MIN(100,(Параметры!$B$2-Q60)/(R60-Q60)*100)))</f>
        <v/>
      </c>
      <c r="T60" s="103">
        <f>IF(ISNUMBER(Комплектация!P62),Комплектация!P62,"")</f>
        <v/>
      </c>
      <c r="U60" s="103">
        <f>IF(ISNUMBER(Комплектация!N62),Комплектация!N62,"")</f>
        <v/>
      </c>
      <c r="V60" s="104">
        <f>IF(OR(U60="",T60="",U60=0),"",MAX(0,MIN(100,(U60-T60)/U60*100)))</f>
        <v/>
      </c>
      <c r="W60" s="104">
        <f>MAX(IF(S60="",0,S60),IF(V60="",0,V60))</f>
        <v/>
      </c>
      <c r="X60" s="105">
        <f>Параметры!$B$18*W60/100</f>
        <v/>
      </c>
      <c r="Y60" s="103">
        <f>IF(MIN(Комплектация!AA62,Комплектация!AB62)-Параметры!$B$15&lt;Параметры!$B$16,1,0)+IF(MIN(Комплектация!AK62,Комплектация!AL62)-Параметры!$B$15&lt;Параметры!$B$16,1,0)+IF(MIN(Комплектация!AU62,Комплектация!AV62)-Параметры!$B$15&lt;Параметры!$B$16,1,0)+IF(MIN(Комплектация!BE62,Комплектация!BF62)-Параметры!$B$15&lt;Параметры!$B$16,1,0)</f>
        <v/>
      </c>
      <c r="Z60" s="105">
        <f>Y60*Параметры!$B$19</f>
        <v/>
      </c>
      <c r="AA60" s="107">
        <f>MAX(0,P60-X60-Z60)</f>
        <v/>
      </c>
      <c r="AB60" s="108">
        <f>SUMIFS(Прайс!$D$3:$D$11,Прайс!$A$3:$A$11,B60,Прайс!$B$3:$B$11,C60)</f>
        <v/>
      </c>
      <c r="AC60" s="105">
        <f>IF(AB60="","",AB60-AA60)</f>
        <v/>
      </c>
      <c r="AD60" s="109" t="n">
        <v>3914678.938356164</v>
      </c>
    </row>
    <row r="61">
      <c r="A61" s="101">
        <f>Комплектация!A63</f>
        <v/>
      </c>
      <c r="B61" s="101">
        <f>Комплектация!C63</f>
        <v/>
      </c>
      <c r="C61" s="102">
        <f>Комплектация!E63</f>
        <v/>
      </c>
      <c r="D61" s="103" t="n">
        <v>2050</v>
      </c>
      <c r="E61" s="103">
        <f>IF(D61="",Параметры!$B$11,MAX(1,D61-C61))</f>
        <v/>
      </c>
      <c r="F61" s="103">
        <f>MAX(0,YEAR(Параметры!$B$2)-C61)</f>
        <v/>
      </c>
      <c r="G61" s="104">
        <f>MIN(100,F61/E61*100)</f>
        <v/>
      </c>
      <c r="H61" s="104">
        <f>100-G61</f>
        <v/>
      </c>
      <c r="I61" s="103">
        <f>AVERAGE(Комплектация!BJ63,Комплектация!BP63,Комплектация!BV63,Комплектация!CB63,Комплектация!CH63,Комплектация!CN63)</f>
        <v/>
      </c>
      <c r="J61" s="103">
        <f>MAX(0,YEAR(Параметры!$B$2)-I61)</f>
        <v/>
      </c>
      <c r="K61" s="104">
        <f>MIN(100,J61/Параметры!$B$12*100)</f>
        <v/>
      </c>
      <c r="L61" s="104">
        <f>100-K61</f>
        <v/>
      </c>
      <c r="M61" s="103">
        <f>MIN(Комплектация!AA63,Комплектация!AB63,Комплектация!AK63,Комплектация!AL63,Комплектация!AU63,Комплектация!AV63,Комплектация!BE63,Комплектация!BF63)</f>
        <v/>
      </c>
      <c r="N61" s="104">
        <f>AVERAGE((100-MAX(0,MIN(100,(Параметры!$B$13-MIN(Комплектация!AA63,Комплектация!AB63))/(Параметры!$B$13-Параметры!$B$14)*100))),(100-MAX(0,MIN(100,(Параметры!$B$13-MIN(Комплектация!AK63,Комплектация!AL63))/(Параметры!$B$13-Параметры!$B$14)*100))),(100-MAX(0,MIN(100,(Параметры!$B$13-MIN(Комплектация!AU63,Комплектация!AV63))/(Параметры!$B$13-Параметры!$B$14)*100))),(100-MAX(0,MIN(100,(Параметры!$B$13-MIN(Комплектация!BE63,Комплектация!BF63))/(Параметры!$B$13-Параметры!$B$14)*100))))</f>
        <v/>
      </c>
      <c r="O61" s="104">
        <f>AVERAGE(H61,L61)</f>
        <v/>
      </c>
      <c r="P61" s="105">
        <f>Параметры!$B$3*(Параметры!$B$5*H61+Параметры!$B$6*L61+Параметры!$B$7*N61+Параметры!$B$8*O61)/100</f>
        <v/>
      </c>
      <c r="Q61" s="106" t="n">
        <v>45923</v>
      </c>
      <c r="R61" s="106" t="n">
        <v>46653</v>
      </c>
      <c r="S61" s="104">
        <f>IF(OR(Q61="",R61="",R61=Q61),"",MAX(0,MIN(100,(Параметры!$B$2-Q61)/(R61-Q61)*100)))</f>
        <v/>
      </c>
      <c r="T61" s="103">
        <f>IF(ISNUMBER(Комплектация!P63),Комплектация!P63,"")</f>
        <v/>
      </c>
      <c r="U61" s="103">
        <f>IF(ISNUMBER(Комплектация!N63),Комплектация!N63,"")</f>
        <v/>
      </c>
      <c r="V61" s="104">
        <f>IF(OR(U61="",T61="",U61=0),"",MAX(0,MIN(100,(U61-T61)/U61*100)))</f>
        <v/>
      </c>
      <c r="W61" s="104">
        <f>MAX(IF(S61="",0,S61),IF(V61="",0,V61))</f>
        <v/>
      </c>
      <c r="X61" s="105">
        <f>Параметры!$B$18*W61/100</f>
        <v/>
      </c>
      <c r="Y61" s="103">
        <f>IF(MIN(Комплектация!AA63,Комплектация!AB63)-Параметры!$B$15&lt;Параметры!$B$16,1,0)+IF(MIN(Комплектация!AK63,Комплектация!AL63)-Параметры!$B$15&lt;Параметры!$B$16,1,0)+IF(MIN(Комплектация!AU63,Комплектация!AV63)-Параметры!$B$15&lt;Параметры!$B$16,1,0)+IF(MIN(Комплектация!BE63,Комплектация!BF63)-Параметры!$B$15&lt;Параметры!$B$16,1,0)</f>
        <v/>
      </c>
      <c r="Z61" s="105">
        <f>Y61*Параметры!$B$19</f>
        <v/>
      </c>
      <c r="AA61" s="107">
        <f>MAX(0,P61-X61-Z61)</f>
        <v/>
      </c>
      <c r="AB61" s="108">
        <f>SUMIFS(Прайс!$D$3:$D$11,Прайс!$A$3:$A$11,B61,Прайс!$B$3:$B$11,C61)</f>
        <v/>
      </c>
      <c r="AC61" s="105">
        <f>IF(AB61="","",AB61-AA61)</f>
        <v/>
      </c>
      <c r="AD61" s="109" t="n">
        <v>3873274.828767124</v>
      </c>
    </row>
    <row r="62">
      <c r="A62" s="101">
        <f>Комплектация!A64</f>
        <v/>
      </c>
      <c r="B62" s="101">
        <f>Комплектация!C64</f>
        <v/>
      </c>
      <c r="C62" s="102">
        <f>Комплектация!E64</f>
        <v/>
      </c>
      <c r="D62" s="103" t="n">
        <v>2050</v>
      </c>
      <c r="E62" s="103">
        <f>IF(D62="",Параметры!$B$11,MAX(1,D62-C62))</f>
        <v/>
      </c>
      <c r="F62" s="103">
        <f>MAX(0,YEAR(Параметры!$B$2)-C62)</f>
        <v/>
      </c>
      <c r="G62" s="104">
        <f>MIN(100,F62/E62*100)</f>
        <v/>
      </c>
      <c r="H62" s="104">
        <f>100-G62</f>
        <v/>
      </c>
      <c r="I62" s="103">
        <f>AVERAGE(Комплектация!BJ64,Комплектация!BP64,Комплектация!BV64,Комплектация!CB64,Комплектация!CH64,Комплектация!CN64)</f>
        <v/>
      </c>
      <c r="J62" s="103">
        <f>MAX(0,YEAR(Параметры!$B$2)-I62)</f>
        <v/>
      </c>
      <c r="K62" s="104">
        <f>MIN(100,J62/Параметры!$B$12*100)</f>
        <v/>
      </c>
      <c r="L62" s="104">
        <f>100-K62</f>
        <v/>
      </c>
      <c r="M62" s="103">
        <f>MIN(Комплектация!AA64,Комплектация!AB64,Комплектация!AK64,Комплектация!AL64,Комплектация!AU64,Комплектация!AV64,Комплектация!BE64,Комплектация!BF64)</f>
        <v/>
      </c>
      <c r="N62" s="104">
        <f>AVERAGE((100-MAX(0,MIN(100,(Параметры!$B$13-MIN(Комплектация!AA64,Комплектация!AB64))/(Параметры!$B$13-Параметры!$B$14)*100))),(100-MAX(0,MIN(100,(Параметры!$B$13-MIN(Комплектация!AK64,Комплектация!AL64))/(Параметры!$B$13-Параметры!$B$14)*100))),(100-MAX(0,MIN(100,(Параметры!$B$13-MIN(Комплектация!AU64,Комплектация!AV64))/(Параметры!$B$13-Параметры!$B$14)*100))),(100-MAX(0,MIN(100,(Параметры!$B$13-MIN(Комплектация!BE64,Комплектация!BF64))/(Параметры!$B$13-Параметры!$B$14)*100))))</f>
        <v/>
      </c>
      <c r="O62" s="104">
        <f>AVERAGE(H62,L62)</f>
        <v/>
      </c>
      <c r="P62" s="105">
        <f>Параметры!$B$3*(Параметры!$B$5*H62+Параметры!$B$6*L62+Параметры!$B$7*N62+Параметры!$B$8*O62)/100</f>
        <v/>
      </c>
      <c r="Q62" s="106" t="n">
        <v>45989</v>
      </c>
      <c r="R62" s="106" t="n">
        <v>46719</v>
      </c>
      <c r="S62" s="104">
        <f>IF(OR(Q62="",R62="",R62=Q62),"",MAX(0,MIN(100,(Параметры!$B$2-Q62)/(R62-Q62)*100)))</f>
        <v/>
      </c>
      <c r="T62" s="103">
        <f>IF(ISNUMBER(Комплектация!P64),Комплектация!P64,"")</f>
        <v/>
      </c>
      <c r="U62" s="103">
        <f>IF(ISNUMBER(Комплектация!N64),Комплектация!N64,"")</f>
        <v/>
      </c>
      <c r="V62" s="104">
        <f>IF(OR(U62="",T62="",U62=0),"",MAX(0,MIN(100,(U62-T62)/U62*100)))</f>
        <v/>
      </c>
      <c r="W62" s="104">
        <f>MAX(IF(S62="",0,S62),IF(V62="",0,V62))</f>
        <v/>
      </c>
      <c r="X62" s="105">
        <f>Параметры!$B$18*W62/100</f>
        <v/>
      </c>
      <c r="Y62" s="103">
        <f>IF(MIN(Комплектация!AA64,Комплектация!AB64)-Параметры!$B$15&lt;Параметры!$B$16,1,0)+IF(MIN(Комплектация!AK64,Комплектация!AL64)-Параметры!$B$15&lt;Параметры!$B$16,1,0)+IF(MIN(Комплектация!AU64,Комплектация!AV64)-Параметры!$B$15&lt;Параметры!$B$16,1,0)+IF(MIN(Комплектация!BE64,Комплектация!BF64)-Параметры!$B$15&lt;Параметры!$B$16,1,0)</f>
        <v/>
      </c>
      <c r="Z62" s="105">
        <f>Y62*Параметры!$B$19</f>
        <v/>
      </c>
      <c r="AA62" s="107">
        <f>MAX(0,P62-X62-Z62)</f>
        <v/>
      </c>
      <c r="AB62" s="108">
        <f>SUMIFS(Прайс!$D$3:$D$11,Прайс!$A$3:$A$11,B62,Прайс!$B$3:$B$11,C62)</f>
        <v/>
      </c>
      <c r="AC62" s="105">
        <f>IF(AB62="","",AB62-AA62)</f>
        <v/>
      </c>
      <c r="AD62" s="109" t="n">
        <v>3915315.924657534</v>
      </c>
    </row>
    <row r="63">
      <c r="A63" s="101">
        <f>Комплектация!A65</f>
        <v/>
      </c>
      <c r="B63" s="101">
        <f>Комплектация!C65</f>
        <v/>
      </c>
      <c r="C63" s="102">
        <f>Комплектация!E65</f>
        <v/>
      </c>
      <c r="D63" s="103" t="n">
        <v>2050</v>
      </c>
      <c r="E63" s="103">
        <f>IF(D63="",Параметры!$B$11,MAX(1,D63-C63))</f>
        <v/>
      </c>
      <c r="F63" s="103">
        <f>MAX(0,YEAR(Параметры!$B$2)-C63)</f>
        <v/>
      </c>
      <c r="G63" s="104">
        <f>MIN(100,F63/E63*100)</f>
        <v/>
      </c>
      <c r="H63" s="104">
        <f>100-G63</f>
        <v/>
      </c>
      <c r="I63" s="103">
        <f>AVERAGE(Комплектация!BJ65,Комплектация!BP65,Комплектация!BV65,Комплектация!CB65,Комплектация!CH65,Комплектация!CN65)</f>
        <v/>
      </c>
      <c r="J63" s="103">
        <f>MAX(0,YEAR(Параметры!$B$2)-I63)</f>
        <v/>
      </c>
      <c r="K63" s="104">
        <f>MIN(100,J63/Параметры!$B$12*100)</f>
        <v/>
      </c>
      <c r="L63" s="104">
        <f>100-K63</f>
        <v/>
      </c>
      <c r="M63" s="103">
        <f>MIN(Комплектация!AA65,Комплектация!AB65,Комплектация!AK65,Комплектация!AL65,Комплектация!AU65,Комплектация!AV65,Комплектация!BE65,Комплектация!BF65)</f>
        <v/>
      </c>
      <c r="N63" s="104">
        <f>AVERAGE((100-MAX(0,MIN(100,(Параметры!$B$13-MIN(Комплектация!AA65,Комплектация!AB65))/(Параметры!$B$13-Параметры!$B$14)*100))),(100-MAX(0,MIN(100,(Параметры!$B$13-MIN(Комплектация!AK65,Комплектация!AL65))/(Параметры!$B$13-Параметры!$B$14)*100))),(100-MAX(0,MIN(100,(Параметры!$B$13-MIN(Комплектация!AU65,Комплектация!AV65))/(Параметры!$B$13-Параметры!$B$14)*100))),(100-MAX(0,MIN(100,(Параметры!$B$13-MIN(Комплектация!BE65,Комплектация!BF65))/(Параметры!$B$13-Параметры!$B$14)*100))))</f>
        <v/>
      </c>
      <c r="O63" s="104">
        <f>AVERAGE(H63,L63)</f>
        <v/>
      </c>
      <c r="P63" s="105">
        <f>Параметры!$B$3*(Параметры!$B$5*H63+Параметры!$B$6*L63+Параметры!$B$7*N63+Параметры!$B$8*O63)/100</f>
        <v/>
      </c>
      <c r="Q63" s="106" t="n">
        <v>46037</v>
      </c>
      <c r="R63" s="106" t="n">
        <v>46767</v>
      </c>
      <c r="S63" s="104">
        <f>IF(OR(Q63="",R63="",R63=Q63),"",MAX(0,MIN(100,(Параметры!$B$2-Q63)/(R63-Q63)*100)))</f>
        <v/>
      </c>
      <c r="T63" s="103">
        <f>IF(ISNUMBER(Комплектация!P65),Комплектация!P65,"")</f>
        <v/>
      </c>
      <c r="U63" s="103">
        <f>IF(ISNUMBER(Комплектация!N65),Комплектация!N65,"")</f>
        <v/>
      </c>
      <c r="V63" s="104">
        <f>IF(OR(U63="",T63="",U63=0),"",MAX(0,MIN(100,(U63-T63)/U63*100)))</f>
        <v/>
      </c>
      <c r="W63" s="104">
        <f>MAX(IF(S63="",0,S63),IF(V63="",0,V63))</f>
        <v/>
      </c>
      <c r="X63" s="105">
        <f>Параметры!$B$18*W63/100</f>
        <v/>
      </c>
      <c r="Y63" s="103">
        <f>IF(MIN(Комплектация!AA65,Комплектация!AB65)-Параметры!$B$15&lt;Параметры!$B$16,1,0)+IF(MIN(Комплектация!AK65,Комплектация!AL65)-Параметры!$B$15&lt;Параметры!$B$16,1,0)+IF(MIN(Комплектация!AU65,Комплектация!AV65)-Параметры!$B$15&lt;Параметры!$B$16,1,0)+IF(MIN(Комплектация!BE65,Комплектация!BF65)-Параметры!$B$15&lt;Параметры!$B$16,1,0)</f>
        <v/>
      </c>
      <c r="Z63" s="105">
        <f>Y63*Параметры!$B$19</f>
        <v/>
      </c>
      <c r="AA63" s="107">
        <f>MAX(0,P63-X63-Z63)</f>
        <v/>
      </c>
      <c r="AB63" s="108">
        <f>SUMIFS(Прайс!$D$3:$D$11,Прайс!$A$3:$A$11,B63,Прайс!$B$3:$B$11,C63)</f>
        <v/>
      </c>
      <c r="AC63" s="105">
        <f>IF(AB63="","",AB63-AA63)</f>
        <v/>
      </c>
      <c r="AD63" s="109" t="n">
        <v>3945891.267123288</v>
      </c>
    </row>
    <row r="64">
      <c r="A64" s="101">
        <f>Комплектация!A66</f>
        <v/>
      </c>
      <c r="B64" s="101">
        <f>Комплектация!C66</f>
        <v/>
      </c>
      <c r="C64" s="102">
        <f>Комплектация!E66</f>
        <v/>
      </c>
      <c r="D64" s="103" t="n">
        <v>2043</v>
      </c>
      <c r="E64" s="103">
        <f>IF(D64="",Параметры!$B$11,MAX(1,D64-C64))</f>
        <v/>
      </c>
      <c r="F64" s="103">
        <f>MAX(0,YEAR(Параметры!$B$2)-C64)</f>
        <v/>
      </c>
      <c r="G64" s="104">
        <f>MIN(100,F64/E64*100)</f>
        <v/>
      </c>
      <c r="H64" s="104">
        <f>100-G64</f>
        <v/>
      </c>
      <c r="I64" s="103">
        <f>AVERAGE(Комплектация!BJ66,Комплектация!BP66,Комплектация!BV66,Комплектация!CB66,Комплектация!CH66,Комплектация!CN66)</f>
        <v/>
      </c>
      <c r="J64" s="103">
        <f>MAX(0,YEAR(Параметры!$B$2)-I64)</f>
        <v/>
      </c>
      <c r="K64" s="104">
        <f>MIN(100,J64/Параметры!$B$12*100)</f>
        <v/>
      </c>
      <c r="L64" s="104">
        <f>100-K64</f>
        <v/>
      </c>
      <c r="M64" s="103">
        <f>MIN(Комплектация!AA66,Комплектация!AB66,Комплектация!AK66,Комплектация!AL66,Комплектация!AU66,Комплектация!AV66,Комплектация!BE66,Комплектация!BF66)</f>
        <v/>
      </c>
      <c r="N64" s="104">
        <f>AVERAGE((100-MAX(0,MIN(100,(Параметры!$B$13-MIN(Комплектация!AA66,Комплектация!AB66))/(Параметры!$B$13-Параметры!$B$14)*100))),(100-MAX(0,MIN(100,(Параметры!$B$13-MIN(Комплектация!AK66,Комплектация!AL66))/(Параметры!$B$13-Параметры!$B$14)*100))),(100-MAX(0,MIN(100,(Параметры!$B$13-MIN(Комплектация!AU66,Комплектация!AV66))/(Параметры!$B$13-Параметры!$B$14)*100))),(100-MAX(0,MIN(100,(Параметры!$B$13-MIN(Комплектация!BE66,Комплектация!BF66))/(Параметры!$B$13-Параметры!$B$14)*100))))</f>
        <v/>
      </c>
      <c r="O64" s="104">
        <f>AVERAGE(H64,L64)</f>
        <v/>
      </c>
      <c r="P64" s="105">
        <f>Параметры!$B$3*(Параметры!$B$5*H64+Параметры!$B$6*L64+Параметры!$B$7*N64+Параметры!$B$8*O64)/100</f>
        <v/>
      </c>
      <c r="Q64" s="106" t="n">
        <v>45896</v>
      </c>
      <c r="R64" s="106" t="n">
        <v>46992</v>
      </c>
      <c r="S64" s="104">
        <f>IF(OR(Q64="",R64="",R64=Q64),"",MAX(0,MIN(100,(Параметры!$B$2-Q64)/(R64-Q64)*100)))</f>
        <v/>
      </c>
      <c r="T64" s="103">
        <f>IF(ISNUMBER(Комплектация!P66),Комплектация!P66,"")</f>
        <v/>
      </c>
      <c r="U64" s="103">
        <f>IF(ISNUMBER(Комплектация!N66),Комплектация!N66,"")</f>
        <v/>
      </c>
      <c r="V64" s="104">
        <f>IF(OR(U64="",T64="",U64=0),"",MAX(0,MIN(100,(U64-T64)/U64*100)))</f>
        <v/>
      </c>
      <c r="W64" s="104">
        <f>MAX(IF(S64="",0,S64),IF(V64="",0,V64))</f>
        <v/>
      </c>
      <c r="X64" s="105">
        <f>Параметры!$B$18*W64/100</f>
        <v/>
      </c>
      <c r="Y64" s="103">
        <f>IF(MIN(Комплектация!AA66,Комплектация!AB66)-Параметры!$B$15&lt;Параметры!$B$16,1,0)+IF(MIN(Комплектация!AK66,Комплектация!AL66)-Параметры!$B$15&lt;Параметры!$B$16,1,0)+IF(MIN(Комплектация!AU66,Комплектация!AV66)-Параметры!$B$15&lt;Параметры!$B$16,1,0)+IF(MIN(Комплектация!BE66,Комплектация!BF66)-Параметры!$B$15&lt;Параметры!$B$16,1,0)</f>
        <v/>
      </c>
      <c r="Z64" s="105">
        <f>Y64*Параметры!$B$19</f>
        <v/>
      </c>
      <c r="AA64" s="107">
        <f>MAX(0,P64-X64-Z64)</f>
        <v/>
      </c>
      <c r="AB64" s="108">
        <f>SUMIFS(Прайс!$D$3:$D$11,Прайс!$A$3:$A$11,B64,Прайс!$B$3:$B$11,C64)</f>
        <v/>
      </c>
      <c r="AC64" s="105">
        <f>IF(AB64="","",AB64-AA64)</f>
        <v/>
      </c>
      <c r="AD64" s="109" t="n">
        <v>3001944.114963504</v>
      </c>
    </row>
    <row r="65">
      <c r="A65" s="101">
        <f>Комплектация!A67</f>
        <v/>
      </c>
      <c r="B65" s="101">
        <f>Комплектация!C67</f>
        <v/>
      </c>
      <c r="C65" s="102">
        <f>Комплектация!E67</f>
        <v/>
      </c>
      <c r="D65" s="103" t="n">
        <v>2043</v>
      </c>
      <c r="E65" s="103">
        <f>IF(D65="",Параметры!$B$11,MAX(1,D65-C65))</f>
        <v/>
      </c>
      <c r="F65" s="103">
        <f>MAX(0,YEAR(Параметры!$B$2)-C65)</f>
        <v/>
      </c>
      <c r="G65" s="104">
        <f>MIN(100,F65/E65*100)</f>
        <v/>
      </c>
      <c r="H65" s="104">
        <f>100-G65</f>
        <v/>
      </c>
      <c r="I65" s="103">
        <f>AVERAGE(Комплектация!BJ67,Комплектация!BP67,Комплектация!BV67,Комплектация!CB67,Комплектация!CH67,Комплектация!CN67)</f>
        <v/>
      </c>
      <c r="J65" s="103">
        <f>MAX(0,YEAR(Параметры!$B$2)-I65)</f>
        <v/>
      </c>
      <c r="K65" s="104">
        <f>MIN(100,J65/Параметры!$B$12*100)</f>
        <v/>
      </c>
      <c r="L65" s="104">
        <f>100-K65</f>
        <v/>
      </c>
      <c r="M65" s="103">
        <f>MIN(Комплектация!AA67,Комплектация!AB67,Комплектация!AK67,Комплектация!AL67,Комплектация!AU67,Комплектация!AV67,Комплектация!BE67,Комплектация!BF67)</f>
        <v/>
      </c>
      <c r="N65" s="104">
        <f>AVERAGE((100-MAX(0,MIN(100,(Параметры!$B$13-MIN(Комплектация!AA67,Комплектация!AB67))/(Параметры!$B$13-Параметры!$B$14)*100))),(100-MAX(0,MIN(100,(Параметры!$B$13-MIN(Комплектация!AK67,Комплектация!AL67))/(Параметры!$B$13-Параметры!$B$14)*100))),(100-MAX(0,MIN(100,(Параметры!$B$13-MIN(Комплектация!AU67,Комплектация!AV67))/(Параметры!$B$13-Параметры!$B$14)*100))),(100-MAX(0,MIN(100,(Параметры!$B$13-MIN(Комплектация!BE67,Комплектация!BF67))/(Параметры!$B$13-Параметры!$B$14)*100))))</f>
        <v/>
      </c>
      <c r="O65" s="104">
        <f>AVERAGE(H65,L65)</f>
        <v/>
      </c>
      <c r="P65" s="105">
        <f>Параметры!$B$3*(Параметры!$B$5*H65+Параметры!$B$6*L65+Параметры!$B$7*N65+Параметры!$B$8*O65)/100</f>
        <v/>
      </c>
      <c r="Q65" s="106" t="n">
        <v>45889</v>
      </c>
      <c r="R65" s="106" t="n">
        <v>46619</v>
      </c>
      <c r="S65" s="104">
        <f>IF(OR(Q65="",R65="",R65=Q65),"",MAX(0,MIN(100,(Параметры!$B$2-Q65)/(R65-Q65)*100)))</f>
        <v/>
      </c>
      <c r="T65" s="103">
        <f>IF(ISNUMBER(Комплектация!P67),Комплектация!P67,"")</f>
        <v/>
      </c>
      <c r="U65" s="103">
        <f>IF(ISNUMBER(Комплектация!N67),Комплектация!N67,"")</f>
        <v/>
      </c>
      <c r="V65" s="104">
        <f>IF(OR(U65="",T65="",U65=0),"",MAX(0,MIN(100,(U65-T65)/U65*100)))</f>
        <v/>
      </c>
      <c r="W65" s="104">
        <f>MAX(IF(S65="",0,S65),IF(V65="",0,V65))</f>
        <v/>
      </c>
      <c r="X65" s="105">
        <f>Параметры!$B$18*W65/100</f>
        <v/>
      </c>
      <c r="Y65" s="103">
        <f>IF(MIN(Комплектация!AA67,Комплектация!AB67)-Параметры!$B$15&lt;Параметры!$B$16,1,0)+IF(MIN(Комплектация!AK67,Комплектация!AL67)-Параметры!$B$15&lt;Параметры!$B$16,1,0)+IF(MIN(Комплектация!AU67,Комплектация!AV67)-Параметры!$B$15&lt;Параметры!$B$16,1,0)+IF(MIN(Комплектация!BE67,Комплектация!BF67)-Параметры!$B$15&lt;Параметры!$B$16,1,0)</f>
        <v/>
      </c>
      <c r="Z65" s="105">
        <f>Y65*Параметры!$B$19</f>
        <v/>
      </c>
      <c r="AA65" s="107">
        <f>MAX(0,P65-X65-Z65)</f>
        <v/>
      </c>
      <c r="AB65" s="108">
        <f>SUMIFS(Прайс!$D$3:$D$11,Прайс!$A$3:$A$11,B65,Прайс!$B$3:$B$11,C65)</f>
        <v/>
      </c>
      <c r="AC65" s="105">
        <f>IF(AB65="","",AB65-AA65)</f>
        <v/>
      </c>
      <c r="AD65" s="109" t="n">
        <v>3168648.544520548</v>
      </c>
    </row>
    <row r="66">
      <c r="A66" s="101">
        <f>Комплектация!A68</f>
        <v/>
      </c>
      <c r="B66" s="101">
        <f>Комплектация!C68</f>
        <v/>
      </c>
      <c r="C66" s="102">
        <f>Комплектация!E68</f>
        <v/>
      </c>
      <c r="D66" s="103" t="n">
        <v>2043</v>
      </c>
      <c r="E66" s="103">
        <f>IF(D66="",Параметры!$B$11,MAX(1,D66-C66))</f>
        <v/>
      </c>
      <c r="F66" s="103">
        <f>MAX(0,YEAR(Параметры!$B$2)-C66)</f>
        <v/>
      </c>
      <c r="G66" s="104">
        <f>MIN(100,F66/E66*100)</f>
        <v/>
      </c>
      <c r="H66" s="104">
        <f>100-G66</f>
        <v/>
      </c>
      <c r="I66" s="103">
        <f>AVERAGE(Комплектация!BJ68,Комплектация!BP68,Комплектация!BV68,Комплектация!CB68,Комплектация!CH68,Комплектация!CN68)</f>
        <v/>
      </c>
      <c r="J66" s="103">
        <f>MAX(0,YEAR(Параметры!$B$2)-I66)</f>
        <v/>
      </c>
      <c r="K66" s="104">
        <f>MIN(100,J66/Параметры!$B$12*100)</f>
        <v/>
      </c>
      <c r="L66" s="104">
        <f>100-K66</f>
        <v/>
      </c>
      <c r="M66" s="103">
        <f>MIN(Комплектация!AA68,Комплектация!AB68,Комплектация!AK68,Комплектация!AL68,Комплектация!AU68,Комплектация!AV68,Комплектация!BE68,Комплектация!BF68)</f>
        <v/>
      </c>
      <c r="N66" s="104">
        <f>AVERAGE((100-MAX(0,MIN(100,(Параметры!$B$13-MIN(Комплектация!AA68,Комплектация!AB68))/(Параметры!$B$13-Параметры!$B$14)*100))),(100-MAX(0,MIN(100,(Параметры!$B$13-MIN(Комплектация!AK68,Комплектация!AL68))/(Параметры!$B$13-Параметры!$B$14)*100))),(100-MAX(0,MIN(100,(Параметры!$B$13-MIN(Комплектация!AU68,Комплектация!AV68))/(Параметры!$B$13-Параметры!$B$14)*100))),(100-MAX(0,MIN(100,(Параметры!$B$13-MIN(Комплектация!BE68,Комплектация!BF68))/(Параметры!$B$13-Параметры!$B$14)*100))))</f>
        <v/>
      </c>
      <c r="O66" s="104">
        <f>AVERAGE(H66,L66)</f>
        <v/>
      </c>
      <c r="P66" s="105">
        <f>Параметры!$B$3*(Параметры!$B$5*H66+Параметры!$B$6*L66+Параметры!$B$7*N66+Параметры!$B$8*O66)/100</f>
        <v/>
      </c>
      <c r="Q66" s="106" t="n">
        <v>45807</v>
      </c>
      <c r="R66" s="106" t="n">
        <v>46537</v>
      </c>
      <c r="S66" s="104">
        <f>IF(OR(Q66="",R66="",R66=Q66),"",MAX(0,MIN(100,(Параметры!$B$2-Q66)/(R66-Q66)*100)))</f>
        <v/>
      </c>
      <c r="T66" s="103">
        <f>IF(ISNUMBER(Комплектация!P68),Комплектация!P68,"")</f>
        <v/>
      </c>
      <c r="U66" s="103">
        <f>IF(ISNUMBER(Комплектация!N68),Комплектация!N68,"")</f>
        <v/>
      </c>
      <c r="V66" s="104">
        <f>IF(OR(U66="",T66="",U66=0),"",MAX(0,MIN(100,(U66-T66)/U66*100)))</f>
        <v/>
      </c>
      <c r="W66" s="104">
        <f>MAX(IF(S66="",0,S66),IF(V66="",0,V66))</f>
        <v/>
      </c>
      <c r="X66" s="105">
        <f>Параметры!$B$18*W66/100</f>
        <v/>
      </c>
      <c r="Y66" s="103">
        <f>IF(MIN(Комплектация!AA68,Комплектация!AB68)-Параметры!$B$15&lt;Параметры!$B$16,1,0)+IF(MIN(Комплектация!AK68,Комплектация!AL68)-Параметры!$B$15&lt;Параметры!$B$16,1,0)+IF(MIN(Комплектация!AU68,Комплектация!AV68)-Параметры!$B$15&lt;Параметры!$B$16,1,0)+IF(MIN(Комплектация!BE68,Комплектация!BF68)-Параметры!$B$15&lt;Параметры!$B$16,1,0)</f>
        <v/>
      </c>
      <c r="Z66" s="105">
        <f>Y66*Параметры!$B$19</f>
        <v/>
      </c>
      <c r="AA66" s="107">
        <f>MAX(0,P66-X66-Z66)</f>
        <v/>
      </c>
      <c r="AB66" s="108">
        <f>SUMIFS(Прайс!$D$3:$D$11,Прайс!$A$3:$A$11,B66,Прайс!$B$3:$B$11,C66)</f>
        <v/>
      </c>
      <c r="AC66" s="105">
        <f>IF(AB66="","",AB66-AA66)</f>
        <v/>
      </c>
      <c r="AD66" s="109" t="n">
        <v>3128040.667808219</v>
      </c>
    </row>
    <row r="67">
      <c r="A67" s="101">
        <f>Комплектация!A69</f>
        <v/>
      </c>
      <c r="B67" s="101">
        <f>Комплектация!C69</f>
        <v/>
      </c>
      <c r="C67" s="102">
        <f>Комплектация!E69</f>
        <v/>
      </c>
      <c r="D67" s="103" t="n">
        <v>2043</v>
      </c>
      <c r="E67" s="103">
        <f>IF(D67="",Параметры!$B$11,MAX(1,D67-C67))</f>
        <v/>
      </c>
      <c r="F67" s="103">
        <f>MAX(0,YEAR(Параметры!$B$2)-C67)</f>
        <v/>
      </c>
      <c r="G67" s="104">
        <f>MIN(100,F67/E67*100)</f>
        <v/>
      </c>
      <c r="H67" s="104">
        <f>100-G67</f>
        <v/>
      </c>
      <c r="I67" s="103">
        <f>AVERAGE(Комплектация!BJ69,Комплектация!BP69,Комплектация!BV69,Комплектация!CB69,Комплектация!CH69,Комплектация!CN69)</f>
        <v/>
      </c>
      <c r="J67" s="103">
        <f>MAX(0,YEAR(Параметры!$B$2)-I67)</f>
        <v/>
      </c>
      <c r="K67" s="104">
        <f>MIN(100,J67/Параметры!$B$12*100)</f>
        <v/>
      </c>
      <c r="L67" s="104">
        <f>100-K67</f>
        <v/>
      </c>
      <c r="M67" s="103">
        <f>MIN(Комплектация!AA69,Комплектация!AB69,Комплектация!AK69,Комплектация!AL69,Комплектация!AU69,Комплектация!AV69,Комплектация!BE69,Комплектация!BF69)</f>
        <v/>
      </c>
      <c r="N67" s="104">
        <f>AVERAGE((100-MAX(0,MIN(100,(Параметры!$B$13-MIN(Комплектация!AA69,Комплектация!AB69))/(Параметры!$B$13-Параметры!$B$14)*100))),(100-MAX(0,MIN(100,(Параметры!$B$13-MIN(Комплектация!AK69,Комплектация!AL69))/(Параметры!$B$13-Параметры!$B$14)*100))),(100-MAX(0,MIN(100,(Параметры!$B$13-MIN(Комплектация!AU69,Комплектация!AV69))/(Параметры!$B$13-Параметры!$B$14)*100))),(100-MAX(0,MIN(100,(Параметры!$B$13-MIN(Комплектация!BE69,Комплектация!BF69))/(Параметры!$B$13-Параметры!$B$14)*100))))</f>
        <v/>
      </c>
      <c r="O67" s="104">
        <f>AVERAGE(H67,L67)</f>
        <v/>
      </c>
      <c r="P67" s="105">
        <f>Параметры!$B$3*(Параметры!$B$5*H67+Параметры!$B$6*L67+Параметры!$B$7*N67+Параметры!$B$8*O67)/100</f>
        <v/>
      </c>
      <c r="Q67" s="106" t="n">
        <v>46066</v>
      </c>
      <c r="R67" s="106" t="n">
        <v>46796</v>
      </c>
      <c r="S67" s="104">
        <f>IF(OR(Q67="",R67="",R67=Q67),"",MAX(0,MIN(100,(Параметры!$B$2-Q67)/(R67-Q67)*100)))</f>
        <v/>
      </c>
      <c r="T67" s="103">
        <f>IF(ISNUMBER(Комплектация!P69),Комплектация!P69,"")</f>
        <v/>
      </c>
      <c r="U67" s="103">
        <f>IF(ISNUMBER(Комплектация!N69),Комплектация!N69,"")</f>
        <v/>
      </c>
      <c r="V67" s="104">
        <f>IF(OR(U67="",T67="",U67=0),"",MAX(0,MIN(100,(U67-T67)/U67*100)))</f>
        <v/>
      </c>
      <c r="W67" s="104">
        <f>MAX(IF(S67="",0,S67),IF(V67="",0,V67))</f>
        <v/>
      </c>
      <c r="X67" s="105">
        <f>Параметры!$B$18*W67/100</f>
        <v/>
      </c>
      <c r="Y67" s="103">
        <f>IF(MIN(Комплектация!AA69,Комплектация!AB69)-Параметры!$B$15&lt;Параметры!$B$16,1,0)+IF(MIN(Комплектация!AK69,Комплектация!AL69)-Параметры!$B$15&lt;Параметры!$B$16,1,0)+IF(MIN(Комплектация!AU69,Комплектация!AV69)-Параметры!$B$15&lt;Параметры!$B$16,1,0)+IF(MIN(Комплектация!BE69,Комплектация!BF69)-Параметры!$B$15&lt;Параметры!$B$16,1,0)</f>
        <v/>
      </c>
      <c r="Z67" s="105">
        <f>Y67*Параметры!$B$19</f>
        <v/>
      </c>
      <c r="AA67" s="107">
        <f>MAX(0,P67-X67-Z67)</f>
        <v/>
      </c>
      <c r="AB67" s="108">
        <f>SUMIFS(Прайс!$D$3:$D$11,Прайс!$A$3:$A$11,B67,Прайс!$B$3:$B$11,C67)</f>
        <v/>
      </c>
      <c r="AC67" s="105">
        <f>IF(AB67="","",AB67-AA67)</f>
        <v/>
      </c>
      <c r="AD67" s="109" t="n">
        <v>2961707.619863014</v>
      </c>
    </row>
    <row r="68">
      <c r="A68" s="101">
        <f>Комплектация!A70</f>
        <v/>
      </c>
      <c r="B68" s="101">
        <f>Комплектация!C70</f>
        <v/>
      </c>
      <c r="C68" s="102">
        <f>Комплектация!E70</f>
        <v/>
      </c>
      <c r="D68" s="103" t="n">
        <v>2043</v>
      </c>
      <c r="E68" s="103">
        <f>IF(D68="",Параметры!$B$11,MAX(1,D68-C68))</f>
        <v/>
      </c>
      <c r="F68" s="103">
        <f>MAX(0,YEAR(Параметры!$B$2)-C68)</f>
        <v/>
      </c>
      <c r="G68" s="104">
        <f>MIN(100,F68/E68*100)</f>
        <v/>
      </c>
      <c r="H68" s="104">
        <f>100-G68</f>
        <v/>
      </c>
      <c r="I68" s="103">
        <f>AVERAGE(Комплектация!BJ70,Комплектация!BP70,Комплектация!BV70,Комплектация!CB70,Комплектация!CH70,Комплектация!CN70)</f>
        <v/>
      </c>
      <c r="J68" s="103">
        <f>MAX(0,YEAR(Параметры!$B$2)-I68)</f>
        <v/>
      </c>
      <c r="K68" s="104">
        <f>MIN(100,J68/Параметры!$B$12*100)</f>
        <v/>
      </c>
      <c r="L68" s="104">
        <f>100-K68</f>
        <v/>
      </c>
      <c r="M68" s="103">
        <f>MIN(Комплектация!AA70,Комплектация!AB70,Комплектация!AK70,Комплектация!AL70,Комплектация!AU70,Комплектация!AV70,Комплектация!BE70,Комплектация!BF70)</f>
        <v/>
      </c>
      <c r="N68" s="104">
        <f>AVERAGE((100-MAX(0,MIN(100,(Параметры!$B$13-MIN(Комплектация!AA70,Комплектация!AB70))/(Параметры!$B$13-Параметры!$B$14)*100))),(100-MAX(0,MIN(100,(Параметры!$B$13-MIN(Комплектация!AK70,Комплектация!AL70))/(Параметры!$B$13-Параметры!$B$14)*100))),(100-MAX(0,MIN(100,(Параметры!$B$13-MIN(Комплектация!AU70,Комплектация!AV70))/(Параметры!$B$13-Параметры!$B$14)*100))),(100-MAX(0,MIN(100,(Параметры!$B$13-MIN(Комплектация!BE70,Комплектация!BF70))/(Параметры!$B$13-Параметры!$B$14)*100))))</f>
        <v/>
      </c>
      <c r="O68" s="104">
        <f>AVERAGE(H68,L68)</f>
        <v/>
      </c>
      <c r="P68" s="105">
        <f>Параметры!$B$3*(Параметры!$B$5*H68+Параметры!$B$6*L68+Параметры!$B$7*N68+Параметры!$B$8*O68)/100</f>
        <v/>
      </c>
      <c r="Q68" s="106" t="n">
        <v>46121</v>
      </c>
      <c r="R68" s="106" t="n">
        <v>47217</v>
      </c>
      <c r="S68" s="104">
        <f>IF(OR(Q68="",R68="",R68=Q68),"",MAX(0,MIN(100,(Параметры!$B$2-Q68)/(R68-Q68)*100)))</f>
        <v/>
      </c>
      <c r="T68" s="103">
        <f>IF(ISNUMBER(Комплектация!P70),Комплектация!P70,"")</f>
        <v/>
      </c>
      <c r="U68" s="103">
        <f>IF(ISNUMBER(Комплектация!N70),Комплектация!N70,"")</f>
        <v/>
      </c>
      <c r="V68" s="104">
        <f>IF(OR(U68="",T68="",U68=0),"",MAX(0,MIN(100,(U68-T68)/U68*100)))</f>
        <v/>
      </c>
      <c r="W68" s="104">
        <f>MAX(IF(S68="",0,S68),IF(V68="",0,V68))</f>
        <v/>
      </c>
      <c r="X68" s="105">
        <f>Параметры!$B$18*W68/100</f>
        <v/>
      </c>
      <c r="Y68" s="103">
        <f>IF(MIN(Комплектация!AA70,Комплектация!AB70)-Параметры!$B$15&lt;Параметры!$B$16,1,0)+IF(MIN(Комплектация!AK70,Комплектация!AL70)-Параметры!$B$15&lt;Параметры!$B$16,1,0)+IF(MIN(Комплектация!AU70,Комплектация!AV70)-Параметры!$B$15&lt;Параметры!$B$16,1,0)+IF(MIN(Комплектация!BE70,Комплектация!BF70)-Параметры!$B$15&lt;Параметры!$B$16,1,0)</f>
        <v/>
      </c>
      <c r="Z68" s="105">
        <f>Y68*Параметры!$B$19</f>
        <v/>
      </c>
      <c r="AA68" s="107">
        <f>MAX(0,P68-X68-Z68)</f>
        <v/>
      </c>
      <c r="AB68" s="108">
        <f>SUMIFS(Прайс!$D$3:$D$11,Прайс!$A$3:$A$11,B68,Прайс!$B$3:$B$11,C68)</f>
        <v/>
      </c>
      <c r="AC68" s="105">
        <f>IF(AB68="","",AB68-AA68)</f>
        <v/>
      </c>
      <c r="AD68" s="109" t="n">
        <v>3190404.881386861</v>
      </c>
    </row>
    <row r="69">
      <c r="A69" s="101">
        <f>Комплектация!A71</f>
        <v/>
      </c>
      <c r="B69" s="101">
        <f>Комплектация!C71</f>
        <v/>
      </c>
      <c r="C69" s="102">
        <f>Комплектация!E71</f>
        <v/>
      </c>
      <c r="D69" s="103" t="n">
        <v>2043</v>
      </c>
      <c r="E69" s="103">
        <f>IF(D69="",Параметры!$B$11,MAX(1,D69-C69))</f>
        <v/>
      </c>
      <c r="F69" s="103">
        <f>MAX(0,YEAR(Параметры!$B$2)-C69)</f>
        <v/>
      </c>
      <c r="G69" s="104">
        <f>MIN(100,F69/E69*100)</f>
        <v/>
      </c>
      <c r="H69" s="104">
        <f>100-G69</f>
        <v/>
      </c>
      <c r="I69" s="103">
        <f>AVERAGE(Комплектация!BJ71,Комплектация!BP71,Комплектация!BV71,Комплектация!CB71,Комплектация!CH71,Комплектация!CN71)</f>
        <v/>
      </c>
      <c r="J69" s="103">
        <f>MAX(0,YEAR(Параметры!$B$2)-I69)</f>
        <v/>
      </c>
      <c r="K69" s="104">
        <f>MIN(100,J69/Параметры!$B$12*100)</f>
        <v/>
      </c>
      <c r="L69" s="104">
        <f>100-K69</f>
        <v/>
      </c>
      <c r="M69" s="103">
        <f>MIN(Комплектация!AA71,Комплектация!AB71,Комплектация!AK71,Комплектация!AL71,Комплектация!AU71,Комплектация!AV71,Комплектация!BE71,Комплектация!BF71)</f>
        <v/>
      </c>
      <c r="N69" s="104">
        <f>AVERAGE((100-MAX(0,MIN(100,(Параметры!$B$13-MIN(Комплектация!AA71,Комплектация!AB71))/(Параметры!$B$13-Параметры!$B$14)*100))),(100-MAX(0,MIN(100,(Параметры!$B$13-MIN(Комплектация!AK71,Комплектация!AL71))/(Параметры!$B$13-Параметры!$B$14)*100))),(100-MAX(0,MIN(100,(Параметры!$B$13-MIN(Комплектация!AU71,Комплектация!AV71))/(Параметры!$B$13-Параметры!$B$14)*100))),(100-MAX(0,MIN(100,(Параметры!$B$13-MIN(Комплектация!BE71,Комплектация!BF71))/(Параметры!$B$13-Параметры!$B$14)*100))))</f>
        <v/>
      </c>
      <c r="O69" s="104">
        <f>AVERAGE(H69,L69)</f>
        <v/>
      </c>
      <c r="P69" s="105">
        <f>Параметры!$B$3*(Параметры!$B$5*H69+Параметры!$B$6*L69+Параметры!$B$7*N69+Параметры!$B$8*O69)/100</f>
        <v/>
      </c>
      <c r="Q69" s="106" t="n">
        <v>45961</v>
      </c>
      <c r="R69" s="106" t="n">
        <v>47057</v>
      </c>
      <c r="S69" s="104">
        <f>IF(OR(Q69="",R69="",R69=Q69),"",MAX(0,MIN(100,(Параметры!$B$2-Q69)/(R69-Q69)*100)))</f>
        <v/>
      </c>
      <c r="T69" s="103">
        <f>IF(ISNUMBER(Комплектация!P71),Комплектация!P71,"")</f>
        <v/>
      </c>
      <c r="U69" s="103">
        <f>IF(ISNUMBER(Комплектация!N71),Комплектация!N71,"")</f>
        <v/>
      </c>
      <c r="V69" s="104">
        <f>IF(OR(U69="",T69="",U69=0),"",MAX(0,MIN(100,(U69-T69)/U69*100)))</f>
        <v/>
      </c>
      <c r="W69" s="104">
        <f>MAX(IF(S69="",0,S69),IF(V69="",0,V69))</f>
        <v/>
      </c>
      <c r="X69" s="105">
        <f>Параметры!$B$18*W69/100</f>
        <v/>
      </c>
      <c r="Y69" s="103">
        <f>IF(MIN(Комплектация!AA71,Комплектация!AB71)-Параметры!$B$15&lt;Параметры!$B$16,1,0)+IF(MIN(Комплектация!AK71,Комплектация!AL71)-Параметры!$B$15&lt;Параметры!$B$16,1,0)+IF(MIN(Комплектация!AU71,Комплектация!AV71)-Параметры!$B$15&lt;Параметры!$B$16,1,0)+IF(MIN(Комплектация!BE71,Комплектация!BF71)-Параметры!$B$15&lt;Параметры!$B$16,1,0)</f>
        <v/>
      </c>
      <c r="Z69" s="105">
        <f>Y69*Параметры!$B$19</f>
        <v/>
      </c>
      <c r="AA69" s="107">
        <f>MAX(0,P69-X69-Z69)</f>
        <v/>
      </c>
      <c r="AB69" s="108">
        <f>SUMIFS(Прайс!$D$3:$D$11,Прайс!$A$3:$A$11,B69,Прайс!$B$3:$B$11,C69)</f>
        <v/>
      </c>
      <c r="AC69" s="105">
        <f>IF(AB69="","",AB69-AA69)</f>
        <v/>
      </c>
      <c r="AD69" s="109" t="n">
        <v>3093459.16970803</v>
      </c>
    </row>
    <row r="70">
      <c r="A70" s="101">
        <f>Комплектация!A72</f>
        <v/>
      </c>
      <c r="B70" s="101">
        <f>Комплектация!C72</f>
        <v/>
      </c>
      <c r="C70" s="102">
        <f>Комплектация!E72</f>
        <v/>
      </c>
      <c r="D70" s="103" t="n">
        <v>2043</v>
      </c>
      <c r="E70" s="103">
        <f>IF(D70="",Параметры!$B$11,MAX(1,D70-C70))</f>
        <v/>
      </c>
      <c r="F70" s="103">
        <f>MAX(0,YEAR(Параметры!$B$2)-C70)</f>
        <v/>
      </c>
      <c r="G70" s="104">
        <f>MIN(100,F70/E70*100)</f>
        <v/>
      </c>
      <c r="H70" s="104">
        <f>100-G70</f>
        <v/>
      </c>
      <c r="I70" s="103">
        <f>AVERAGE(Комплектация!BJ72,Комплектация!BP72,Комплектация!BV72,Комплектация!CB72,Комплектация!CH72,Комплектация!CN72)</f>
        <v/>
      </c>
      <c r="J70" s="103">
        <f>MAX(0,YEAR(Параметры!$B$2)-I70)</f>
        <v/>
      </c>
      <c r="K70" s="104">
        <f>MIN(100,J70/Параметры!$B$12*100)</f>
        <v/>
      </c>
      <c r="L70" s="104">
        <f>100-K70</f>
        <v/>
      </c>
      <c r="M70" s="103">
        <f>MIN(Комплектация!AA72,Комплектация!AB72,Комплектация!AK72,Комплектация!AL72,Комплектация!AU72,Комплектация!AV72,Комплектация!BE72,Комплектация!BF72)</f>
        <v/>
      </c>
      <c r="N70" s="104">
        <f>AVERAGE((100-MAX(0,MIN(100,(Параметры!$B$13-MIN(Комплектация!AA72,Комплектация!AB72))/(Параметры!$B$13-Параметры!$B$14)*100))),(100-MAX(0,MIN(100,(Параметры!$B$13-MIN(Комплектация!AK72,Комплектация!AL72))/(Параметры!$B$13-Параметры!$B$14)*100))),(100-MAX(0,MIN(100,(Параметры!$B$13-MIN(Комплектация!AU72,Комплектация!AV72))/(Параметры!$B$13-Параметры!$B$14)*100))),(100-MAX(0,MIN(100,(Параметры!$B$13-MIN(Комплектация!BE72,Комплектация!BF72))/(Параметры!$B$13-Параметры!$B$14)*100))))</f>
        <v/>
      </c>
      <c r="O70" s="104">
        <f>AVERAGE(H70,L70)</f>
        <v/>
      </c>
      <c r="P70" s="105">
        <f>Параметры!$B$3*(Параметры!$B$5*H70+Параметры!$B$6*L70+Параметры!$B$7*N70+Параметры!$B$8*O70)/100</f>
        <v/>
      </c>
      <c r="Q70" s="106" t="n">
        <v>46101</v>
      </c>
      <c r="R70" s="106" t="n">
        <v>47197</v>
      </c>
      <c r="S70" s="104">
        <f>IF(OR(Q70="",R70="",R70=Q70),"",MAX(0,MIN(100,(Параметры!$B$2-Q70)/(R70-Q70)*100)))</f>
        <v/>
      </c>
      <c r="T70" s="103">
        <f>IF(ISNUMBER(Комплектация!P72),Комплектация!P72,"")</f>
        <v/>
      </c>
      <c r="U70" s="103">
        <f>IF(ISNUMBER(Комплектация!N72),Комплектация!N72,"")</f>
        <v/>
      </c>
      <c r="V70" s="104">
        <f>IF(OR(U70="",T70="",U70=0),"",MAX(0,MIN(100,(U70-T70)/U70*100)))</f>
        <v/>
      </c>
      <c r="W70" s="104">
        <f>MAX(IF(S70="",0,S70),IF(V70="",0,V70))</f>
        <v/>
      </c>
      <c r="X70" s="105">
        <f>Параметры!$B$18*W70/100</f>
        <v/>
      </c>
      <c r="Y70" s="103">
        <f>IF(MIN(Комплектация!AA72,Комплектация!AB72)-Параметры!$B$15&lt;Параметры!$B$16,1,0)+IF(MIN(Комплектация!AK72,Комплектация!AL72)-Параметры!$B$15&lt;Параметры!$B$16,1,0)+IF(MIN(Комплектация!AU72,Комплектация!AV72)-Параметры!$B$15&lt;Параметры!$B$16,1,0)+IF(MIN(Комплектация!BE72,Комплектация!BF72)-Параметры!$B$15&lt;Параметры!$B$16,1,0)</f>
        <v/>
      </c>
      <c r="Z70" s="105">
        <f>Y70*Параметры!$B$19</f>
        <v/>
      </c>
      <c r="AA70" s="107">
        <f>MAX(0,P70-X70-Z70)</f>
        <v/>
      </c>
      <c r="AB70" s="108">
        <f>SUMIFS(Прайс!$D$3:$D$11,Прайс!$A$3:$A$11,B70,Прайс!$B$3:$B$11,C70)</f>
        <v/>
      </c>
      <c r="AC70" s="105">
        <f>IF(AB70="","",AB70-AA70)</f>
        <v/>
      </c>
      <c r="AD70" s="109" t="n">
        <v>3193544.479927007</v>
      </c>
    </row>
    <row r="71">
      <c r="A71" s="101">
        <f>Комплектация!A73</f>
        <v/>
      </c>
      <c r="B71" s="101">
        <f>Комплектация!C73</f>
        <v/>
      </c>
      <c r="C71" s="102">
        <f>Комплектация!E73</f>
        <v/>
      </c>
      <c r="D71" s="103" t="n">
        <v>2043</v>
      </c>
      <c r="E71" s="103">
        <f>IF(D71="",Параметры!$B$11,MAX(1,D71-C71))</f>
        <v/>
      </c>
      <c r="F71" s="103">
        <f>MAX(0,YEAR(Параметры!$B$2)-C71)</f>
        <v/>
      </c>
      <c r="G71" s="104">
        <f>MIN(100,F71/E71*100)</f>
        <v/>
      </c>
      <c r="H71" s="104">
        <f>100-G71</f>
        <v/>
      </c>
      <c r="I71" s="103">
        <f>AVERAGE(Комплектация!BJ73,Комплектация!BP73,Комплектация!BV73,Комплектация!CB73,Комплектация!CH73,Комплектация!CN73)</f>
        <v/>
      </c>
      <c r="J71" s="103">
        <f>MAX(0,YEAR(Параметры!$B$2)-I71)</f>
        <v/>
      </c>
      <c r="K71" s="104">
        <f>MIN(100,J71/Параметры!$B$12*100)</f>
        <v/>
      </c>
      <c r="L71" s="104">
        <f>100-K71</f>
        <v/>
      </c>
      <c r="M71" s="103">
        <f>MIN(Комплектация!AA73,Комплектация!AB73,Комплектация!AK73,Комплектация!AL73,Комплектация!AU73,Комплектация!AV73,Комплектация!BE73,Комплектация!BF73)</f>
        <v/>
      </c>
      <c r="N71" s="104">
        <f>AVERAGE((100-MAX(0,MIN(100,(Параметры!$B$13-MIN(Комплектация!AA73,Комплектация!AB73))/(Параметры!$B$13-Параметры!$B$14)*100))),(100-MAX(0,MIN(100,(Параметры!$B$13-MIN(Комплектация!AK73,Комплектация!AL73))/(Параметры!$B$13-Параметры!$B$14)*100))),(100-MAX(0,MIN(100,(Параметры!$B$13-MIN(Комплектация!AU73,Комплектация!AV73))/(Параметры!$B$13-Параметры!$B$14)*100))),(100-MAX(0,MIN(100,(Параметры!$B$13-MIN(Комплектация!BE73,Комплектация!BF73))/(Параметры!$B$13-Параметры!$B$14)*100))))</f>
        <v/>
      </c>
      <c r="O71" s="104">
        <f>AVERAGE(H71,L71)</f>
        <v/>
      </c>
      <c r="P71" s="105">
        <f>Параметры!$B$3*(Параметры!$B$5*H71+Параметры!$B$6*L71+Параметры!$B$7*N71+Параметры!$B$8*O71)/100</f>
        <v/>
      </c>
      <c r="Q71" s="106" t="n">
        <v>45954</v>
      </c>
      <c r="R71" s="106" t="n">
        <v>46684</v>
      </c>
      <c r="S71" s="104">
        <f>IF(OR(Q71="",R71="",R71=Q71),"",MAX(0,MIN(100,(Параметры!$B$2-Q71)/(R71-Q71)*100)))</f>
        <v/>
      </c>
      <c r="T71" s="103">
        <f>IF(ISNUMBER(Комплектация!P73),Комплектация!P73,"")</f>
        <v/>
      </c>
      <c r="U71" s="103">
        <f>IF(ISNUMBER(Комплектация!N73),Комплектация!N73,"")</f>
        <v/>
      </c>
      <c r="V71" s="104">
        <f>IF(OR(U71="",T71="",U71=0),"",MAX(0,MIN(100,(U71-T71)/U71*100)))</f>
        <v/>
      </c>
      <c r="W71" s="104">
        <f>MAX(IF(S71="",0,S71),IF(V71="",0,V71))</f>
        <v/>
      </c>
      <c r="X71" s="105">
        <f>Параметры!$B$18*W71/100</f>
        <v/>
      </c>
      <c r="Y71" s="103">
        <f>IF(MIN(Комплектация!AA73,Комплектация!AB73)-Параметры!$B$15&lt;Параметры!$B$16,1,0)+IF(MIN(Комплектация!AK73,Комплектация!AL73)-Параметры!$B$15&lt;Параметры!$B$16,1,0)+IF(MIN(Комплектация!AU73,Комплектация!AV73)-Параметры!$B$15&lt;Параметры!$B$16,1,0)+IF(MIN(Комплектация!BE73,Комплектация!BF73)-Параметры!$B$15&lt;Параметры!$B$16,1,0)</f>
        <v/>
      </c>
      <c r="Z71" s="105">
        <f>Y71*Параметры!$B$19</f>
        <v/>
      </c>
      <c r="AA71" s="107">
        <f>MAX(0,P71-X71-Z71)</f>
        <v/>
      </c>
      <c r="AB71" s="108">
        <f>SUMIFS(Прайс!$D$3:$D$11,Прайс!$A$3:$A$11,B71,Прайс!$B$3:$B$11,C71)</f>
        <v/>
      </c>
      <c r="AC71" s="105">
        <f>IF(AB71="","",AB71-AA71)</f>
        <v/>
      </c>
      <c r="AD71" s="109" t="n">
        <v>3250740.154109589</v>
      </c>
    </row>
    <row r="72">
      <c r="A72" s="101">
        <f>Комплектация!A74</f>
        <v/>
      </c>
      <c r="B72" s="101">
        <f>Комплектация!C74</f>
        <v/>
      </c>
      <c r="C72" s="102">
        <f>Комплектация!E74</f>
        <v/>
      </c>
      <c r="D72" s="103" t="n">
        <v>2043</v>
      </c>
      <c r="E72" s="103">
        <f>IF(D72="",Параметры!$B$11,MAX(1,D72-C72))</f>
        <v/>
      </c>
      <c r="F72" s="103">
        <f>MAX(0,YEAR(Параметры!$B$2)-C72)</f>
        <v/>
      </c>
      <c r="G72" s="104">
        <f>MIN(100,F72/E72*100)</f>
        <v/>
      </c>
      <c r="H72" s="104">
        <f>100-G72</f>
        <v/>
      </c>
      <c r="I72" s="103">
        <f>AVERAGE(Комплектация!BJ74,Комплектация!BP74,Комплектация!BV74,Комплектация!CB74,Комплектация!CH74,Комплектация!CN74)</f>
        <v/>
      </c>
      <c r="J72" s="103">
        <f>MAX(0,YEAR(Параметры!$B$2)-I72)</f>
        <v/>
      </c>
      <c r="K72" s="104">
        <f>MIN(100,J72/Параметры!$B$12*100)</f>
        <v/>
      </c>
      <c r="L72" s="104">
        <f>100-K72</f>
        <v/>
      </c>
      <c r="M72" s="103">
        <f>MIN(Комплектация!AA74,Комплектация!AB74,Комплектация!AK74,Комплектация!AL74,Комплектация!AU74,Комплектация!AV74,Комплектация!BE74,Комплектация!BF74)</f>
        <v/>
      </c>
      <c r="N72" s="104">
        <f>AVERAGE((100-MAX(0,MIN(100,(Параметры!$B$13-MIN(Комплектация!AA74,Комплектация!AB74))/(Параметры!$B$13-Параметры!$B$14)*100))),(100-MAX(0,MIN(100,(Параметры!$B$13-MIN(Комплектация!AK74,Комплектация!AL74))/(Параметры!$B$13-Параметры!$B$14)*100))),(100-MAX(0,MIN(100,(Параметры!$B$13-MIN(Комплектация!AU74,Комплектация!AV74))/(Параметры!$B$13-Параметры!$B$14)*100))),(100-MAX(0,MIN(100,(Параметры!$B$13-MIN(Комплектация!BE74,Комплектация!BF74))/(Параметры!$B$13-Параметры!$B$14)*100))))</f>
        <v/>
      </c>
      <c r="O72" s="104">
        <f>AVERAGE(H72,L72)</f>
        <v/>
      </c>
      <c r="P72" s="105">
        <f>Параметры!$B$3*(Параметры!$B$5*H72+Параметры!$B$6*L72+Параметры!$B$7*N72+Параметры!$B$8*O72)/100</f>
        <v/>
      </c>
      <c r="Q72" s="106" t="n">
        <v>45954</v>
      </c>
      <c r="R72" s="106" t="n">
        <v>46684</v>
      </c>
      <c r="S72" s="104">
        <f>IF(OR(Q72="",R72="",R72=Q72),"",MAX(0,MIN(100,(Параметры!$B$2-Q72)/(R72-Q72)*100)))</f>
        <v/>
      </c>
      <c r="T72" s="103">
        <f>IF(ISNUMBER(Комплектация!P74),Комплектация!P74,"")</f>
        <v/>
      </c>
      <c r="U72" s="103">
        <f>IF(ISNUMBER(Комплектация!N74),Комплектация!N74,"")</f>
        <v/>
      </c>
      <c r="V72" s="104">
        <f>IF(OR(U72="",T72="",U72=0),"",MAX(0,MIN(100,(U72-T72)/U72*100)))</f>
        <v/>
      </c>
      <c r="W72" s="104">
        <f>MAX(IF(S72="",0,S72),IF(V72="",0,V72))</f>
        <v/>
      </c>
      <c r="X72" s="105">
        <f>Параметры!$B$18*W72/100</f>
        <v/>
      </c>
      <c r="Y72" s="103">
        <f>IF(MIN(Комплектация!AA74,Комплектация!AB74)-Параметры!$B$15&lt;Параметры!$B$16,1,0)+IF(MIN(Комплектация!AK74,Комплектация!AL74)-Параметры!$B$15&lt;Параметры!$B$16,1,0)+IF(MIN(Комплектация!AU74,Комплектация!AV74)-Параметры!$B$15&lt;Параметры!$B$16,1,0)+IF(MIN(Комплектация!BE74,Комплектация!BF74)-Параметры!$B$15&lt;Параметры!$B$16,1,0)</f>
        <v/>
      </c>
      <c r="Z72" s="105">
        <f>Y72*Параметры!$B$19</f>
        <v/>
      </c>
      <c r="AA72" s="107">
        <f>MAX(0,P72-X72-Z72)</f>
        <v/>
      </c>
      <c r="AB72" s="108">
        <f>SUMIFS(Прайс!$D$3:$D$11,Прайс!$A$3:$A$11,B72,Прайс!$B$3:$B$11,C72)</f>
        <v/>
      </c>
      <c r="AC72" s="105">
        <f>IF(AB72="","",AB72-AA72)</f>
        <v/>
      </c>
      <c r="AD72" s="109" t="n">
        <v>3215865.154109589</v>
      </c>
    </row>
    <row r="73">
      <c r="A73" s="101">
        <f>Комплектация!A75</f>
        <v/>
      </c>
      <c r="B73" s="101">
        <f>Комплектация!C75</f>
        <v/>
      </c>
      <c r="C73" s="102">
        <f>Комплектация!E75</f>
        <v/>
      </c>
      <c r="D73" s="103" t="n">
        <v>2043</v>
      </c>
      <c r="E73" s="103">
        <f>IF(D73="",Параметры!$B$11,MAX(1,D73-C73))</f>
        <v/>
      </c>
      <c r="F73" s="103">
        <f>MAX(0,YEAR(Параметры!$B$2)-C73)</f>
        <v/>
      </c>
      <c r="G73" s="104">
        <f>MIN(100,F73/E73*100)</f>
        <v/>
      </c>
      <c r="H73" s="104">
        <f>100-G73</f>
        <v/>
      </c>
      <c r="I73" s="103">
        <f>AVERAGE(Комплектация!BJ75,Комплектация!BP75,Комплектация!BV75,Комплектация!CB75,Комплектация!CH75,Комплектация!CN75)</f>
        <v/>
      </c>
      <c r="J73" s="103">
        <f>MAX(0,YEAR(Параметры!$B$2)-I73)</f>
        <v/>
      </c>
      <c r="K73" s="104">
        <f>MIN(100,J73/Параметры!$B$12*100)</f>
        <v/>
      </c>
      <c r="L73" s="104">
        <f>100-K73</f>
        <v/>
      </c>
      <c r="M73" s="103">
        <f>MIN(Комплектация!AA75,Комплектация!AB75,Комплектация!AK75,Комплектация!AL75,Комплектация!AU75,Комплектация!AV75,Комплектация!BE75,Комплектация!BF75)</f>
        <v/>
      </c>
      <c r="N73" s="104">
        <f>AVERAGE((100-MAX(0,MIN(100,(Параметры!$B$13-MIN(Комплектация!AA75,Комплектация!AB75))/(Параметры!$B$13-Параметры!$B$14)*100))),(100-MAX(0,MIN(100,(Параметры!$B$13-MIN(Комплектация!AK75,Комплектация!AL75))/(Параметры!$B$13-Параметры!$B$14)*100))),(100-MAX(0,MIN(100,(Параметры!$B$13-MIN(Комплектация!AU75,Комплектация!AV75))/(Параметры!$B$13-Параметры!$B$14)*100))),(100-MAX(0,MIN(100,(Параметры!$B$13-MIN(Комплектация!BE75,Комплектация!BF75))/(Параметры!$B$13-Параметры!$B$14)*100))))</f>
        <v/>
      </c>
      <c r="O73" s="104">
        <f>AVERAGE(H73,L73)</f>
        <v/>
      </c>
      <c r="P73" s="105">
        <f>Параметры!$B$3*(Параметры!$B$5*H73+Параметры!$B$6*L73+Параметры!$B$7*N73+Параметры!$B$8*O73)/100</f>
        <v/>
      </c>
      <c r="Q73" s="106" t="n">
        <v>45954</v>
      </c>
      <c r="R73" s="106" t="n">
        <v>46684</v>
      </c>
      <c r="S73" s="104">
        <f>IF(OR(Q73="",R73="",R73=Q73),"",MAX(0,MIN(100,(Параметры!$B$2-Q73)/(R73-Q73)*100)))</f>
        <v/>
      </c>
      <c r="T73" s="103">
        <f>IF(ISNUMBER(Комплектация!P75),Комплектация!P75,"")</f>
        <v/>
      </c>
      <c r="U73" s="103">
        <f>IF(ISNUMBER(Комплектация!N75),Комплектация!N75,"")</f>
        <v/>
      </c>
      <c r="V73" s="104">
        <f>IF(OR(U73="",T73="",U73=0),"",MAX(0,MIN(100,(U73-T73)/U73*100)))</f>
        <v/>
      </c>
      <c r="W73" s="104">
        <f>MAX(IF(S73="",0,S73),IF(V73="",0,V73))</f>
        <v/>
      </c>
      <c r="X73" s="105">
        <f>Параметры!$B$18*W73/100</f>
        <v/>
      </c>
      <c r="Y73" s="103">
        <f>IF(MIN(Комплектация!AA75,Комплектация!AB75)-Параметры!$B$15&lt;Параметры!$B$16,1,0)+IF(MIN(Комплектация!AK75,Комплектация!AL75)-Параметры!$B$15&lt;Параметры!$B$16,1,0)+IF(MIN(Комплектация!AU75,Комплектация!AV75)-Параметры!$B$15&lt;Параметры!$B$16,1,0)+IF(MIN(Комплектация!BE75,Комплектация!BF75)-Параметры!$B$15&lt;Параметры!$B$16,1,0)</f>
        <v/>
      </c>
      <c r="Z73" s="105">
        <f>Y73*Параметры!$B$19</f>
        <v/>
      </c>
      <c r="AA73" s="107">
        <f>MAX(0,P73-X73-Z73)</f>
        <v/>
      </c>
      <c r="AB73" s="108">
        <f>SUMIFS(Прайс!$D$3:$D$11,Прайс!$A$3:$A$11,B73,Прайс!$B$3:$B$11,C73)</f>
        <v/>
      </c>
      <c r="AC73" s="105">
        <f>IF(AB73="","",AB73-AA73)</f>
        <v/>
      </c>
      <c r="AD73" s="109" t="n">
        <v>3221677.654109589</v>
      </c>
    </row>
    <row r="74">
      <c r="A74" s="101">
        <f>Комплектация!A76</f>
        <v/>
      </c>
      <c r="B74" s="101">
        <f>Комплектация!C76</f>
        <v/>
      </c>
      <c r="C74" s="102">
        <f>Комплектация!E76</f>
        <v/>
      </c>
      <c r="D74" s="103" t="n">
        <v>2043</v>
      </c>
      <c r="E74" s="103">
        <f>IF(D74="",Параметры!$B$11,MAX(1,D74-C74))</f>
        <v/>
      </c>
      <c r="F74" s="103">
        <f>MAX(0,YEAR(Параметры!$B$2)-C74)</f>
        <v/>
      </c>
      <c r="G74" s="104">
        <f>MIN(100,F74/E74*100)</f>
        <v/>
      </c>
      <c r="H74" s="104">
        <f>100-G74</f>
        <v/>
      </c>
      <c r="I74" s="103">
        <f>AVERAGE(Комплектация!BJ76,Комплектация!BP76,Комплектация!BV76,Комплектация!CB76,Комплектация!CH76,Комплектация!CN76)</f>
        <v/>
      </c>
      <c r="J74" s="103">
        <f>MAX(0,YEAR(Параметры!$B$2)-I74)</f>
        <v/>
      </c>
      <c r="K74" s="104">
        <f>MIN(100,J74/Параметры!$B$12*100)</f>
        <v/>
      </c>
      <c r="L74" s="104">
        <f>100-K74</f>
        <v/>
      </c>
      <c r="M74" s="103">
        <f>MIN(Комплектация!AA76,Комплектация!AB76,Комплектация!AK76,Комплектация!AL76,Комплектация!AU76,Комплектация!AV76,Комплектация!BE76,Комплектация!BF76)</f>
        <v/>
      </c>
      <c r="N74" s="104">
        <f>AVERAGE((100-MAX(0,MIN(100,(Параметры!$B$13-MIN(Комплектация!AA76,Комплектация!AB76))/(Параметры!$B$13-Параметры!$B$14)*100))),(100-MAX(0,MIN(100,(Параметры!$B$13-MIN(Комплектация!AK76,Комплектация!AL76))/(Параметры!$B$13-Параметры!$B$14)*100))),(100-MAX(0,MIN(100,(Параметры!$B$13-MIN(Комплектация!AU76,Комплектация!AV76))/(Параметры!$B$13-Параметры!$B$14)*100))),(100-MAX(0,MIN(100,(Параметры!$B$13-MIN(Комплектация!BE76,Комплектация!BF76))/(Параметры!$B$13-Параметры!$B$14)*100))))</f>
        <v/>
      </c>
      <c r="O74" s="104">
        <f>AVERAGE(H74,L74)</f>
        <v/>
      </c>
      <c r="P74" s="105">
        <f>Параметры!$B$3*(Параметры!$B$5*H74+Параметры!$B$6*L74+Параметры!$B$7*N74+Параметры!$B$8*O74)/100</f>
        <v/>
      </c>
      <c r="Q74" s="106" t="n">
        <v>45836</v>
      </c>
      <c r="R74" s="106" t="n">
        <v>46566</v>
      </c>
      <c r="S74" s="104">
        <f>IF(OR(Q74="",R74="",R74=Q74),"",MAX(0,MIN(100,(Параметры!$B$2-Q74)/(R74-Q74)*100)))</f>
        <v/>
      </c>
      <c r="T74" s="103">
        <f>IF(ISNUMBER(Комплектация!P76),Комплектация!P76,"")</f>
        <v/>
      </c>
      <c r="U74" s="103">
        <f>IF(ISNUMBER(Комплектация!N76),Комплектация!N76,"")</f>
        <v/>
      </c>
      <c r="V74" s="104">
        <f>IF(OR(U74="",T74="",U74=0),"",MAX(0,MIN(100,(U74-T74)/U74*100)))</f>
        <v/>
      </c>
      <c r="W74" s="104">
        <f>MAX(IF(S74="",0,S74),IF(V74="",0,V74))</f>
        <v/>
      </c>
      <c r="X74" s="105">
        <f>Параметры!$B$18*W74/100</f>
        <v/>
      </c>
      <c r="Y74" s="103">
        <f>IF(MIN(Комплектация!AA76,Комплектация!AB76)-Параметры!$B$15&lt;Параметры!$B$16,1,0)+IF(MIN(Комплектация!AK76,Комплектация!AL76)-Параметры!$B$15&lt;Параметры!$B$16,1,0)+IF(MIN(Комплектация!AU76,Комплектация!AV76)-Параметры!$B$15&lt;Параметры!$B$16,1,0)+IF(MIN(Комплектация!BE76,Комплектация!BF76)-Параметры!$B$15&lt;Параметры!$B$16,1,0)</f>
        <v/>
      </c>
      <c r="Z74" s="105">
        <f>Y74*Параметры!$B$19</f>
        <v/>
      </c>
      <c r="AA74" s="107">
        <f>MAX(0,P74-X74-Z74)</f>
        <v/>
      </c>
      <c r="AB74" s="108">
        <f>SUMIFS(Прайс!$D$3:$D$11,Прайс!$A$3:$A$11,B74,Прайс!$B$3:$B$11,C74)</f>
        <v/>
      </c>
      <c r="AC74" s="105">
        <f>IF(AB74="","",AB74-AA74)</f>
        <v/>
      </c>
      <c r="AD74" s="109" t="n">
        <v>3012825.770547946</v>
      </c>
    </row>
    <row r="75">
      <c r="A75" s="101">
        <f>Комплектация!A77</f>
        <v/>
      </c>
      <c r="B75" s="101">
        <f>Комплектация!C77</f>
        <v/>
      </c>
      <c r="C75" s="102">
        <f>Комплектация!E77</f>
        <v/>
      </c>
      <c r="D75" s="103" t="n">
        <v>2043</v>
      </c>
      <c r="E75" s="103">
        <f>IF(D75="",Параметры!$B$11,MAX(1,D75-C75))</f>
        <v/>
      </c>
      <c r="F75" s="103">
        <f>MAX(0,YEAR(Параметры!$B$2)-C75)</f>
        <v/>
      </c>
      <c r="G75" s="104">
        <f>MIN(100,F75/E75*100)</f>
        <v/>
      </c>
      <c r="H75" s="104">
        <f>100-G75</f>
        <v/>
      </c>
      <c r="I75" s="103">
        <f>AVERAGE(Комплектация!BJ77,Комплектация!BP77,Комплектация!BV77,Комплектация!CB77,Комплектация!CH77,Комплектация!CN77)</f>
        <v/>
      </c>
      <c r="J75" s="103">
        <f>MAX(0,YEAR(Параметры!$B$2)-I75)</f>
        <v/>
      </c>
      <c r="K75" s="104">
        <f>MIN(100,J75/Параметры!$B$12*100)</f>
        <v/>
      </c>
      <c r="L75" s="104">
        <f>100-K75</f>
        <v/>
      </c>
      <c r="M75" s="103">
        <f>MIN(Комплектация!AA77,Комплектация!AB77,Комплектация!AK77,Комплектация!AL77,Комплектация!AU77,Комплектация!AV77,Комплектация!BE77,Комплектация!BF77)</f>
        <v/>
      </c>
      <c r="N75" s="104">
        <f>AVERAGE((100-MAX(0,MIN(100,(Параметры!$B$13-MIN(Комплектация!AA77,Комплектация!AB77))/(Параметры!$B$13-Параметры!$B$14)*100))),(100-MAX(0,MIN(100,(Параметры!$B$13-MIN(Комплектация!AK77,Комплектация!AL77))/(Параметры!$B$13-Параметры!$B$14)*100))),(100-MAX(0,MIN(100,(Параметры!$B$13-MIN(Комплектация!AU77,Комплектация!AV77))/(Параметры!$B$13-Параметры!$B$14)*100))),(100-MAX(0,MIN(100,(Параметры!$B$13-MIN(Комплектация!BE77,Комплектация!BF77))/(Параметры!$B$13-Параметры!$B$14)*100))))</f>
        <v/>
      </c>
      <c r="O75" s="104">
        <f>AVERAGE(H75,L75)</f>
        <v/>
      </c>
      <c r="P75" s="105">
        <f>Параметры!$B$3*(Параметры!$B$5*H75+Параметры!$B$6*L75+Параметры!$B$7*N75+Параметры!$B$8*O75)/100</f>
        <v/>
      </c>
      <c r="Q75" s="106" t="n">
        <v>46067</v>
      </c>
      <c r="R75" s="106" t="n">
        <v>46797</v>
      </c>
      <c r="S75" s="104">
        <f>IF(OR(Q75="",R75="",R75=Q75),"",MAX(0,MIN(100,(Параметры!$B$2-Q75)/(R75-Q75)*100)))</f>
        <v/>
      </c>
      <c r="T75" s="103">
        <f>IF(ISNUMBER(Комплектация!P77),Комплектация!P77,"")</f>
        <v/>
      </c>
      <c r="U75" s="103">
        <f>IF(ISNUMBER(Комплектация!N77),Комплектация!N77,"")</f>
        <v/>
      </c>
      <c r="V75" s="104">
        <f>IF(OR(U75="",T75="",U75=0),"",MAX(0,MIN(100,(U75-T75)/U75*100)))</f>
        <v/>
      </c>
      <c r="W75" s="104">
        <f>MAX(IF(S75="",0,S75),IF(V75="",0,V75))</f>
        <v/>
      </c>
      <c r="X75" s="105">
        <f>Параметры!$B$18*W75/100</f>
        <v/>
      </c>
      <c r="Y75" s="103">
        <f>IF(MIN(Комплектация!AA77,Комплектация!AB77)-Параметры!$B$15&lt;Параметры!$B$16,1,0)+IF(MIN(Комплектация!AK77,Комплектация!AL77)-Параметры!$B$15&lt;Параметры!$B$16,1,0)+IF(MIN(Комплектация!AU77,Комплектация!AV77)-Параметры!$B$15&lt;Параметры!$B$16,1,0)+IF(MIN(Комплектация!BE77,Комплектация!BF77)-Параметры!$B$15&lt;Параметры!$B$16,1,0)</f>
        <v/>
      </c>
      <c r="Z75" s="105">
        <f>Y75*Параметры!$B$19</f>
        <v/>
      </c>
      <c r="AA75" s="107">
        <f>MAX(0,P75-X75-Z75)</f>
        <v/>
      </c>
      <c r="AB75" s="108">
        <f>SUMIFS(Прайс!$D$3:$D$11,Прайс!$A$3:$A$11,B75,Прайс!$B$3:$B$11,C75)</f>
        <v/>
      </c>
      <c r="AC75" s="105">
        <f>IF(AB75="","",AB75-AA75)</f>
        <v/>
      </c>
      <c r="AD75" s="109" t="n">
        <v>3218094.606164383</v>
      </c>
    </row>
    <row r="76">
      <c r="A76" s="101">
        <f>Комплектация!A78</f>
        <v/>
      </c>
      <c r="B76" s="101">
        <f>Комплектация!C78</f>
        <v/>
      </c>
      <c r="C76" s="102">
        <f>Комплектация!E78</f>
        <v/>
      </c>
      <c r="D76" s="103" t="n">
        <v>2050</v>
      </c>
      <c r="E76" s="103">
        <f>IF(D76="",Параметры!$B$11,MAX(1,D76-C76))</f>
        <v/>
      </c>
      <c r="F76" s="103">
        <f>MAX(0,YEAR(Параметры!$B$2)-C76)</f>
        <v/>
      </c>
      <c r="G76" s="104">
        <f>MIN(100,F76/E76*100)</f>
        <v/>
      </c>
      <c r="H76" s="104">
        <f>100-G76</f>
        <v/>
      </c>
      <c r="I76" s="103">
        <f>AVERAGE(Комплектация!BJ78,Комплектация!BP78,Комплектация!BV78,Комплектация!CB78,Комплектация!CH78,Комплектация!CN78)</f>
        <v/>
      </c>
      <c r="J76" s="103">
        <f>MAX(0,YEAR(Параметры!$B$2)-I76)</f>
        <v/>
      </c>
      <c r="K76" s="104">
        <f>MIN(100,J76/Параметры!$B$12*100)</f>
        <v/>
      </c>
      <c r="L76" s="104">
        <f>100-K76</f>
        <v/>
      </c>
      <c r="M76" s="103">
        <f>MIN(Комплектация!AA78,Комплектация!AB78,Комплектация!AK78,Комплектация!AL78,Комплектация!AU78,Комплектация!AV78,Комплектация!BE78,Комплектация!BF78)</f>
        <v/>
      </c>
      <c r="N76" s="104">
        <f>AVERAGE((100-MAX(0,MIN(100,(Параметры!$B$13-MIN(Комплектация!AA78,Комплектация!AB78))/(Параметры!$B$13-Параметры!$B$14)*100))),(100-MAX(0,MIN(100,(Параметры!$B$13-MIN(Комплектация!AK78,Комплектация!AL78))/(Параметры!$B$13-Параметры!$B$14)*100))),(100-MAX(0,MIN(100,(Параметры!$B$13-MIN(Комплектация!AU78,Комплектация!AV78))/(Параметры!$B$13-Параметры!$B$14)*100))),(100-MAX(0,MIN(100,(Параметры!$B$13-MIN(Комплектация!BE78,Комплектация!BF78))/(Параметры!$B$13-Параметры!$B$14)*100))))</f>
        <v/>
      </c>
      <c r="O76" s="104">
        <f>AVERAGE(H76,L76)</f>
        <v/>
      </c>
      <c r="P76" s="105">
        <f>Параметры!$B$3*(Параметры!$B$5*H76+Параметры!$B$6*L76+Параметры!$B$7*N76+Параметры!$B$8*O76)/100</f>
        <v/>
      </c>
      <c r="Q76" s="106" t="n">
        <v>45944</v>
      </c>
      <c r="R76" s="106" t="n">
        <v>46674</v>
      </c>
      <c r="S76" s="104">
        <f>IF(OR(Q76="",R76="",R76=Q76),"",MAX(0,MIN(100,(Параметры!$B$2-Q76)/(R76-Q76)*100)))</f>
        <v/>
      </c>
      <c r="T76" s="103">
        <f>IF(ISNUMBER(Комплектация!P78),Комплектация!P78,"")</f>
        <v/>
      </c>
      <c r="U76" s="103">
        <f>IF(ISNUMBER(Комплектация!N78),Комплектация!N78,"")</f>
        <v/>
      </c>
      <c r="V76" s="104">
        <f>IF(OR(U76="",T76="",U76=0),"",MAX(0,MIN(100,(U76-T76)/U76*100)))</f>
        <v/>
      </c>
      <c r="W76" s="104">
        <f>MAX(IF(S76="",0,S76),IF(V76="",0,V76))</f>
        <v/>
      </c>
      <c r="X76" s="105">
        <f>Параметры!$B$18*W76/100</f>
        <v/>
      </c>
      <c r="Y76" s="103">
        <f>IF(MIN(Комплектация!AA78,Комплектация!AB78)-Параметры!$B$15&lt;Параметры!$B$16,1,0)+IF(MIN(Комплектация!AK78,Комплектация!AL78)-Параметры!$B$15&lt;Параметры!$B$16,1,0)+IF(MIN(Комплектация!AU78,Комплектация!AV78)-Параметры!$B$15&lt;Параметры!$B$16,1,0)+IF(MIN(Комплектация!BE78,Комплектация!BF78)-Параметры!$B$15&lt;Параметры!$B$16,1,0)</f>
        <v/>
      </c>
      <c r="Z76" s="105">
        <f>Y76*Параметры!$B$19</f>
        <v/>
      </c>
      <c r="AA76" s="107">
        <f>MAX(0,P76-X76-Z76)</f>
        <v/>
      </c>
      <c r="AB76" s="108">
        <f>SUMIFS(Прайс!$D$3:$D$11,Прайс!$A$3:$A$11,B76,Прайс!$B$3:$B$11,C76)</f>
        <v/>
      </c>
      <c r="AC76" s="105">
        <f>IF(AB76="","",AB76-AA76)</f>
        <v/>
      </c>
      <c r="AD76" s="109" t="n">
        <v>3886651.541095891</v>
      </c>
    </row>
    <row r="77">
      <c r="A77" s="101">
        <f>Комплектация!A79</f>
        <v/>
      </c>
      <c r="B77" s="101">
        <f>Комплектация!C79</f>
        <v/>
      </c>
      <c r="C77" s="102">
        <f>Комплектация!E79</f>
        <v/>
      </c>
      <c r="D77" s="103" t="n">
        <v>2050</v>
      </c>
      <c r="E77" s="103">
        <f>IF(D77="",Параметры!$B$11,MAX(1,D77-C77))</f>
        <v/>
      </c>
      <c r="F77" s="103">
        <f>MAX(0,YEAR(Параметры!$B$2)-C77)</f>
        <v/>
      </c>
      <c r="G77" s="104">
        <f>MIN(100,F77/E77*100)</f>
        <v/>
      </c>
      <c r="H77" s="104">
        <f>100-G77</f>
        <v/>
      </c>
      <c r="I77" s="103">
        <f>AVERAGE(Комплектация!BJ79,Комплектация!BP79,Комплектация!BV79,Комплектация!CB79,Комплектация!CH79,Комплектация!CN79)</f>
        <v/>
      </c>
      <c r="J77" s="103">
        <f>MAX(0,YEAR(Параметры!$B$2)-I77)</f>
        <v/>
      </c>
      <c r="K77" s="104">
        <f>MIN(100,J77/Параметры!$B$12*100)</f>
        <v/>
      </c>
      <c r="L77" s="104">
        <f>100-K77</f>
        <v/>
      </c>
      <c r="M77" s="103">
        <f>MIN(Комплектация!AA79,Комплектация!AB79,Комплектация!AK79,Комплектация!AL79,Комплектация!AU79,Комплектация!AV79,Комплектация!BE79,Комплектация!BF79)</f>
        <v/>
      </c>
      <c r="N77" s="104">
        <f>AVERAGE((100-MAX(0,MIN(100,(Параметры!$B$13-MIN(Комплектация!AA79,Комплектация!AB79))/(Параметры!$B$13-Параметры!$B$14)*100))),(100-MAX(0,MIN(100,(Параметры!$B$13-MIN(Комплектация!AK79,Комплектация!AL79))/(Параметры!$B$13-Параметры!$B$14)*100))),(100-MAX(0,MIN(100,(Параметры!$B$13-MIN(Комплектация!AU79,Комплектация!AV79))/(Параметры!$B$13-Параметры!$B$14)*100))),(100-MAX(0,MIN(100,(Параметры!$B$13-MIN(Комплектация!BE79,Комплектация!BF79))/(Параметры!$B$13-Параметры!$B$14)*100))))</f>
        <v/>
      </c>
      <c r="O77" s="104">
        <f>AVERAGE(H77,L77)</f>
        <v/>
      </c>
      <c r="P77" s="105">
        <f>Параметры!$B$3*(Параметры!$B$5*H77+Параметры!$B$6*L77+Параметры!$B$7*N77+Параметры!$B$8*O77)/100</f>
        <v/>
      </c>
      <c r="Q77" s="106" t="n">
        <v>46013</v>
      </c>
      <c r="R77" s="106" t="n">
        <v>46743</v>
      </c>
      <c r="S77" s="104">
        <f>IF(OR(Q77="",R77="",R77=Q77),"",MAX(0,MIN(100,(Параметры!$B$2-Q77)/(R77-Q77)*100)))</f>
        <v/>
      </c>
      <c r="T77" s="103">
        <f>IF(ISNUMBER(Комплектация!P79),Комплектация!P79,"")</f>
        <v/>
      </c>
      <c r="U77" s="103">
        <f>IF(ISNUMBER(Комплектация!N79),Комплектация!N79,"")</f>
        <v/>
      </c>
      <c r="V77" s="104">
        <f>IF(OR(U77="",T77="",U77=0),"",MAX(0,MIN(100,(U77-T77)/U77*100)))</f>
        <v/>
      </c>
      <c r="W77" s="104">
        <f>MAX(IF(S77="",0,S77),IF(V77="",0,V77))</f>
        <v/>
      </c>
      <c r="X77" s="105">
        <f>Параметры!$B$18*W77/100</f>
        <v/>
      </c>
      <c r="Y77" s="103">
        <f>IF(MIN(Комплектация!AA79,Комплектация!AB79)-Параметры!$B$15&lt;Параметры!$B$16,1,0)+IF(MIN(Комплектация!AK79,Комплектация!AL79)-Параметры!$B$15&lt;Параметры!$B$16,1,0)+IF(MIN(Комплектация!AU79,Комплектация!AV79)-Параметры!$B$15&lt;Параметры!$B$16,1,0)+IF(MIN(Комплектация!BE79,Комплектация!BF79)-Параметры!$B$15&lt;Параметры!$B$16,1,0)</f>
        <v/>
      </c>
      <c r="Z77" s="105">
        <f>Y77*Параметры!$B$19</f>
        <v/>
      </c>
      <c r="AA77" s="107">
        <f>MAX(0,P77-X77-Z77)</f>
        <v/>
      </c>
      <c r="AB77" s="108">
        <f>SUMIFS(Прайс!$D$3:$D$11,Прайс!$A$3:$A$11,B77,Прайс!$B$3:$B$11,C77)</f>
        <v/>
      </c>
      <c r="AC77" s="105">
        <f>IF(AB77="","",AB77-AA77)</f>
        <v/>
      </c>
      <c r="AD77" s="109" t="n">
        <v>3930603.595890411</v>
      </c>
    </row>
    <row r="78">
      <c r="A78" s="101">
        <f>Комплектация!A80</f>
        <v/>
      </c>
      <c r="B78" s="101">
        <f>Комплектация!C80</f>
        <v/>
      </c>
      <c r="C78" s="102">
        <f>Комплектация!E80</f>
        <v/>
      </c>
      <c r="D78" s="103" t="n">
        <v>2050</v>
      </c>
      <c r="E78" s="103">
        <f>IF(D78="",Параметры!$B$11,MAX(1,D78-C78))</f>
        <v/>
      </c>
      <c r="F78" s="103">
        <f>MAX(0,YEAR(Параметры!$B$2)-C78)</f>
        <v/>
      </c>
      <c r="G78" s="104">
        <f>MIN(100,F78/E78*100)</f>
        <v/>
      </c>
      <c r="H78" s="104">
        <f>100-G78</f>
        <v/>
      </c>
      <c r="I78" s="103">
        <f>AVERAGE(Комплектация!BJ80,Комплектация!BP80,Комплектация!BV80,Комплектация!CB80,Комплектация!CH80,Комплектация!CN80)</f>
        <v/>
      </c>
      <c r="J78" s="103">
        <f>MAX(0,YEAR(Параметры!$B$2)-I78)</f>
        <v/>
      </c>
      <c r="K78" s="104">
        <f>MIN(100,J78/Параметры!$B$12*100)</f>
        <v/>
      </c>
      <c r="L78" s="104">
        <f>100-K78</f>
        <v/>
      </c>
      <c r="M78" s="103">
        <f>MIN(Комплектация!AA80,Комплектация!AB80,Комплектация!AK80,Комплектация!AL80,Комплектация!AU80,Комплектация!AV80,Комплектация!BE80,Комплектация!BF80)</f>
        <v/>
      </c>
      <c r="N78" s="104">
        <f>AVERAGE((100-MAX(0,MIN(100,(Параметры!$B$13-MIN(Комплектация!AA80,Комплектация!AB80))/(Параметры!$B$13-Параметры!$B$14)*100))),(100-MAX(0,MIN(100,(Параметры!$B$13-MIN(Комплектация!AK80,Комплектация!AL80))/(Параметры!$B$13-Параметры!$B$14)*100))),(100-MAX(0,MIN(100,(Параметры!$B$13-MIN(Комплектация!AU80,Комплектация!AV80))/(Параметры!$B$13-Параметры!$B$14)*100))),(100-MAX(0,MIN(100,(Параметры!$B$13-MIN(Комплектация!BE80,Комплектация!BF80))/(Параметры!$B$13-Параметры!$B$14)*100))))</f>
        <v/>
      </c>
      <c r="O78" s="104">
        <f>AVERAGE(H78,L78)</f>
        <v/>
      </c>
      <c r="P78" s="105">
        <f>Параметры!$B$3*(Параметры!$B$5*H78+Параметры!$B$6*L78+Параметры!$B$7*N78+Параметры!$B$8*O78)/100</f>
        <v/>
      </c>
      <c r="Q78" s="106" t="n">
        <v>46013</v>
      </c>
      <c r="R78" s="106" t="n">
        <v>46743</v>
      </c>
      <c r="S78" s="104">
        <f>IF(OR(Q78="",R78="",R78=Q78),"",MAX(0,MIN(100,(Параметры!$B$2-Q78)/(R78-Q78)*100)))</f>
        <v/>
      </c>
      <c r="T78" s="103">
        <f>IF(ISNUMBER(Комплектация!P80),Комплектация!P80,"")</f>
        <v/>
      </c>
      <c r="U78" s="103">
        <f>IF(ISNUMBER(Комплектация!N80),Комплектация!N80,"")</f>
        <v/>
      </c>
      <c r="V78" s="104">
        <f>IF(OR(U78="",T78="",U78=0),"",MAX(0,MIN(100,(U78-T78)/U78*100)))</f>
        <v/>
      </c>
      <c r="W78" s="104">
        <f>MAX(IF(S78="",0,S78),IF(V78="",0,V78))</f>
        <v/>
      </c>
      <c r="X78" s="105">
        <f>Параметры!$B$18*W78/100</f>
        <v/>
      </c>
      <c r="Y78" s="103">
        <f>IF(MIN(Комплектация!AA80,Комплектация!AB80)-Параметры!$B$15&lt;Параметры!$B$16,1,0)+IF(MIN(Комплектация!AK80,Комплектация!AL80)-Параметры!$B$15&lt;Параметры!$B$16,1,0)+IF(MIN(Комплектация!AU80,Комплектация!AV80)-Параметры!$B$15&lt;Параметры!$B$16,1,0)+IF(MIN(Комплектация!BE80,Комплектация!BF80)-Параметры!$B$15&lt;Параметры!$B$16,1,0)</f>
        <v/>
      </c>
      <c r="Z78" s="105">
        <f>Y78*Параметры!$B$19</f>
        <v/>
      </c>
      <c r="AA78" s="107">
        <f>MAX(0,P78-X78-Z78)</f>
        <v/>
      </c>
      <c r="AB78" s="108">
        <f>SUMIFS(Прайс!$D$3:$D$11,Прайс!$A$3:$A$11,B78,Прайс!$B$3:$B$11,C78)</f>
        <v/>
      </c>
      <c r="AC78" s="105">
        <f>IF(AB78="","",AB78-AA78)</f>
        <v/>
      </c>
      <c r="AD78" s="109" t="n">
        <v>3930603.595890411</v>
      </c>
    </row>
    <row r="79">
      <c r="A79" s="101">
        <f>Комплектация!A81</f>
        <v/>
      </c>
      <c r="B79" s="101">
        <f>Комплектация!C81</f>
        <v/>
      </c>
      <c r="C79" s="102">
        <f>Комплектация!E81</f>
        <v/>
      </c>
      <c r="D79" s="103" t="n">
        <v>2047</v>
      </c>
      <c r="E79" s="103">
        <f>IF(D79="",Параметры!$B$11,MAX(1,D79-C79))</f>
        <v/>
      </c>
      <c r="F79" s="103">
        <f>MAX(0,YEAR(Параметры!$B$2)-C79)</f>
        <v/>
      </c>
      <c r="G79" s="104">
        <f>MIN(100,F79/E79*100)</f>
        <v/>
      </c>
      <c r="H79" s="104">
        <f>100-G79</f>
        <v/>
      </c>
      <c r="I79" s="103">
        <f>AVERAGE(Комплектация!BJ81,Комплектация!BP81,Комплектация!BV81,Комплектация!CB81,Комплектация!CH81,Комплектация!CN81)</f>
        <v/>
      </c>
      <c r="J79" s="103">
        <f>MAX(0,YEAR(Параметры!$B$2)-I79)</f>
        <v/>
      </c>
      <c r="K79" s="104">
        <f>MIN(100,J79/Параметры!$B$12*100)</f>
        <v/>
      </c>
      <c r="L79" s="104">
        <f>100-K79</f>
        <v/>
      </c>
      <c r="M79" s="103">
        <f>MIN(Комплектация!AA81,Комплектация!AB81,Комплектация!AK81,Комплектация!AL81,Комплектация!AU81,Комплектация!AV81,Комплектация!BE81,Комплектация!BF81)</f>
        <v/>
      </c>
      <c r="N79" s="104">
        <f>AVERAGE((100-MAX(0,MIN(100,(Параметры!$B$13-MIN(Комплектация!AA81,Комплектация!AB81))/(Параметры!$B$13-Параметры!$B$14)*100))),(100-MAX(0,MIN(100,(Параметры!$B$13-MIN(Комплектация!AK81,Комплектация!AL81))/(Параметры!$B$13-Параметры!$B$14)*100))),(100-MAX(0,MIN(100,(Параметры!$B$13-MIN(Комплектация!AU81,Комплектация!AV81))/(Параметры!$B$13-Параметры!$B$14)*100))),(100-MAX(0,MIN(100,(Параметры!$B$13-MIN(Комплектация!BE81,Комплектация!BF81))/(Параметры!$B$13-Параметры!$B$14)*100))))</f>
        <v/>
      </c>
      <c r="O79" s="104">
        <f>AVERAGE(H79,L79)</f>
        <v/>
      </c>
      <c r="P79" s="105">
        <f>Параметры!$B$3*(Параметры!$B$5*H79+Параметры!$B$6*L79+Параметры!$B$7*N79+Параметры!$B$8*O79)/100</f>
        <v/>
      </c>
      <c r="Q79" s="106" t="n">
        <v>45891</v>
      </c>
      <c r="R79" s="106" t="n">
        <v>46987</v>
      </c>
      <c r="S79" s="104">
        <f>IF(OR(Q79="",R79="",R79=Q79),"",MAX(0,MIN(100,(Параметры!$B$2-Q79)/(R79-Q79)*100)))</f>
        <v/>
      </c>
      <c r="T79" s="103">
        <f>IF(ISNUMBER(Комплектация!P81),Комплектация!P81,"")</f>
        <v/>
      </c>
      <c r="U79" s="103">
        <f>IF(ISNUMBER(Комплектация!N81),Комплектация!N81,"")</f>
        <v/>
      </c>
      <c r="V79" s="104">
        <f>IF(OR(U79="",T79="",U79=0),"",MAX(0,MIN(100,(U79-T79)/U79*100)))</f>
        <v/>
      </c>
      <c r="W79" s="104">
        <f>MAX(IF(S79="",0,S79),IF(V79="",0,V79))</f>
        <v/>
      </c>
      <c r="X79" s="105">
        <f>Параметры!$B$18*W79/100</f>
        <v/>
      </c>
      <c r="Y79" s="103">
        <f>IF(MIN(Комплектация!AA81,Комплектация!AB81)-Параметры!$B$15&lt;Параметры!$B$16,1,0)+IF(MIN(Комплектация!AK81,Комплектация!AL81)-Параметры!$B$15&lt;Параметры!$B$16,1,0)+IF(MIN(Комплектация!AU81,Комплектация!AV81)-Параметры!$B$15&lt;Параметры!$B$16,1,0)+IF(MIN(Комплектация!BE81,Комплектация!BF81)-Параметры!$B$15&lt;Параметры!$B$16,1,0)</f>
        <v/>
      </c>
      <c r="Z79" s="105">
        <f>Y79*Параметры!$B$19</f>
        <v/>
      </c>
      <c r="AA79" s="107">
        <f>MAX(0,P79-X79-Z79)</f>
        <v/>
      </c>
      <c r="AB79" s="108">
        <f>SUMIFS(Прайс!$D$3:$D$11,Прайс!$A$3:$A$11,B79,Прайс!$B$3:$B$11,C79)</f>
        <v/>
      </c>
      <c r="AC79" s="105">
        <f>IF(AB79="","",AB79-AA79)</f>
        <v/>
      </c>
      <c r="AD79" s="109" t="n">
        <v>3441572.76459854</v>
      </c>
    </row>
    <row r="80">
      <c r="A80" s="101">
        <f>Комплектация!A82</f>
        <v/>
      </c>
      <c r="B80" s="101">
        <f>Комплектация!C82</f>
        <v/>
      </c>
      <c r="C80" s="102">
        <f>Комплектация!E82</f>
        <v/>
      </c>
      <c r="D80" s="103" t="n">
        <v>2047</v>
      </c>
      <c r="E80" s="103">
        <f>IF(D80="",Параметры!$B$11,MAX(1,D80-C80))</f>
        <v/>
      </c>
      <c r="F80" s="103">
        <f>MAX(0,YEAR(Параметры!$B$2)-C80)</f>
        <v/>
      </c>
      <c r="G80" s="104">
        <f>MIN(100,F80/E80*100)</f>
        <v/>
      </c>
      <c r="H80" s="104">
        <f>100-G80</f>
        <v/>
      </c>
      <c r="I80" s="103">
        <f>AVERAGE(Комплектация!BJ82,Комплектация!BP82,Комплектация!BV82,Комплектация!CB82,Комплектация!CH82,Комплектация!CN82)</f>
        <v/>
      </c>
      <c r="J80" s="103">
        <f>MAX(0,YEAR(Параметры!$B$2)-I80)</f>
        <v/>
      </c>
      <c r="K80" s="104">
        <f>MIN(100,J80/Параметры!$B$12*100)</f>
        <v/>
      </c>
      <c r="L80" s="104">
        <f>100-K80</f>
        <v/>
      </c>
      <c r="M80" s="103">
        <f>MIN(Комплектация!AA82,Комплектация!AB82,Комплектация!AK82,Комплектация!AL82,Комплектация!AU82,Комплектация!AV82,Комплектация!BE82,Комплектация!BF82)</f>
        <v/>
      </c>
      <c r="N80" s="104">
        <f>AVERAGE((100-MAX(0,MIN(100,(Параметры!$B$13-MIN(Комплектация!AA82,Комплектация!AB82))/(Параметры!$B$13-Параметры!$B$14)*100))),(100-MAX(0,MIN(100,(Параметры!$B$13-MIN(Комплектация!AK82,Комплектация!AL82))/(Параметры!$B$13-Параметры!$B$14)*100))),(100-MAX(0,MIN(100,(Параметры!$B$13-MIN(Комплектация!AU82,Комплектация!AV82))/(Параметры!$B$13-Параметры!$B$14)*100))),(100-MAX(0,MIN(100,(Параметры!$B$13-MIN(Комплектация!BE82,Комплектация!BF82))/(Параметры!$B$13-Параметры!$B$14)*100))))</f>
        <v/>
      </c>
      <c r="O80" s="104">
        <f>AVERAGE(H80,L80)</f>
        <v/>
      </c>
      <c r="P80" s="105">
        <f>Параметры!$B$3*(Параметры!$B$5*H80+Параметры!$B$6*L80+Параметры!$B$7*N80+Параметры!$B$8*O80)/100</f>
        <v/>
      </c>
      <c r="Q80" s="106" t="n">
        <v>45893</v>
      </c>
      <c r="R80" s="106" t="n">
        <v>46989</v>
      </c>
      <c r="S80" s="104">
        <f>IF(OR(Q80="",R80="",R80=Q80),"",MAX(0,MIN(100,(Параметры!$B$2-Q80)/(R80-Q80)*100)))</f>
        <v/>
      </c>
      <c r="T80" s="103">
        <f>IF(ISNUMBER(Комплектация!P82),Комплектация!P82,"")</f>
        <v/>
      </c>
      <c r="U80" s="103">
        <f>IF(ISNUMBER(Комплектация!N82),Комплектация!N82,"")</f>
        <v/>
      </c>
      <c r="V80" s="104">
        <f>IF(OR(U80="",T80="",U80=0),"",MAX(0,MIN(100,(U80-T80)/U80*100)))</f>
        <v/>
      </c>
      <c r="W80" s="104">
        <f>MAX(IF(S80="",0,S80),IF(V80="",0,V80))</f>
        <v/>
      </c>
      <c r="X80" s="105">
        <f>Параметры!$B$18*W80/100</f>
        <v/>
      </c>
      <c r="Y80" s="103">
        <f>IF(MIN(Комплектация!AA82,Комплектация!AB82)-Параметры!$B$15&lt;Параметры!$B$16,1,0)+IF(MIN(Комплектация!AK82,Комплектация!AL82)-Параметры!$B$15&lt;Параметры!$B$16,1,0)+IF(MIN(Комплектация!AU82,Комплектация!AV82)-Параметры!$B$15&lt;Параметры!$B$16,1,0)+IF(MIN(Комплектация!BE82,Комплектация!BF82)-Параметры!$B$15&lt;Параметры!$B$16,1,0)</f>
        <v/>
      </c>
      <c r="Z80" s="105">
        <f>Y80*Параметры!$B$19</f>
        <v/>
      </c>
      <c r="AA80" s="107">
        <f>MAX(0,P80-X80-Z80)</f>
        <v/>
      </c>
      <c r="AB80" s="108">
        <f>SUMIFS(Прайс!$D$3:$D$11,Прайс!$A$3:$A$11,B80,Прайс!$B$3:$B$11,C80)</f>
        <v/>
      </c>
      <c r="AC80" s="105">
        <f>IF(AB80="","",AB80-AA80)</f>
        <v/>
      </c>
      <c r="AD80" s="109" t="n">
        <v>3111108.804744525</v>
      </c>
    </row>
    <row r="81">
      <c r="A81" s="101">
        <f>Комплектация!A83</f>
        <v/>
      </c>
      <c r="B81" s="101">
        <f>Комплектация!C83</f>
        <v/>
      </c>
      <c r="C81" s="102">
        <f>Комплектация!E83</f>
        <v/>
      </c>
      <c r="D81" s="103" t="n">
        <v>2047</v>
      </c>
      <c r="E81" s="103">
        <f>IF(D81="",Параметры!$B$11,MAX(1,D81-C81))</f>
        <v/>
      </c>
      <c r="F81" s="103">
        <f>MAX(0,YEAR(Параметры!$B$2)-C81)</f>
        <v/>
      </c>
      <c r="G81" s="104">
        <f>MIN(100,F81/E81*100)</f>
        <v/>
      </c>
      <c r="H81" s="104">
        <f>100-G81</f>
        <v/>
      </c>
      <c r="I81" s="103">
        <f>AVERAGE(Комплектация!BJ83,Комплектация!BP83,Комплектация!BV83,Комплектация!CB83,Комплектация!CH83,Комплектация!CN83)</f>
        <v/>
      </c>
      <c r="J81" s="103">
        <f>MAX(0,YEAR(Параметры!$B$2)-I81)</f>
        <v/>
      </c>
      <c r="K81" s="104">
        <f>MIN(100,J81/Параметры!$B$12*100)</f>
        <v/>
      </c>
      <c r="L81" s="104">
        <f>100-K81</f>
        <v/>
      </c>
      <c r="M81" s="103">
        <f>MIN(Комплектация!AA83,Комплектация!AB83,Комплектация!AK83,Комплектация!AL83,Комплектация!AU83,Комплектация!AV83,Комплектация!BE83,Комплектация!BF83)</f>
        <v/>
      </c>
      <c r="N81" s="104">
        <f>AVERAGE((100-MAX(0,MIN(100,(Параметры!$B$13-MIN(Комплектация!AA83,Комплектация!AB83))/(Параметры!$B$13-Параметры!$B$14)*100))),(100-MAX(0,MIN(100,(Параметры!$B$13-MIN(Комплектация!AK83,Комплектация!AL83))/(Параметры!$B$13-Параметры!$B$14)*100))),(100-MAX(0,MIN(100,(Параметры!$B$13-MIN(Комплектация!AU83,Комплектация!AV83))/(Параметры!$B$13-Параметры!$B$14)*100))),(100-MAX(0,MIN(100,(Параметры!$B$13-MIN(Комплектация!BE83,Комплектация!BF83))/(Параметры!$B$13-Параметры!$B$14)*100))))</f>
        <v/>
      </c>
      <c r="O81" s="104">
        <f>AVERAGE(H81,L81)</f>
        <v/>
      </c>
      <c r="P81" s="105">
        <f>Параметры!$B$3*(Параметры!$B$5*H81+Параметры!$B$6*L81+Параметры!$B$7*N81+Параметры!$B$8*O81)/100</f>
        <v/>
      </c>
      <c r="Q81" s="106" t="n">
        <v>45890</v>
      </c>
      <c r="R81" s="106" t="n">
        <v>46986</v>
      </c>
      <c r="S81" s="104">
        <f>IF(OR(Q81="",R81="",R81=Q81),"",MAX(0,MIN(100,(Параметры!$B$2-Q81)/(R81-Q81)*100)))</f>
        <v/>
      </c>
      <c r="T81" s="103">
        <f>IF(ISNUMBER(Комплектация!P83),Комплектация!P83,"")</f>
        <v/>
      </c>
      <c r="U81" s="103">
        <f>IF(ISNUMBER(Комплектация!N83),Комплектация!N83,"")</f>
        <v/>
      </c>
      <c r="V81" s="104">
        <f>IF(OR(U81="",T81="",U81=0),"",MAX(0,MIN(100,(U81-T81)/U81*100)))</f>
        <v/>
      </c>
      <c r="W81" s="104">
        <f>MAX(IF(S81="",0,S81),IF(V81="",0,V81))</f>
        <v/>
      </c>
      <c r="X81" s="105">
        <f>Параметры!$B$18*W81/100</f>
        <v/>
      </c>
      <c r="Y81" s="103">
        <f>IF(MIN(Комплектация!AA83,Комплектация!AB83)-Параметры!$B$15&lt;Параметры!$B$16,1,0)+IF(MIN(Комплектация!AK83,Комплектация!AL83)-Параметры!$B$15&lt;Параметры!$B$16,1,0)+IF(MIN(Комплектация!AU83,Комплектация!AV83)-Параметры!$B$15&lt;Параметры!$B$16,1,0)+IF(MIN(Комплектация!BE83,Комплектация!BF83)-Параметры!$B$15&lt;Параметры!$B$16,1,0)</f>
        <v/>
      </c>
      <c r="Z81" s="105">
        <f>Y81*Параметры!$B$19</f>
        <v/>
      </c>
      <c r="AA81" s="107">
        <f>MAX(0,P81-X81-Z81)</f>
        <v/>
      </c>
      <c r="AB81" s="108">
        <f>SUMIFS(Прайс!$D$3:$D$11,Прайс!$A$3:$A$11,B81,Прайс!$B$3:$B$11,C81)</f>
        <v/>
      </c>
      <c r="AC81" s="105">
        <f>IF(AB81="","",AB81-AA81)</f>
        <v/>
      </c>
      <c r="AD81" s="109" t="n">
        <v>1720648.494525548</v>
      </c>
    </row>
    <row r="82">
      <c r="A82" s="101">
        <f>Комплектация!A84</f>
        <v/>
      </c>
      <c r="B82" s="101">
        <f>Комплектация!C84</f>
        <v/>
      </c>
      <c r="C82" s="102">
        <f>Комплектация!E84</f>
        <v/>
      </c>
      <c r="D82" s="103" t="n">
        <v>2044</v>
      </c>
      <c r="E82" s="103">
        <f>IF(D82="",Параметры!$B$11,MAX(1,D82-C82))</f>
        <v/>
      </c>
      <c r="F82" s="103">
        <f>MAX(0,YEAR(Параметры!$B$2)-C82)</f>
        <v/>
      </c>
      <c r="G82" s="104">
        <f>MIN(100,F82/E82*100)</f>
        <v/>
      </c>
      <c r="H82" s="104">
        <f>100-G82</f>
        <v/>
      </c>
      <c r="I82" s="103">
        <f>AVERAGE(Комплектация!BJ84,Комплектация!BP84,Комплектация!BV84,Комплектация!CB84,Комплектация!CH84,Комплектация!CN84)</f>
        <v/>
      </c>
      <c r="J82" s="103">
        <f>MAX(0,YEAR(Параметры!$B$2)-I82)</f>
        <v/>
      </c>
      <c r="K82" s="104">
        <f>MIN(100,J82/Параметры!$B$12*100)</f>
        <v/>
      </c>
      <c r="L82" s="104">
        <f>100-K82</f>
        <v/>
      </c>
      <c r="M82" s="103">
        <f>MIN(Комплектация!AA84,Комплектация!AB84,Комплектация!AK84,Комплектация!AL84,Комплектация!AU84,Комплектация!AV84,Комплектация!BE84,Комплектация!BF84)</f>
        <v/>
      </c>
      <c r="N82" s="104">
        <f>AVERAGE((100-MAX(0,MIN(100,(Параметры!$B$13-MIN(Комплектация!AA84,Комплектация!AB84))/(Параметры!$B$13-Параметры!$B$14)*100))),(100-MAX(0,MIN(100,(Параметры!$B$13-MIN(Комплектация!AK84,Комплектация!AL84))/(Параметры!$B$13-Параметры!$B$14)*100))),(100-MAX(0,MIN(100,(Параметры!$B$13-MIN(Комплектация!AU84,Комплектация!AV84))/(Параметры!$B$13-Параметры!$B$14)*100))),(100-MAX(0,MIN(100,(Параметры!$B$13-MIN(Комплектация!BE84,Комплектация!BF84))/(Параметры!$B$13-Параметры!$B$14)*100))))</f>
        <v/>
      </c>
      <c r="O82" s="104">
        <f>AVERAGE(H82,L82)</f>
        <v/>
      </c>
      <c r="P82" s="105">
        <f>Параметры!$B$3*(Параметры!$B$5*H82+Параметры!$B$6*L82+Параметры!$B$7*N82+Параметры!$B$8*O82)/100</f>
        <v/>
      </c>
      <c r="Q82" s="106" t="n">
        <v>45960</v>
      </c>
      <c r="R82" s="106" t="n">
        <v>47056</v>
      </c>
      <c r="S82" s="104">
        <f>IF(OR(Q82="",R82="",R82=Q82),"",MAX(0,MIN(100,(Параметры!$B$2-Q82)/(R82-Q82)*100)))</f>
        <v/>
      </c>
      <c r="T82" s="103">
        <f>IF(ISNUMBER(Комплектация!P84),Комплектация!P84,"")</f>
        <v/>
      </c>
      <c r="U82" s="103">
        <f>IF(ISNUMBER(Комплектация!N84),Комплектация!N84,"")</f>
        <v/>
      </c>
      <c r="V82" s="104">
        <f>IF(OR(U82="",T82="",U82=0),"",MAX(0,MIN(100,(U82-T82)/U82*100)))</f>
        <v/>
      </c>
      <c r="W82" s="104">
        <f>MAX(IF(S82="",0,S82),IF(V82="",0,V82))</f>
        <v/>
      </c>
      <c r="X82" s="105">
        <f>Параметры!$B$18*W82/100</f>
        <v/>
      </c>
      <c r="Y82" s="103">
        <f>IF(MIN(Комплектация!AA84,Комплектация!AB84)-Параметры!$B$15&lt;Параметры!$B$16,1,0)+IF(MIN(Комплектация!AK84,Комплектация!AL84)-Параметры!$B$15&lt;Параметры!$B$16,1,0)+IF(MIN(Комплектация!AU84,Комплектация!AV84)-Параметры!$B$15&lt;Параметры!$B$16,1,0)+IF(MIN(Комплектация!BE84,Комплектация!BF84)-Параметры!$B$15&lt;Параметры!$B$16,1,0)</f>
        <v/>
      </c>
      <c r="Z82" s="105">
        <f>Y82*Параметры!$B$19</f>
        <v/>
      </c>
      <c r="AA82" s="107">
        <f>MAX(0,P82-X82-Z82)</f>
        <v/>
      </c>
      <c r="AB82" s="108">
        <f>SUMIFS(Прайс!$D$3:$D$11,Прайс!$A$3:$A$11,B82,Прайс!$B$3:$B$11,C82)</f>
        <v/>
      </c>
      <c r="AC82" s="105">
        <f>IF(AB82="","",AB82-AA82)</f>
        <v/>
      </c>
      <c r="AD82" s="109" t="n">
        <v>3171503.649635036</v>
      </c>
    </row>
    <row r="83">
      <c r="A83" s="101">
        <f>Комплектация!A85</f>
        <v/>
      </c>
      <c r="B83" s="101">
        <f>Комплектация!C85</f>
        <v/>
      </c>
      <c r="C83" s="102">
        <f>Комплектация!E85</f>
        <v/>
      </c>
      <c r="D83" s="103" t="n">
        <v>2047</v>
      </c>
      <c r="E83" s="103">
        <f>IF(D83="",Параметры!$B$11,MAX(1,D83-C83))</f>
        <v/>
      </c>
      <c r="F83" s="103">
        <f>MAX(0,YEAR(Параметры!$B$2)-C83)</f>
        <v/>
      </c>
      <c r="G83" s="104">
        <f>MIN(100,F83/E83*100)</f>
        <v/>
      </c>
      <c r="H83" s="104">
        <f>100-G83</f>
        <v/>
      </c>
      <c r="I83" s="103">
        <f>AVERAGE(Комплектация!BJ85,Комплектация!BP85,Комплектация!BV85,Комплектация!CB85,Комплектация!CH85,Комплектация!CN85)</f>
        <v/>
      </c>
      <c r="J83" s="103">
        <f>MAX(0,YEAR(Параметры!$B$2)-I83)</f>
        <v/>
      </c>
      <c r="K83" s="104">
        <f>MIN(100,J83/Параметры!$B$12*100)</f>
        <v/>
      </c>
      <c r="L83" s="104">
        <f>100-K83</f>
        <v/>
      </c>
      <c r="M83" s="103">
        <f>MIN(Комплектация!AA85,Комплектация!AB85,Комплектация!AK85,Комплектация!AL85,Комплектация!AU85,Комплектация!AV85,Комплектация!BE85,Комплектация!BF85)</f>
        <v/>
      </c>
      <c r="N83" s="104">
        <f>AVERAGE((100-MAX(0,MIN(100,(Параметры!$B$13-MIN(Комплектация!AA85,Комплектация!AB85))/(Параметры!$B$13-Параметры!$B$14)*100))),(100-MAX(0,MIN(100,(Параметры!$B$13-MIN(Комплектация!AK85,Комплектация!AL85))/(Параметры!$B$13-Параметры!$B$14)*100))),(100-MAX(0,MIN(100,(Параметры!$B$13-MIN(Комплектация!AU85,Комплектация!AV85))/(Параметры!$B$13-Параметры!$B$14)*100))),(100-MAX(0,MIN(100,(Параметры!$B$13-MIN(Комплектация!BE85,Комплектация!BF85))/(Параметры!$B$13-Параметры!$B$14)*100))))</f>
        <v/>
      </c>
      <c r="O83" s="104">
        <f>AVERAGE(H83,L83)</f>
        <v/>
      </c>
      <c r="P83" s="105">
        <f>Параметры!$B$3*(Параметры!$B$5*H83+Параметры!$B$6*L83+Параметры!$B$7*N83+Параметры!$B$8*O83)/100</f>
        <v/>
      </c>
      <c r="Q83" s="106" t="n">
        <v>45324</v>
      </c>
      <c r="R83" s="106" t="n">
        <v>46420</v>
      </c>
      <c r="S83" s="104">
        <f>IF(OR(Q83="",R83="",R83=Q83),"",MAX(0,MIN(100,(Параметры!$B$2-Q83)/(R83-Q83)*100)))</f>
        <v/>
      </c>
      <c r="T83" s="103">
        <f>IF(ISNUMBER(Комплектация!P85),Комплектация!P85,"")</f>
        <v/>
      </c>
      <c r="U83" s="103">
        <f>IF(ISNUMBER(Комплектация!N85),Комплектация!N85,"")</f>
        <v/>
      </c>
      <c r="V83" s="104">
        <f>IF(OR(U83="",T83="",U83=0),"",MAX(0,MIN(100,(U83-T83)/U83*100)))</f>
        <v/>
      </c>
      <c r="W83" s="104">
        <f>MAX(IF(S83="",0,S83),IF(V83="",0,V83))</f>
        <v/>
      </c>
      <c r="X83" s="105">
        <f>Параметры!$B$18*W83/100</f>
        <v/>
      </c>
      <c r="Y83" s="103">
        <f>IF(MIN(Комплектация!AA85,Комплектация!AB85)-Параметры!$B$15&lt;Параметры!$B$16,1,0)+IF(MIN(Комплектация!AK85,Комплектация!AL85)-Параметры!$B$15&lt;Параметры!$B$16,1,0)+IF(MIN(Комплектация!AU85,Комплектация!AV85)-Параметры!$B$15&lt;Параметры!$B$16,1,0)+IF(MIN(Комплектация!BE85,Комплектация!BF85)-Параметры!$B$15&lt;Параметры!$B$16,1,0)</f>
        <v/>
      </c>
      <c r="Z83" s="105">
        <f>Y83*Параметры!$B$19</f>
        <v/>
      </c>
      <c r="AA83" s="107">
        <f>MAX(0,P83-X83-Z83)</f>
        <v/>
      </c>
      <c r="AB83" s="108">
        <f>SUMIFS(Прайс!$D$3:$D$11,Прайс!$A$3:$A$11,B83,Прайс!$B$3:$B$11,C83)</f>
        <v/>
      </c>
      <c r="AC83" s="105">
        <f>IF(AB83="","",AB83-AA83)</f>
        <v/>
      </c>
      <c r="AD83" s="109" t="n">
        <v>2387261.633211679</v>
      </c>
    </row>
    <row r="84">
      <c r="A84" s="101">
        <f>Комплектация!A86</f>
        <v/>
      </c>
      <c r="B84" s="101">
        <f>Комплектация!C86</f>
        <v/>
      </c>
      <c r="C84" s="102">
        <f>Комплектация!E86</f>
        <v/>
      </c>
      <c r="D84" s="103" t="n">
        <v>2043</v>
      </c>
      <c r="E84" s="103">
        <f>IF(D84="",Параметры!$B$11,MAX(1,D84-C84))</f>
        <v/>
      </c>
      <c r="F84" s="103">
        <f>MAX(0,YEAR(Параметры!$B$2)-C84)</f>
        <v/>
      </c>
      <c r="G84" s="104">
        <f>MIN(100,F84/E84*100)</f>
        <v/>
      </c>
      <c r="H84" s="104">
        <f>100-G84</f>
        <v/>
      </c>
      <c r="I84" s="103">
        <f>AVERAGE(Комплектация!BJ86,Комплектация!BP86,Комплектация!BV86,Комплектация!CB86,Комплектация!CH86,Комплектация!CN86)</f>
        <v/>
      </c>
      <c r="J84" s="103">
        <f>MAX(0,YEAR(Параметры!$B$2)-I84)</f>
        <v/>
      </c>
      <c r="K84" s="104">
        <f>MIN(100,J84/Параметры!$B$12*100)</f>
        <v/>
      </c>
      <c r="L84" s="104">
        <f>100-K84</f>
        <v/>
      </c>
      <c r="M84" s="103">
        <f>MIN(Комплектация!AA86,Комплектация!AB86,Комплектация!AK86,Комплектация!AL86,Комплектация!AU86,Комплектация!AV86,Комплектация!BE86,Комплектация!BF86)</f>
        <v/>
      </c>
      <c r="N84" s="104">
        <f>AVERAGE((100-MAX(0,MIN(100,(Параметры!$B$13-MIN(Комплектация!AA86,Комплектация!AB86))/(Параметры!$B$13-Параметры!$B$14)*100))),(100-MAX(0,MIN(100,(Параметры!$B$13-MIN(Комплектация!AK86,Комплектация!AL86))/(Параметры!$B$13-Параметры!$B$14)*100))),(100-MAX(0,MIN(100,(Параметры!$B$13-MIN(Комплектация!AU86,Комплектация!AV86))/(Параметры!$B$13-Параметры!$B$14)*100))),(100-MAX(0,MIN(100,(Параметры!$B$13-MIN(Комплектация!BE86,Комплектация!BF86))/(Параметры!$B$13-Параметры!$B$14)*100))))</f>
        <v/>
      </c>
      <c r="O84" s="104">
        <f>AVERAGE(H84,L84)</f>
        <v/>
      </c>
      <c r="P84" s="105">
        <f>Параметры!$B$3*(Параметры!$B$5*H84+Параметры!$B$6*L84+Параметры!$B$7*N84+Параметры!$B$8*O84)/100</f>
        <v/>
      </c>
      <c r="Q84" s="106" t="n">
        <v>45851</v>
      </c>
      <c r="R84" s="106" t="n">
        <v>46947</v>
      </c>
      <c r="S84" s="104">
        <f>IF(OR(Q84="",R84="",R84=Q84),"",MAX(0,MIN(100,(Параметры!$B$2-Q84)/(R84-Q84)*100)))</f>
        <v/>
      </c>
      <c r="T84" s="103">
        <f>IF(ISNUMBER(Комплектация!P86),Комплектация!P86,"")</f>
        <v/>
      </c>
      <c r="U84" s="103">
        <f>IF(ISNUMBER(Комплектация!N86),Комплектация!N86,"")</f>
        <v/>
      </c>
      <c r="V84" s="104">
        <f>IF(OR(U84="",T84="",U84=0),"",MAX(0,MIN(100,(U84-T84)/U84*100)))</f>
        <v/>
      </c>
      <c r="W84" s="104">
        <f>MAX(IF(S84="",0,S84),IF(V84="",0,V84))</f>
        <v/>
      </c>
      <c r="X84" s="105">
        <f>Параметры!$B$18*W84/100</f>
        <v/>
      </c>
      <c r="Y84" s="103">
        <f>IF(MIN(Комплектация!AA86,Комплектация!AB86)-Параметры!$B$15&lt;Параметры!$B$16,1,0)+IF(MIN(Комплектация!AK86,Комплектация!AL86)-Параметры!$B$15&lt;Параметры!$B$16,1,0)+IF(MIN(Комплектация!AU86,Комплектация!AV86)-Параметры!$B$15&lt;Параметры!$B$16,1,0)+IF(MIN(Комплектация!BE86,Комплектация!BF86)-Параметры!$B$15&lt;Параметры!$B$16,1,0)</f>
        <v/>
      </c>
      <c r="Z84" s="105">
        <f>Y84*Параметры!$B$19</f>
        <v/>
      </c>
      <c r="AA84" s="107">
        <f>MAX(0,P84-X84-Z84)</f>
        <v/>
      </c>
      <c r="AB84" s="108">
        <f>SUMIFS(Прайс!$D$3:$D$11,Прайс!$A$3:$A$11,B84,Прайс!$B$3:$B$11,C84)</f>
        <v/>
      </c>
      <c r="AC84" s="105">
        <f>IF(AB84="","",AB84-AA84)</f>
        <v/>
      </c>
      <c r="AD84" s="109" t="n">
        <v>3023539.461678831</v>
      </c>
    </row>
    <row r="85">
      <c r="A85" s="101">
        <f>Комплектация!A87</f>
        <v/>
      </c>
      <c r="B85" s="101">
        <f>Комплектация!C87</f>
        <v/>
      </c>
      <c r="C85" s="102">
        <f>Комплектация!E87</f>
        <v/>
      </c>
      <c r="D85" s="103" t="n">
        <v>2044</v>
      </c>
      <c r="E85" s="103">
        <f>IF(D85="",Параметры!$B$11,MAX(1,D85-C85))</f>
        <v/>
      </c>
      <c r="F85" s="103">
        <f>MAX(0,YEAR(Параметры!$B$2)-C85)</f>
        <v/>
      </c>
      <c r="G85" s="104">
        <f>MIN(100,F85/E85*100)</f>
        <v/>
      </c>
      <c r="H85" s="104">
        <f>100-G85</f>
        <v/>
      </c>
      <c r="I85" s="103">
        <f>AVERAGE(Комплектация!BJ87,Комплектация!BP87,Комплектация!BV87,Комплектация!CB87,Комплектация!CH87,Комплектация!CN87)</f>
        <v/>
      </c>
      <c r="J85" s="103">
        <f>MAX(0,YEAR(Параметры!$B$2)-I85)</f>
        <v/>
      </c>
      <c r="K85" s="104">
        <f>MIN(100,J85/Параметры!$B$12*100)</f>
        <v/>
      </c>
      <c r="L85" s="104">
        <f>100-K85</f>
        <v/>
      </c>
      <c r="M85" s="103">
        <f>MIN(Комплектация!AA87,Комплектация!AB87,Комплектация!AK87,Комплектация!AL87,Комплектация!AU87,Комплектация!AV87,Комплектация!BE87,Комплектация!BF87)</f>
        <v/>
      </c>
      <c r="N85" s="104">
        <f>AVERAGE((100-MAX(0,MIN(100,(Параметры!$B$13-MIN(Комплектация!AA87,Комплектация!AB87))/(Параметры!$B$13-Параметры!$B$14)*100))),(100-MAX(0,MIN(100,(Параметры!$B$13-MIN(Комплектация!AK87,Комплектация!AL87))/(Параметры!$B$13-Параметры!$B$14)*100))),(100-MAX(0,MIN(100,(Параметры!$B$13-MIN(Комплектация!AU87,Комплектация!AV87))/(Параметры!$B$13-Параметры!$B$14)*100))),(100-MAX(0,MIN(100,(Параметры!$B$13-MIN(Комплектация!BE87,Комплектация!BF87))/(Параметры!$B$13-Параметры!$B$14)*100))))</f>
        <v/>
      </c>
      <c r="O85" s="104">
        <f>AVERAGE(H85,L85)</f>
        <v/>
      </c>
      <c r="P85" s="105">
        <f>Параметры!$B$3*(Параметры!$B$5*H85+Параметры!$B$6*L85+Параметры!$B$7*N85+Параметры!$B$8*O85)/100</f>
        <v/>
      </c>
      <c r="Q85" s="106" t="n">
        <v>45743</v>
      </c>
      <c r="R85" s="106" t="n">
        <v>46473</v>
      </c>
      <c r="S85" s="104">
        <f>IF(OR(Q85="",R85="",R85=Q85),"",MAX(0,MIN(100,(Параметры!$B$2-Q85)/(R85-Q85)*100)))</f>
        <v/>
      </c>
      <c r="T85" s="103">
        <f>IF(ISNUMBER(Комплектация!P87),Комплектация!P87,"")</f>
        <v/>
      </c>
      <c r="U85" s="103">
        <f>IF(ISNUMBER(Комплектация!N87),Комплектация!N87,"")</f>
        <v/>
      </c>
      <c r="V85" s="104">
        <f>IF(OR(U85="",T85="",U85=0),"",MAX(0,MIN(100,(U85-T85)/U85*100)))</f>
        <v/>
      </c>
      <c r="W85" s="104">
        <f>MAX(IF(S85="",0,S85),IF(V85="",0,V85))</f>
        <v/>
      </c>
      <c r="X85" s="105">
        <f>Параметры!$B$18*W85/100</f>
        <v/>
      </c>
      <c r="Y85" s="103">
        <f>IF(MIN(Комплектация!AA87,Комплектация!AB87)-Параметры!$B$15&lt;Параметры!$B$16,1,0)+IF(MIN(Комплектация!AK87,Комплектация!AL87)-Параметры!$B$15&lt;Параметры!$B$16,1,0)+IF(MIN(Комплектация!AU87,Комплектация!AV87)-Параметры!$B$15&lt;Параметры!$B$16,1,0)+IF(MIN(Комплектация!BE87,Комплектация!BF87)-Параметры!$B$15&lt;Параметры!$B$16,1,0)</f>
        <v/>
      </c>
      <c r="Z85" s="105">
        <f>Y85*Параметры!$B$19</f>
        <v/>
      </c>
      <c r="AA85" s="107">
        <f>MAX(0,P85-X85-Z85)</f>
        <v/>
      </c>
      <c r="AB85" s="108">
        <f>SUMIFS(Прайс!$D$3:$D$11,Прайс!$A$3:$A$11,B85,Прайс!$B$3:$B$11,C85)</f>
        <v/>
      </c>
      <c r="AC85" s="105">
        <f>IF(AB85="","",AB85-AA85)</f>
        <v/>
      </c>
      <c r="AD85" s="109" t="n">
        <v>3142492.294520548</v>
      </c>
    </row>
    <row r="86">
      <c r="A86" s="101">
        <f>Комплектация!A88</f>
        <v/>
      </c>
      <c r="B86" s="101">
        <f>Комплектация!C88</f>
        <v/>
      </c>
      <c r="C86" s="102">
        <f>Комплектация!E88</f>
        <v/>
      </c>
      <c r="D86" s="103" t="n">
        <v>2043</v>
      </c>
      <c r="E86" s="103">
        <f>IF(D86="",Параметры!$B$11,MAX(1,D86-C86))</f>
        <v/>
      </c>
      <c r="F86" s="103">
        <f>MAX(0,YEAR(Параметры!$B$2)-C86)</f>
        <v/>
      </c>
      <c r="G86" s="104">
        <f>MIN(100,F86/E86*100)</f>
        <v/>
      </c>
      <c r="H86" s="104">
        <f>100-G86</f>
        <v/>
      </c>
      <c r="I86" s="103">
        <f>AVERAGE(Комплектация!BJ88,Комплектация!BP88,Комплектация!BV88,Комплектация!CB88,Комплектация!CH88,Комплектация!CN88)</f>
        <v/>
      </c>
      <c r="J86" s="103">
        <f>MAX(0,YEAR(Параметры!$B$2)-I86)</f>
        <v/>
      </c>
      <c r="K86" s="104">
        <f>MIN(100,J86/Параметры!$B$12*100)</f>
        <v/>
      </c>
      <c r="L86" s="104">
        <f>100-K86</f>
        <v/>
      </c>
      <c r="M86" s="103">
        <f>MIN(Комплектация!AA88,Комплектация!AB88,Комплектация!AK88,Комплектация!AL88,Комплектация!AU88,Комплектация!AV88,Комплектация!BE88,Комплектация!BF88)</f>
        <v/>
      </c>
      <c r="N86" s="104">
        <f>AVERAGE((100-MAX(0,MIN(100,(Параметры!$B$13-MIN(Комплектация!AA88,Комплектация!AB88))/(Параметры!$B$13-Параметры!$B$14)*100))),(100-MAX(0,MIN(100,(Параметры!$B$13-MIN(Комплектация!AK88,Комплектация!AL88))/(Параметры!$B$13-Параметры!$B$14)*100))),(100-MAX(0,MIN(100,(Параметры!$B$13-MIN(Комплектация!AU88,Комплектация!AV88))/(Параметры!$B$13-Параметры!$B$14)*100))),(100-MAX(0,MIN(100,(Параметры!$B$13-MIN(Комплектация!BE88,Комплектация!BF88))/(Параметры!$B$13-Параметры!$B$14)*100))))</f>
        <v/>
      </c>
      <c r="O86" s="104">
        <f>AVERAGE(H86,L86)</f>
        <v/>
      </c>
      <c r="P86" s="105">
        <f>Параметры!$B$3*(Параметры!$B$5*H86+Параметры!$B$6*L86+Параметры!$B$7*N86+Параметры!$B$8*O86)/100</f>
        <v/>
      </c>
      <c r="Q86" s="106" t="n">
        <v>46090</v>
      </c>
      <c r="R86" s="106" t="n">
        <v>46821</v>
      </c>
      <c r="S86" s="104">
        <f>IF(OR(Q86="",R86="",R86=Q86),"",MAX(0,MIN(100,(Параметры!$B$2-Q86)/(R86-Q86)*100)))</f>
        <v/>
      </c>
      <c r="T86" s="103">
        <f>IF(ISNUMBER(Комплектация!P88),Комплектация!P88,"")</f>
        <v/>
      </c>
      <c r="U86" s="103">
        <f>IF(ISNUMBER(Комплектация!N88),Комплектация!N88,"")</f>
        <v/>
      </c>
      <c r="V86" s="104">
        <f>IF(OR(U86="",T86="",U86=0),"",MAX(0,MIN(100,(U86-T86)/U86*100)))</f>
        <v/>
      </c>
      <c r="W86" s="104">
        <f>MAX(IF(S86="",0,S86),IF(V86="",0,V86))</f>
        <v/>
      </c>
      <c r="X86" s="105">
        <f>Параметры!$B$18*W86/100</f>
        <v/>
      </c>
      <c r="Y86" s="103">
        <f>IF(MIN(Комплектация!AA88,Комплектация!AB88)-Параметры!$B$15&lt;Параметры!$B$16,1,0)+IF(MIN(Комплектация!AK88,Комплектация!AL88)-Параметры!$B$15&lt;Параметры!$B$16,1,0)+IF(MIN(Комплектация!AU88,Комплектация!AV88)-Параметры!$B$15&lt;Параметры!$B$16,1,0)+IF(MIN(Комплектация!BE88,Комплектация!BF88)-Параметры!$B$15&lt;Параметры!$B$16,1,0)</f>
        <v/>
      </c>
      <c r="Z86" s="105">
        <f>Y86*Параметры!$B$19</f>
        <v/>
      </c>
      <c r="AA86" s="107">
        <f>MAX(0,P86-X86-Z86)</f>
        <v/>
      </c>
      <c r="AB86" s="108">
        <f>SUMIFS(Прайс!$D$3:$D$11,Прайс!$A$3:$A$11,B86,Прайс!$B$3:$B$11,C86)</f>
        <v/>
      </c>
      <c r="AC86" s="105">
        <f>IF(AB86="","",AB86-AA86)</f>
        <v/>
      </c>
      <c r="AD86" s="109" t="n">
        <v>3291000.128248974</v>
      </c>
    </row>
    <row r="87">
      <c r="A87" s="101">
        <f>Комплектация!A89</f>
        <v/>
      </c>
      <c r="B87" s="101">
        <f>Комплектация!C89</f>
        <v/>
      </c>
      <c r="C87" s="102">
        <f>Комплектация!E89</f>
        <v/>
      </c>
      <c r="D87" s="103" t="n">
        <v>2043</v>
      </c>
      <c r="E87" s="103">
        <f>IF(D87="",Параметры!$B$11,MAX(1,D87-C87))</f>
        <v/>
      </c>
      <c r="F87" s="103">
        <f>MAX(0,YEAR(Параметры!$B$2)-C87)</f>
        <v/>
      </c>
      <c r="G87" s="104">
        <f>MIN(100,F87/E87*100)</f>
        <v/>
      </c>
      <c r="H87" s="104">
        <f>100-G87</f>
        <v/>
      </c>
      <c r="I87" s="103">
        <f>AVERAGE(Комплектация!BJ89,Комплектация!BP89,Комплектация!BV89,Комплектация!CB89,Комплектация!CH89,Комплектация!CN89)</f>
        <v/>
      </c>
      <c r="J87" s="103">
        <f>MAX(0,YEAR(Параметры!$B$2)-I87)</f>
        <v/>
      </c>
      <c r="K87" s="104">
        <f>MIN(100,J87/Параметры!$B$12*100)</f>
        <v/>
      </c>
      <c r="L87" s="104">
        <f>100-K87</f>
        <v/>
      </c>
      <c r="M87" s="103">
        <f>MIN(Комплектация!AA89,Комплектация!AB89,Комплектация!AK89,Комплектация!AL89,Комплектация!AU89,Комплектация!AV89,Комплектация!BE89,Комплектация!BF89)</f>
        <v/>
      </c>
      <c r="N87" s="104">
        <f>AVERAGE((100-MAX(0,MIN(100,(Параметры!$B$13-MIN(Комплектация!AA89,Комплектация!AB89))/(Параметры!$B$13-Параметры!$B$14)*100))),(100-MAX(0,MIN(100,(Параметры!$B$13-MIN(Комплектация!AK89,Комплектация!AL89))/(Параметры!$B$13-Параметры!$B$14)*100))),(100-MAX(0,MIN(100,(Параметры!$B$13-MIN(Комплектация!AU89,Комплектация!AV89))/(Параметры!$B$13-Параметры!$B$14)*100))),(100-MAX(0,MIN(100,(Параметры!$B$13-MIN(Комплектация!BE89,Комплектация!BF89))/(Параметры!$B$13-Параметры!$B$14)*100))))</f>
        <v/>
      </c>
      <c r="O87" s="104">
        <f>AVERAGE(H87,L87)</f>
        <v/>
      </c>
      <c r="P87" s="105">
        <f>Параметры!$B$3*(Параметры!$B$5*H87+Параметры!$B$6*L87+Параметры!$B$7*N87+Параметры!$B$8*O87)/100</f>
        <v/>
      </c>
      <c r="Q87" s="106" t="n">
        <v>46090</v>
      </c>
      <c r="R87" s="106" t="n">
        <v>46821</v>
      </c>
      <c r="S87" s="104">
        <f>IF(OR(Q87="",R87="",R87=Q87),"",MAX(0,MIN(100,(Параметры!$B$2-Q87)/(R87-Q87)*100)))</f>
        <v/>
      </c>
      <c r="T87" s="103">
        <f>IF(ISNUMBER(Комплектация!P89),Комплектация!P89,"")</f>
        <v/>
      </c>
      <c r="U87" s="103">
        <f>IF(ISNUMBER(Комплектация!N89),Комплектация!N89,"")</f>
        <v/>
      </c>
      <c r="V87" s="104">
        <f>IF(OR(U87="",T87="",U87=0),"",MAX(0,MIN(100,(U87-T87)/U87*100)))</f>
        <v/>
      </c>
      <c r="W87" s="104">
        <f>MAX(IF(S87="",0,S87),IF(V87="",0,V87))</f>
        <v/>
      </c>
      <c r="X87" s="105">
        <f>Параметры!$B$18*W87/100</f>
        <v/>
      </c>
      <c r="Y87" s="103">
        <f>IF(MIN(Комплектация!AA89,Комплектация!AB89)-Параметры!$B$15&lt;Параметры!$B$16,1,0)+IF(MIN(Комплектация!AK89,Комплектация!AL89)-Параметры!$B$15&lt;Параметры!$B$16,1,0)+IF(MIN(Комплектация!AU89,Комплектация!AV89)-Параметры!$B$15&lt;Параметры!$B$16,1,0)+IF(MIN(Комплектация!BE89,Комплектация!BF89)-Параметры!$B$15&lt;Параметры!$B$16,1,0)</f>
        <v/>
      </c>
      <c r="Z87" s="105">
        <f>Y87*Параметры!$B$19</f>
        <v/>
      </c>
      <c r="AA87" s="107">
        <f>MAX(0,P87-X87-Z87)</f>
        <v/>
      </c>
      <c r="AB87" s="108">
        <f>SUMIFS(Прайс!$D$3:$D$11,Прайс!$A$3:$A$11,B87,Прайс!$B$3:$B$11,C87)</f>
        <v/>
      </c>
      <c r="AC87" s="105">
        <f>IF(AB87="","",AB87-AA87)</f>
        <v/>
      </c>
      <c r="AD87" s="109" t="n">
        <v>3308437.628248974</v>
      </c>
    </row>
    <row r="88">
      <c r="A88" s="101">
        <f>Комплектация!A90</f>
        <v/>
      </c>
      <c r="B88" s="101">
        <f>Комплектация!C90</f>
        <v/>
      </c>
      <c r="C88" s="102">
        <f>Комплектация!E90</f>
        <v/>
      </c>
      <c r="D88" s="103" t="n">
        <v>2043</v>
      </c>
      <c r="E88" s="103">
        <f>IF(D88="",Параметры!$B$11,MAX(1,D88-C88))</f>
        <v/>
      </c>
      <c r="F88" s="103">
        <f>MAX(0,YEAR(Параметры!$B$2)-C88)</f>
        <v/>
      </c>
      <c r="G88" s="104">
        <f>MIN(100,F88/E88*100)</f>
        <v/>
      </c>
      <c r="H88" s="104">
        <f>100-G88</f>
        <v/>
      </c>
      <c r="I88" s="103">
        <f>AVERAGE(Комплектация!BJ90,Комплектация!BP90,Комплектация!BV90,Комплектация!CB90,Комплектация!CH90,Комплектация!CN90)</f>
        <v/>
      </c>
      <c r="J88" s="103">
        <f>MAX(0,YEAR(Параметры!$B$2)-I88)</f>
        <v/>
      </c>
      <c r="K88" s="104">
        <f>MIN(100,J88/Параметры!$B$12*100)</f>
        <v/>
      </c>
      <c r="L88" s="104">
        <f>100-K88</f>
        <v/>
      </c>
      <c r="M88" s="103">
        <f>MIN(Комплектация!AA90,Комплектация!AB90,Комплектация!AK90,Комплектация!AL90,Комплектация!AU90,Комплектация!AV90,Комплектация!BE90,Комплектация!BF90)</f>
        <v/>
      </c>
      <c r="N88" s="104">
        <f>AVERAGE((100-MAX(0,MIN(100,(Параметры!$B$13-MIN(Комплектация!AA90,Комплектация!AB90))/(Параметры!$B$13-Параметры!$B$14)*100))),(100-MAX(0,MIN(100,(Параметры!$B$13-MIN(Комплектация!AK90,Комплектация!AL90))/(Параметры!$B$13-Параметры!$B$14)*100))),(100-MAX(0,MIN(100,(Параметры!$B$13-MIN(Комплектация!AU90,Комплектация!AV90))/(Параметры!$B$13-Параметры!$B$14)*100))),(100-MAX(0,MIN(100,(Параметры!$B$13-MIN(Комплектация!BE90,Комплектация!BF90))/(Параметры!$B$13-Параметры!$B$14)*100))))</f>
        <v/>
      </c>
      <c r="O88" s="104">
        <f>AVERAGE(H88,L88)</f>
        <v/>
      </c>
      <c r="P88" s="105">
        <f>Параметры!$B$3*(Параметры!$B$5*H88+Параметры!$B$6*L88+Параметры!$B$7*N88+Параметры!$B$8*O88)/100</f>
        <v/>
      </c>
      <c r="Q88" s="106" t="n">
        <v>46091</v>
      </c>
      <c r="R88" s="106" t="n">
        <v>46822</v>
      </c>
      <c r="S88" s="104">
        <f>IF(OR(Q88="",R88="",R88=Q88),"",MAX(0,MIN(100,(Параметры!$B$2-Q88)/(R88-Q88)*100)))</f>
        <v/>
      </c>
      <c r="T88" s="103">
        <f>IF(ISNUMBER(Комплектация!P90),Комплектация!P90,"")</f>
        <v/>
      </c>
      <c r="U88" s="103">
        <f>IF(ISNUMBER(Комплектация!N90),Комплектация!N90,"")</f>
        <v/>
      </c>
      <c r="V88" s="104">
        <f>IF(OR(U88="",T88="",U88=0),"",MAX(0,MIN(100,(U88-T88)/U88*100)))</f>
        <v/>
      </c>
      <c r="W88" s="104">
        <f>MAX(IF(S88="",0,S88),IF(V88="",0,V88))</f>
        <v/>
      </c>
      <c r="X88" s="105">
        <f>Параметры!$B$18*W88/100</f>
        <v/>
      </c>
      <c r="Y88" s="103">
        <f>IF(MIN(Комплектация!AA90,Комплектация!AB90)-Параметры!$B$15&lt;Параметры!$B$16,1,0)+IF(MIN(Комплектация!AK90,Комплектация!AL90)-Параметры!$B$15&lt;Параметры!$B$16,1,0)+IF(MIN(Комплектация!AU90,Комплектация!AV90)-Параметры!$B$15&lt;Параметры!$B$16,1,0)+IF(MIN(Комплектация!BE90,Комплектация!BF90)-Параметры!$B$15&lt;Параметры!$B$16,1,0)</f>
        <v/>
      </c>
      <c r="Z88" s="105">
        <f>Y88*Параметры!$B$19</f>
        <v/>
      </c>
      <c r="AA88" s="107">
        <f>MAX(0,P88-X88-Z88)</f>
        <v/>
      </c>
      <c r="AB88" s="108">
        <f>SUMIFS(Прайс!$D$3:$D$11,Прайс!$A$3:$A$11,B88,Прайс!$B$3:$B$11,C88)</f>
        <v/>
      </c>
      <c r="AC88" s="105">
        <f>IF(AB88="","",AB88-AA88)</f>
        <v/>
      </c>
      <c r="AD88" s="109" t="n">
        <v>1669948.743160055</v>
      </c>
    </row>
    <row r="89">
      <c r="A89" s="101">
        <f>Комплектация!A91</f>
        <v/>
      </c>
      <c r="B89" s="101">
        <f>Комплектация!C91</f>
        <v/>
      </c>
      <c r="C89" s="102">
        <f>Комплектация!E91</f>
        <v/>
      </c>
      <c r="D89" s="103" t="n">
        <v>2047</v>
      </c>
      <c r="E89" s="103">
        <f>IF(D89="",Параметры!$B$11,MAX(1,D89-C89))</f>
        <v/>
      </c>
      <c r="F89" s="103">
        <f>MAX(0,YEAR(Параметры!$B$2)-C89)</f>
        <v/>
      </c>
      <c r="G89" s="104">
        <f>MIN(100,F89/E89*100)</f>
        <v/>
      </c>
      <c r="H89" s="104">
        <f>100-G89</f>
        <v/>
      </c>
      <c r="I89" s="103">
        <f>AVERAGE(Комплектация!BJ91,Комплектация!BP91,Комплектация!BV91,Комплектация!CB91,Комплектация!CH91,Комплектация!CN91)</f>
        <v/>
      </c>
      <c r="J89" s="103">
        <f>MAX(0,YEAR(Параметры!$B$2)-I89)</f>
        <v/>
      </c>
      <c r="K89" s="104">
        <f>MIN(100,J89/Параметры!$B$12*100)</f>
        <v/>
      </c>
      <c r="L89" s="104">
        <f>100-K89</f>
        <v/>
      </c>
      <c r="M89" s="103">
        <f>MIN(Комплектация!AA91,Комплектация!AB91,Комплектация!AK91,Комплектация!AL91,Комплектация!AU91,Комплектация!AV91,Комплектация!BE91,Комплектация!BF91)</f>
        <v/>
      </c>
      <c r="N89" s="104">
        <f>AVERAGE((100-MAX(0,MIN(100,(Параметры!$B$13-MIN(Комплектация!AA91,Комплектация!AB91))/(Параметры!$B$13-Параметры!$B$14)*100))),(100-MAX(0,MIN(100,(Параметры!$B$13-MIN(Комплектация!AK91,Комплектация!AL91))/(Параметры!$B$13-Параметры!$B$14)*100))),(100-MAX(0,MIN(100,(Параметры!$B$13-MIN(Комплектация!AU91,Комплектация!AV91))/(Параметры!$B$13-Параметры!$B$14)*100))),(100-MAX(0,MIN(100,(Параметры!$B$13-MIN(Комплектация!BE91,Комплектация!BF91))/(Параметры!$B$13-Параметры!$B$14)*100))))</f>
        <v/>
      </c>
      <c r="O89" s="104">
        <f>AVERAGE(H89,L89)</f>
        <v/>
      </c>
      <c r="P89" s="105">
        <f>Параметры!$B$3*(Параметры!$B$5*H89+Параметры!$B$6*L89+Параметры!$B$7*N89+Параметры!$B$8*O89)/100</f>
        <v/>
      </c>
      <c r="Q89" s="106" t="n">
        <v>45891</v>
      </c>
      <c r="R89" s="106" t="n">
        <v>46987</v>
      </c>
      <c r="S89" s="104">
        <f>IF(OR(Q89="",R89="",R89=Q89),"",MAX(0,MIN(100,(Параметры!$B$2-Q89)/(R89-Q89)*100)))</f>
        <v/>
      </c>
      <c r="T89" s="103">
        <f>IF(ISNUMBER(Комплектация!P91),Комплектация!P91,"")</f>
        <v/>
      </c>
      <c r="U89" s="103">
        <f>IF(ISNUMBER(Комплектация!N91),Комплектация!N91,"")</f>
        <v/>
      </c>
      <c r="V89" s="104">
        <f>IF(OR(U89="",T89="",U89=0),"",MAX(0,MIN(100,(U89-T89)/U89*100)))</f>
        <v/>
      </c>
      <c r="W89" s="104">
        <f>MAX(IF(S89="",0,S89),IF(V89="",0,V89))</f>
        <v/>
      </c>
      <c r="X89" s="105">
        <f>Параметры!$B$18*W89/100</f>
        <v/>
      </c>
      <c r="Y89" s="103">
        <f>IF(MIN(Комплектация!AA91,Комплектация!AB91)-Параметры!$B$15&lt;Параметры!$B$16,1,0)+IF(MIN(Комплектация!AK91,Комплектация!AL91)-Параметры!$B$15&lt;Параметры!$B$16,1,0)+IF(MIN(Комплектация!AU91,Комплектация!AV91)-Параметры!$B$15&lt;Параметры!$B$16,1,0)+IF(MIN(Комплектация!BE91,Комплектация!BF91)-Параметры!$B$15&lt;Параметры!$B$16,1,0)</f>
        <v/>
      </c>
      <c r="Z89" s="105">
        <f>Y89*Параметры!$B$19</f>
        <v/>
      </c>
      <c r="AA89" s="107">
        <f>MAX(0,P89-X89-Z89)</f>
        <v/>
      </c>
      <c r="AB89" s="108">
        <f>SUMIFS(Прайс!$D$3:$D$11,Прайс!$A$3:$A$11,B89,Прайс!$B$3:$B$11,C89)</f>
        <v/>
      </c>
      <c r="AC89" s="105">
        <f>IF(AB89="","",AB89-AA89)</f>
        <v/>
      </c>
      <c r="AD89" s="109" t="n">
        <v>2255822.76459854</v>
      </c>
    </row>
    <row r="90">
      <c r="A90" s="101">
        <f>Комплектация!A92</f>
        <v/>
      </c>
      <c r="B90" s="101">
        <f>Комплектация!C92</f>
        <v/>
      </c>
      <c r="C90" s="102">
        <f>Комплектация!E92</f>
        <v/>
      </c>
      <c r="D90" s="103" t="n">
        <v>2047</v>
      </c>
      <c r="E90" s="103">
        <f>IF(D90="",Параметры!$B$11,MAX(1,D90-C90))</f>
        <v/>
      </c>
      <c r="F90" s="103">
        <f>MAX(0,YEAR(Параметры!$B$2)-C90)</f>
        <v/>
      </c>
      <c r="G90" s="104">
        <f>MIN(100,F90/E90*100)</f>
        <v/>
      </c>
      <c r="H90" s="104">
        <f>100-G90</f>
        <v/>
      </c>
      <c r="I90" s="103">
        <f>AVERAGE(Комплектация!BJ92,Комплектация!BP92,Комплектация!BV92,Комплектация!CB92,Комплектация!CH92,Комплектация!CN92)</f>
        <v/>
      </c>
      <c r="J90" s="103">
        <f>MAX(0,YEAR(Параметры!$B$2)-I90)</f>
        <v/>
      </c>
      <c r="K90" s="104">
        <f>MIN(100,J90/Параметры!$B$12*100)</f>
        <v/>
      </c>
      <c r="L90" s="104">
        <f>100-K90</f>
        <v/>
      </c>
      <c r="M90" s="103">
        <f>MIN(Комплектация!AA92,Комплектация!AB92,Комплектация!AK92,Комплектация!AL92,Комплектация!AU92,Комплектация!AV92,Комплектация!BE92,Комплектация!BF92)</f>
        <v/>
      </c>
      <c r="N90" s="104">
        <f>AVERAGE((100-MAX(0,MIN(100,(Параметры!$B$13-MIN(Комплектация!AA92,Комплектация!AB92))/(Параметры!$B$13-Параметры!$B$14)*100))),(100-MAX(0,MIN(100,(Параметры!$B$13-MIN(Комплектация!AK92,Комплектация!AL92))/(Параметры!$B$13-Параметры!$B$14)*100))),(100-MAX(0,MIN(100,(Параметры!$B$13-MIN(Комплектация!AU92,Комплектация!AV92))/(Параметры!$B$13-Параметры!$B$14)*100))),(100-MAX(0,MIN(100,(Параметры!$B$13-MIN(Комплектация!BE92,Комплектация!BF92))/(Параметры!$B$13-Параметры!$B$14)*100))))</f>
        <v/>
      </c>
      <c r="O90" s="104">
        <f>AVERAGE(H90,L90)</f>
        <v/>
      </c>
      <c r="P90" s="105">
        <f>Параметры!$B$3*(Параметры!$B$5*H90+Параметры!$B$6*L90+Параметры!$B$7*N90+Параметры!$B$8*O90)/100</f>
        <v/>
      </c>
      <c r="Q90" s="106" t="n">
        <v>45894</v>
      </c>
      <c r="R90" s="106" t="n">
        <v>46990</v>
      </c>
      <c r="S90" s="104">
        <f>IF(OR(Q90="",R90="",R90=Q90),"",MAX(0,MIN(100,(Параметры!$B$2-Q90)/(R90-Q90)*100)))</f>
        <v/>
      </c>
      <c r="T90" s="103">
        <f>IF(ISNUMBER(Комплектация!P92),Комплектация!P92,"")</f>
        <v/>
      </c>
      <c r="U90" s="103">
        <f>IF(ISNUMBER(Комплектация!N92),Комплектация!N92,"")</f>
        <v/>
      </c>
      <c r="V90" s="104">
        <f>IF(OR(U90="",T90="",U90=0),"",MAX(0,MIN(100,(U90-T90)/U90*100)))</f>
        <v/>
      </c>
      <c r="W90" s="104">
        <f>MAX(IF(S90="",0,S90),IF(V90="",0,V90))</f>
        <v/>
      </c>
      <c r="X90" s="105">
        <f>Параметры!$B$18*W90/100</f>
        <v/>
      </c>
      <c r="Y90" s="103">
        <f>IF(MIN(Комплектация!AA92,Комплектация!AB92)-Параметры!$B$15&lt;Параметры!$B$16,1,0)+IF(MIN(Комплектация!AK92,Комплектация!AL92)-Параметры!$B$15&lt;Параметры!$B$16,1,0)+IF(MIN(Комплектация!AU92,Комплектация!AV92)-Параметры!$B$15&lt;Параметры!$B$16,1,0)+IF(MIN(Комплектация!BE92,Комплектация!BF92)-Параметры!$B$15&lt;Параметры!$B$16,1,0)</f>
        <v/>
      </c>
      <c r="Z90" s="105">
        <f>Y90*Параметры!$B$19</f>
        <v/>
      </c>
      <c r="AA90" s="107">
        <f>MAX(0,P90-X90-Z90)</f>
        <v/>
      </c>
      <c r="AB90" s="108">
        <f>SUMIFS(Прайс!$D$3:$D$11,Прайс!$A$3:$A$11,B90,Прайс!$B$3:$B$11,C90)</f>
        <v/>
      </c>
      <c r="AC90" s="105">
        <f>IF(AB90="","",AB90-AA90)</f>
        <v/>
      </c>
      <c r="AD90" s="109" t="n">
        <v>3448658.074817519</v>
      </c>
    </row>
    <row r="91">
      <c r="A91" s="101">
        <f>Комплектация!A93</f>
        <v/>
      </c>
      <c r="B91" s="101">
        <f>Комплектация!C93</f>
        <v/>
      </c>
      <c r="C91" s="102">
        <f>Комплектация!E93</f>
        <v/>
      </c>
      <c r="D91" s="103" t="n">
        <v>2047</v>
      </c>
      <c r="E91" s="103">
        <f>IF(D91="",Параметры!$B$11,MAX(1,D91-C91))</f>
        <v/>
      </c>
      <c r="F91" s="103">
        <f>MAX(0,YEAR(Параметры!$B$2)-C91)</f>
        <v/>
      </c>
      <c r="G91" s="104">
        <f>MIN(100,F91/E91*100)</f>
        <v/>
      </c>
      <c r="H91" s="104">
        <f>100-G91</f>
        <v/>
      </c>
      <c r="I91" s="103">
        <f>AVERAGE(Комплектация!BJ93,Комплектация!BP93,Комплектация!BV93,Комплектация!CB93,Комплектация!CH93,Комплектация!CN93)</f>
        <v/>
      </c>
      <c r="J91" s="103">
        <f>MAX(0,YEAR(Параметры!$B$2)-I91)</f>
        <v/>
      </c>
      <c r="K91" s="104">
        <f>MIN(100,J91/Параметры!$B$12*100)</f>
        <v/>
      </c>
      <c r="L91" s="104">
        <f>100-K91</f>
        <v/>
      </c>
      <c r="M91" s="103">
        <f>MIN(Комплектация!AA93,Комплектация!AB93,Комплектация!AK93,Комплектация!AL93,Комплектация!AU93,Комплектация!AV93,Комплектация!BE93,Комплектация!BF93)</f>
        <v/>
      </c>
      <c r="N91" s="104">
        <f>AVERAGE((100-MAX(0,MIN(100,(Параметры!$B$13-MIN(Комплектация!AA93,Комплектация!AB93))/(Параметры!$B$13-Параметры!$B$14)*100))),(100-MAX(0,MIN(100,(Параметры!$B$13-MIN(Комплектация!AK93,Комплектация!AL93))/(Параметры!$B$13-Параметры!$B$14)*100))),(100-MAX(0,MIN(100,(Параметры!$B$13-MIN(Комплектация!AU93,Комплектация!AV93))/(Параметры!$B$13-Параметры!$B$14)*100))),(100-MAX(0,MIN(100,(Параметры!$B$13-MIN(Комплектация!BE93,Комплектация!BF93))/(Параметры!$B$13-Параметры!$B$14)*100))))</f>
        <v/>
      </c>
      <c r="O91" s="104">
        <f>AVERAGE(H91,L91)</f>
        <v/>
      </c>
      <c r="P91" s="105">
        <f>Параметры!$B$3*(Параметры!$B$5*H91+Параметры!$B$6*L91+Параметры!$B$7*N91+Параметры!$B$8*O91)/100</f>
        <v/>
      </c>
      <c r="Q91" s="106" t="n">
        <v>45889</v>
      </c>
      <c r="R91" s="106" t="n">
        <v>46985</v>
      </c>
      <c r="S91" s="104">
        <f>IF(OR(Q91="",R91="",R91=Q91),"",MAX(0,MIN(100,(Параметры!$B$2-Q91)/(R91-Q91)*100)))</f>
        <v/>
      </c>
      <c r="T91" s="103">
        <f>IF(ISNUMBER(Комплектация!P93),Комплектация!P93,"")</f>
        <v/>
      </c>
      <c r="U91" s="103">
        <f>IF(ISNUMBER(Комплектация!N93),Комплектация!N93,"")</f>
        <v/>
      </c>
      <c r="V91" s="104">
        <f>IF(OR(U91="",T91="",U91=0),"",MAX(0,MIN(100,(U91-T91)/U91*100)))</f>
        <v/>
      </c>
      <c r="W91" s="104">
        <f>MAX(IF(S91="",0,S91),IF(V91="",0,V91))</f>
        <v/>
      </c>
      <c r="X91" s="105">
        <f>Параметры!$B$18*W91/100</f>
        <v/>
      </c>
      <c r="Y91" s="103">
        <f>IF(MIN(Комплектация!AA93,Комплектация!AB93)-Параметры!$B$15&lt;Параметры!$B$16,1,0)+IF(MIN(Комплектация!AK93,Комплектация!AL93)-Параметры!$B$15&lt;Параметры!$B$16,1,0)+IF(MIN(Комплектация!AU93,Комплектация!AV93)-Параметры!$B$15&lt;Параметры!$B$16,1,0)+IF(MIN(Комплектация!BE93,Комплектация!BF93)-Параметры!$B$15&lt;Параметры!$B$16,1,0)</f>
        <v/>
      </c>
      <c r="Z91" s="105">
        <f>Y91*Параметры!$B$19</f>
        <v/>
      </c>
      <c r="AA91" s="107">
        <f>MAX(0,P91-X91-Z91)</f>
        <v/>
      </c>
      <c r="AB91" s="108">
        <f>SUMIFS(Прайс!$D$3:$D$11,Прайс!$A$3:$A$11,B91,Прайс!$B$3:$B$11,C91)</f>
        <v/>
      </c>
      <c r="AC91" s="105">
        <f>IF(AB91="","",AB91-AA91)</f>
        <v/>
      </c>
      <c r="AD91" s="109" t="n">
        <v>3434911.724452555</v>
      </c>
    </row>
    <row r="92">
      <c r="A92" s="101">
        <f>Комплектация!A94</f>
        <v/>
      </c>
      <c r="B92" s="101">
        <f>Комплектация!C94</f>
        <v/>
      </c>
      <c r="C92" s="102">
        <f>Комплектация!E94</f>
        <v/>
      </c>
      <c r="D92" s="103" t="n">
        <v>2047</v>
      </c>
      <c r="E92" s="103">
        <f>IF(D92="",Параметры!$B$11,MAX(1,D92-C92))</f>
        <v/>
      </c>
      <c r="F92" s="103">
        <f>MAX(0,YEAR(Параметры!$B$2)-C92)</f>
        <v/>
      </c>
      <c r="G92" s="104">
        <f>MIN(100,F92/E92*100)</f>
        <v/>
      </c>
      <c r="H92" s="104">
        <f>100-G92</f>
        <v/>
      </c>
      <c r="I92" s="103">
        <f>AVERAGE(Комплектация!BJ94,Комплектация!BP94,Комплектация!BV94,Комплектация!CB94,Комплектация!CH94,Комплектация!CN94)</f>
        <v/>
      </c>
      <c r="J92" s="103">
        <f>MAX(0,YEAR(Параметры!$B$2)-I92)</f>
        <v/>
      </c>
      <c r="K92" s="104">
        <f>MIN(100,J92/Параметры!$B$12*100)</f>
        <v/>
      </c>
      <c r="L92" s="104">
        <f>100-K92</f>
        <v/>
      </c>
      <c r="M92" s="103">
        <f>MIN(Комплектация!AA94,Комплектация!AB94,Комплектация!AK94,Комплектация!AL94,Комплектация!AU94,Комплектация!AV94,Комплектация!BE94,Комплектация!BF94)</f>
        <v/>
      </c>
      <c r="N92" s="104">
        <f>AVERAGE((100-MAX(0,MIN(100,(Параметры!$B$13-MIN(Комплектация!AA94,Комплектация!AB94))/(Параметры!$B$13-Параметры!$B$14)*100))),(100-MAX(0,MIN(100,(Параметры!$B$13-MIN(Комплектация!AK94,Комплектация!AL94))/(Параметры!$B$13-Параметры!$B$14)*100))),(100-MAX(0,MIN(100,(Параметры!$B$13-MIN(Комплектация!AU94,Комплектация!AV94))/(Параметры!$B$13-Параметры!$B$14)*100))),(100-MAX(0,MIN(100,(Параметры!$B$13-MIN(Комплектация!BE94,Комплектация!BF94))/(Параметры!$B$13-Параметры!$B$14)*100))))</f>
        <v/>
      </c>
      <c r="O92" s="104">
        <f>AVERAGE(H92,L92)</f>
        <v/>
      </c>
      <c r="P92" s="105">
        <f>Параметры!$B$3*(Параметры!$B$5*H92+Параметры!$B$6*L92+Параметры!$B$7*N92+Параметры!$B$8*O92)/100</f>
        <v/>
      </c>
      <c r="Q92" s="106" t="n">
        <v>45893</v>
      </c>
      <c r="R92" s="106" t="n">
        <v>46989</v>
      </c>
      <c r="S92" s="104">
        <f>IF(OR(Q92="",R92="",R92=Q92),"",MAX(0,MIN(100,(Параметры!$B$2-Q92)/(R92-Q92)*100)))</f>
        <v/>
      </c>
      <c r="T92" s="103">
        <f>IF(ISNUMBER(Комплектация!P94),Комплектация!P94,"")</f>
        <v/>
      </c>
      <c r="U92" s="103">
        <f>IF(ISNUMBER(Комплектация!N94),Комплектация!N94,"")</f>
        <v/>
      </c>
      <c r="V92" s="104">
        <f>IF(OR(U92="",T92="",U92=0),"",MAX(0,MIN(100,(U92-T92)/U92*100)))</f>
        <v/>
      </c>
      <c r="W92" s="104">
        <f>MAX(IF(S92="",0,S92),IF(V92="",0,V92))</f>
        <v/>
      </c>
      <c r="X92" s="105">
        <f>Параметры!$B$18*W92/100</f>
        <v/>
      </c>
      <c r="Y92" s="103">
        <f>IF(MIN(Комплектация!AA94,Комплектация!AB94)-Параметры!$B$15&lt;Параметры!$B$16,1,0)+IF(MIN(Комплектация!AK94,Комплектация!AL94)-Параметры!$B$15&lt;Параметры!$B$16,1,0)+IF(MIN(Комплектация!AU94,Комплектация!AV94)-Параметры!$B$15&lt;Параметры!$B$16,1,0)+IF(MIN(Комплектация!BE94,Комплектация!BF94)-Параметры!$B$15&lt;Параметры!$B$16,1,0)</f>
        <v/>
      </c>
      <c r="Z92" s="105">
        <f>Y92*Параметры!$B$19</f>
        <v/>
      </c>
      <c r="AA92" s="107">
        <f>MAX(0,P92-X92-Z92)</f>
        <v/>
      </c>
      <c r="AB92" s="108">
        <f>SUMIFS(Прайс!$D$3:$D$11,Прайс!$A$3:$A$11,B92,Прайс!$B$3:$B$11,C92)</f>
        <v/>
      </c>
      <c r="AC92" s="105">
        <f>IF(AB92="","",AB92-AA92)</f>
        <v/>
      </c>
      <c r="AD92" s="109" t="n">
        <v>3442421.304744525</v>
      </c>
    </row>
    <row r="93">
      <c r="A93" s="101">
        <f>Комплектация!A95</f>
        <v/>
      </c>
      <c r="B93" s="101">
        <f>Комплектация!C95</f>
        <v/>
      </c>
      <c r="C93" s="102">
        <f>Комплектация!E95</f>
        <v/>
      </c>
      <c r="D93" s="103" t="n">
        <v>2043</v>
      </c>
      <c r="E93" s="103">
        <f>IF(D93="",Параметры!$B$11,MAX(1,D93-C93))</f>
        <v/>
      </c>
      <c r="F93" s="103">
        <f>MAX(0,YEAR(Параметры!$B$2)-C93)</f>
        <v/>
      </c>
      <c r="G93" s="104">
        <f>MIN(100,F93/E93*100)</f>
        <v/>
      </c>
      <c r="H93" s="104">
        <f>100-G93</f>
        <v/>
      </c>
      <c r="I93" s="103">
        <f>AVERAGE(Комплектация!BJ95,Комплектация!BP95,Комплектация!BV95,Комплектация!CB95,Комплектация!CH95,Комплектация!CN95)</f>
        <v/>
      </c>
      <c r="J93" s="103">
        <f>MAX(0,YEAR(Параметры!$B$2)-I93)</f>
        <v/>
      </c>
      <c r="K93" s="104">
        <f>MIN(100,J93/Параметры!$B$12*100)</f>
        <v/>
      </c>
      <c r="L93" s="104">
        <f>100-K93</f>
        <v/>
      </c>
      <c r="M93" s="103">
        <f>MIN(Комплектация!AA95,Комплектация!AB95,Комплектация!AK95,Комплектация!AL95,Комплектация!AU95,Комплектация!AV95,Комплектация!BE95,Комплектация!BF95)</f>
        <v/>
      </c>
      <c r="N93" s="104">
        <f>AVERAGE((100-MAX(0,MIN(100,(Параметры!$B$13-MIN(Комплектация!AA95,Комплектация!AB95))/(Параметры!$B$13-Параметры!$B$14)*100))),(100-MAX(0,MIN(100,(Параметры!$B$13-MIN(Комплектация!AK95,Комплектация!AL95))/(Параметры!$B$13-Параметры!$B$14)*100))),(100-MAX(0,MIN(100,(Параметры!$B$13-MIN(Комплектация!AU95,Комплектация!AV95))/(Параметры!$B$13-Параметры!$B$14)*100))),(100-MAX(0,MIN(100,(Параметры!$B$13-MIN(Комплектация!BE95,Комплектация!BF95))/(Параметры!$B$13-Параметры!$B$14)*100))))</f>
        <v/>
      </c>
      <c r="O93" s="104">
        <f>AVERAGE(H93,L93)</f>
        <v/>
      </c>
      <c r="P93" s="105">
        <f>Параметры!$B$3*(Параметры!$B$5*H93+Параметры!$B$6*L93+Параметры!$B$7*N93+Параметры!$B$8*O93)/100</f>
        <v/>
      </c>
      <c r="Q93" s="106" t="n">
        <v>46087</v>
      </c>
      <c r="R93" s="106" t="n">
        <v>47183</v>
      </c>
      <c r="S93" s="104">
        <f>IF(OR(Q93="",R93="",R93=Q93),"",MAX(0,MIN(100,(Параметры!$B$2-Q93)/(R93-Q93)*100)))</f>
        <v/>
      </c>
      <c r="T93" s="103">
        <f>IF(ISNUMBER(Комплектация!P95),Комплектация!P95,"")</f>
        <v/>
      </c>
      <c r="U93" s="103">
        <f>IF(ISNUMBER(Комплектация!N95),Комплектация!N95,"")</f>
        <v/>
      </c>
      <c r="V93" s="104">
        <f>IF(OR(U93="",T93="",U93=0),"",MAX(0,MIN(100,(U93-T93)/U93*100)))</f>
        <v/>
      </c>
      <c r="W93" s="104">
        <f>MAX(IF(S93="",0,S93),IF(V93="",0,V93))</f>
        <v/>
      </c>
      <c r="X93" s="105">
        <f>Параметры!$B$18*W93/100</f>
        <v/>
      </c>
      <c r="Y93" s="103">
        <f>IF(MIN(Комплектация!AA95,Комплектация!AB95)-Параметры!$B$15&lt;Параметры!$B$16,1,0)+IF(MIN(Комплектация!AK95,Комплектация!AL95)-Параметры!$B$15&lt;Параметры!$B$16,1,0)+IF(MIN(Комплектация!AU95,Комплектация!AV95)-Параметры!$B$15&lt;Параметры!$B$16,1,0)+IF(MIN(Комплектация!BE95,Комплектация!BF95)-Параметры!$B$15&lt;Параметры!$B$16,1,0)</f>
        <v/>
      </c>
      <c r="Z93" s="105">
        <f>Y93*Параметры!$B$19</f>
        <v/>
      </c>
      <c r="AA93" s="107">
        <f>MAX(0,P93-X93-Z93)</f>
        <v/>
      </c>
      <c r="AB93" s="108">
        <f>SUMIFS(Прайс!$D$3:$D$11,Прайс!$A$3:$A$11,B93,Прайс!$B$3:$B$11,C93)</f>
        <v/>
      </c>
      <c r="AC93" s="105">
        <f>IF(AB93="","",AB93-AA93)</f>
        <v/>
      </c>
      <c r="AD93" s="109" t="n">
        <v>3158542.198905109</v>
      </c>
    </row>
    <row r="94">
      <c r="A94" s="101">
        <f>Комплектация!A96</f>
        <v/>
      </c>
      <c r="B94" s="101">
        <f>Комплектация!C96</f>
        <v/>
      </c>
      <c r="C94" s="102">
        <f>Комплектация!E96</f>
        <v/>
      </c>
      <c r="D94" s="103" t="n">
        <v>2047</v>
      </c>
      <c r="E94" s="103">
        <f>IF(D94="",Параметры!$B$11,MAX(1,D94-C94))</f>
        <v/>
      </c>
      <c r="F94" s="103">
        <f>MAX(0,YEAR(Параметры!$B$2)-C94)</f>
        <v/>
      </c>
      <c r="G94" s="104">
        <f>MIN(100,F94/E94*100)</f>
        <v/>
      </c>
      <c r="H94" s="104">
        <f>100-G94</f>
        <v/>
      </c>
      <c r="I94" s="103">
        <f>AVERAGE(Комплектация!BJ96,Комплектация!BP96,Комплектация!BV96,Комплектация!CB96,Комплектация!CH96,Комплектация!CN96)</f>
        <v/>
      </c>
      <c r="J94" s="103">
        <f>MAX(0,YEAR(Параметры!$B$2)-I94)</f>
        <v/>
      </c>
      <c r="K94" s="104">
        <f>MIN(100,J94/Параметры!$B$12*100)</f>
        <v/>
      </c>
      <c r="L94" s="104">
        <f>100-K94</f>
        <v/>
      </c>
      <c r="M94" s="103">
        <f>MIN(Комплектация!AA96,Комплектация!AB96,Комплектация!AK96,Комплектация!AL96,Комплектация!AU96,Комплектация!AV96,Комплектация!BE96,Комплектация!BF96)</f>
        <v/>
      </c>
      <c r="N94" s="104">
        <f>AVERAGE((100-MAX(0,MIN(100,(Параметры!$B$13-MIN(Комплектация!AA96,Комплектация!AB96))/(Параметры!$B$13-Параметры!$B$14)*100))),(100-MAX(0,MIN(100,(Параметры!$B$13-MIN(Комплектация!AK96,Комплектация!AL96))/(Параметры!$B$13-Параметры!$B$14)*100))),(100-MAX(0,MIN(100,(Параметры!$B$13-MIN(Комплектация!AU96,Комплектация!AV96))/(Параметры!$B$13-Параметры!$B$14)*100))),(100-MAX(0,MIN(100,(Параметры!$B$13-MIN(Комплектация!BE96,Комплектация!BF96))/(Параметры!$B$13-Параметры!$B$14)*100))))</f>
        <v/>
      </c>
      <c r="O94" s="104">
        <f>AVERAGE(H94,L94)</f>
        <v/>
      </c>
      <c r="P94" s="105">
        <f>Параметры!$B$3*(Параметры!$B$5*H94+Параметры!$B$6*L94+Параметры!$B$7*N94+Параметры!$B$8*O94)/100</f>
        <v/>
      </c>
      <c r="Q94" s="106" t="n">
        <v>45953</v>
      </c>
      <c r="R94" s="106" t="n">
        <v>47049</v>
      </c>
      <c r="S94" s="104">
        <f>IF(OR(Q94="",R94="",R94=Q94),"",MAX(0,MIN(100,(Параметры!$B$2-Q94)/(R94-Q94)*100)))</f>
        <v/>
      </c>
      <c r="T94" s="103">
        <f>IF(ISNUMBER(Комплектация!P96),Комплектация!P96,"")</f>
        <v/>
      </c>
      <c r="U94" s="103">
        <f>IF(ISNUMBER(Комплектация!N96),Комплектация!N96,"")</f>
        <v/>
      </c>
      <c r="V94" s="104">
        <f>IF(OR(U94="",T94="",U94=0),"",MAX(0,MIN(100,(U94-T94)/U94*100)))</f>
        <v/>
      </c>
      <c r="W94" s="104">
        <f>MAX(IF(S94="",0,S94),IF(V94="",0,V94))</f>
        <v/>
      </c>
      <c r="X94" s="105">
        <f>Параметры!$B$18*W94/100</f>
        <v/>
      </c>
      <c r="Y94" s="103">
        <f>IF(MIN(Комплектация!AA96,Комплектация!AB96)-Параметры!$B$15&lt;Параметры!$B$16,1,0)+IF(MIN(Комплектация!AK96,Комплектация!AL96)-Параметры!$B$15&lt;Параметры!$B$16,1,0)+IF(MIN(Комплектация!AU96,Комплектация!AV96)-Параметры!$B$15&lt;Параметры!$B$16,1,0)+IF(MIN(Комплектация!BE96,Комплектация!BF96)-Параметры!$B$15&lt;Параметры!$B$16,1,0)</f>
        <v/>
      </c>
      <c r="Z94" s="105">
        <f>Y94*Параметры!$B$19</f>
        <v/>
      </c>
      <c r="AA94" s="107">
        <f>MAX(0,P94-X94-Z94)</f>
        <v/>
      </c>
      <c r="AB94" s="108">
        <f>SUMIFS(Прайс!$D$3:$D$11,Прайс!$A$3:$A$11,B94,Прайс!$B$3:$B$11,C94)</f>
        <v/>
      </c>
      <c r="AC94" s="105">
        <f>IF(AB94="","",AB94-AA94)</f>
        <v/>
      </c>
      <c r="AD94" s="109" t="n">
        <v>1817127.509124088</v>
      </c>
    </row>
    <row r="95">
      <c r="A95" s="101">
        <f>Комплектация!A97</f>
        <v/>
      </c>
      <c r="B95" s="101">
        <f>Комплектация!C97</f>
        <v/>
      </c>
      <c r="C95" s="102">
        <f>Комплектация!E97</f>
        <v/>
      </c>
      <c r="D95" s="103" t="n">
        <v>2047</v>
      </c>
      <c r="E95" s="103">
        <f>IF(D95="",Параметры!$B$11,MAX(1,D95-C95))</f>
        <v/>
      </c>
      <c r="F95" s="103">
        <f>MAX(0,YEAR(Параметры!$B$2)-C95)</f>
        <v/>
      </c>
      <c r="G95" s="104">
        <f>MIN(100,F95/E95*100)</f>
        <v/>
      </c>
      <c r="H95" s="104">
        <f>100-G95</f>
        <v/>
      </c>
      <c r="I95" s="103">
        <f>AVERAGE(Комплектация!BJ97,Комплектация!BP97,Комплектация!BV97,Комплектация!CB97,Комплектация!CH97,Комплектация!CN97)</f>
        <v/>
      </c>
      <c r="J95" s="103">
        <f>MAX(0,YEAR(Параметры!$B$2)-I95)</f>
        <v/>
      </c>
      <c r="K95" s="104">
        <f>MIN(100,J95/Параметры!$B$12*100)</f>
        <v/>
      </c>
      <c r="L95" s="104">
        <f>100-K95</f>
        <v/>
      </c>
      <c r="M95" s="103">
        <f>MIN(Комплектация!AA97,Комплектация!AB97,Комплектация!AK97,Комплектация!AL97,Комплектация!AU97,Комплектация!AV97,Комплектация!BE97,Комплектация!BF97)</f>
        <v/>
      </c>
      <c r="N95" s="104">
        <f>AVERAGE((100-MAX(0,MIN(100,(Параметры!$B$13-MIN(Комплектация!AA97,Комплектация!AB97))/(Параметры!$B$13-Параметры!$B$14)*100))),(100-MAX(0,MIN(100,(Параметры!$B$13-MIN(Комплектация!AK97,Комплектация!AL97))/(Параметры!$B$13-Параметры!$B$14)*100))),(100-MAX(0,MIN(100,(Параметры!$B$13-MIN(Комплектация!AU97,Комплектация!AV97))/(Параметры!$B$13-Параметры!$B$14)*100))),(100-MAX(0,MIN(100,(Параметры!$B$13-MIN(Комплектация!BE97,Комплектация!BF97))/(Параметры!$B$13-Параметры!$B$14)*100))))</f>
        <v/>
      </c>
      <c r="O95" s="104">
        <f>AVERAGE(H95,L95)</f>
        <v/>
      </c>
      <c r="P95" s="105">
        <f>Параметры!$B$3*(Параметры!$B$5*H95+Параметры!$B$6*L95+Параметры!$B$7*N95+Параметры!$B$8*O95)/100</f>
        <v/>
      </c>
      <c r="Q95" s="106" t="n">
        <v>45889</v>
      </c>
      <c r="R95" s="106" t="n">
        <v>46985</v>
      </c>
      <c r="S95" s="104">
        <f>IF(OR(Q95="",R95="",R95=Q95),"",MAX(0,MIN(100,(Параметры!$B$2-Q95)/(R95-Q95)*100)))</f>
        <v/>
      </c>
      <c r="T95" s="103">
        <f>IF(ISNUMBER(Комплектация!P97),Комплектация!P97,"")</f>
        <v/>
      </c>
      <c r="U95" s="103">
        <f>IF(ISNUMBER(Комплектация!N97),Комплектация!N97,"")</f>
        <v/>
      </c>
      <c r="V95" s="104">
        <f>IF(OR(U95="",T95="",U95=0),"",MAX(0,MIN(100,(U95-T95)/U95*100)))</f>
        <v/>
      </c>
      <c r="W95" s="104">
        <f>MAX(IF(S95="",0,S95),IF(V95="",0,V95))</f>
        <v/>
      </c>
      <c r="X95" s="105">
        <f>Параметры!$B$18*W95/100</f>
        <v/>
      </c>
      <c r="Y95" s="103">
        <f>IF(MIN(Комплектация!AA97,Комплектация!AB97)-Параметры!$B$15&lt;Параметры!$B$16,1,0)+IF(MIN(Комплектация!AK97,Комплектация!AL97)-Параметры!$B$15&lt;Параметры!$B$16,1,0)+IF(MIN(Комплектация!AU97,Комплектация!AV97)-Параметры!$B$15&lt;Параметры!$B$16,1,0)+IF(MIN(Комплектация!BE97,Комплектация!BF97)-Параметры!$B$15&lt;Параметры!$B$16,1,0)</f>
        <v/>
      </c>
      <c r="Z95" s="105">
        <f>Y95*Параметры!$B$19</f>
        <v/>
      </c>
      <c r="AA95" s="107">
        <f>MAX(0,P95-X95-Z95)</f>
        <v/>
      </c>
      <c r="AB95" s="108">
        <f>SUMIFS(Прайс!$D$3:$D$11,Прайс!$A$3:$A$11,B95,Прайс!$B$3:$B$11,C95)</f>
        <v/>
      </c>
      <c r="AC95" s="105">
        <f>IF(AB95="","",AB95-AA95)</f>
        <v/>
      </c>
      <c r="AD95" s="109" t="n">
        <v>1807411.724452555</v>
      </c>
    </row>
    <row r="96">
      <c r="A96" s="101">
        <f>Комплектация!A98</f>
        <v/>
      </c>
      <c r="B96" s="101">
        <f>Комплектация!C98</f>
        <v/>
      </c>
      <c r="C96" s="102">
        <f>Комплектация!E98</f>
        <v/>
      </c>
      <c r="D96" s="103" t="n">
        <v>2047</v>
      </c>
      <c r="E96" s="103">
        <f>IF(D96="",Параметры!$B$11,MAX(1,D96-C96))</f>
        <v/>
      </c>
      <c r="F96" s="103">
        <f>MAX(0,YEAR(Параметры!$B$2)-C96)</f>
        <v/>
      </c>
      <c r="G96" s="104">
        <f>MIN(100,F96/E96*100)</f>
        <v/>
      </c>
      <c r="H96" s="104">
        <f>100-G96</f>
        <v/>
      </c>
      <c r="I96" s="103">
        <f>AVERAGE(Комплектация!BJ98,Комплектация!BP98,Комплектация!BV98,Комплектация!CB98,Комплектация!CH98,Комплектация!CN98)</f>
        <v/>
      </c>
      <c r="J96" s="103">
        <f>MAX(0,YEAR(Параметры!$B$2)-I96)</f>
        <v/>
      </c>
      <c r="K96" s="104">
        <f>MIN(100,J96/Параметры!$B$12*100)</f>
        <v/>
      </c>
      <c r="L96" s="104">
        <f>100-K96</f>
        <v/>
      </c>
      <c r="M96" s="103">
        <f>MIN(Комплектация!AA98,Комплектация!AB98,Комплектация!AK98,Комплектация!AL98,Комплектация!AU98,Комплектация!AV98,Комплектация!BE98,Комплектация!BF98)</f>
        <v/>
      </c>
      <c r="N96" s="104">
        <f>AVERAGE((100-MAX(0,MIN(100,(Параметры!$B$13-MIN(Комплектация!AA98,Комплектация!AB98))/(Параметры!$B$13-Параметры!$B$14)*100))),(100-MAX(0,MIN(100,(Параметры!$B$13-MIN(Комплектация!AK98,Комплектация!AL98))/(Параметры!$B$13-Параметры!$B$14)*100))),(100-MAX(0,MIN(100,(Параметры!$B$13-MIN(Комплектация!AU98,Комплектация!AV98))/(Параметры!$B$13-Параметры!$B$14)*100))),(100-MAX(0,MIN(100,(Параметры!$B$13-MIN(Комплектация!BE98,Комплектация!BF98))/(Параметры!$B$13-Параметры!$B$14)*100))))</f>
        <v/>
      </c>
      <c r="O96" s="104">
        <f>AVERAGE(H96,L96)</f>
        <v/>
      </c>
      <c r="P96" s="105">
        <f>Параметры!$B$3*(Параметры!$B$5*H96+Параметры!$B$6*L96+Параметры!$B$7*N96+Параметры!$B$8*O96)/100</f>
        <v/>
      </c>
      <c r="Q96" s="106" t="n">
        <v>45502</v>
      </c>
      <c r="R96" s="106" t="n">
        <v>46597</v>
      </c>
      <c r="S96" s="104">
        <f>IF(OR(Q96="",R96="",R96=Q96),"",MAX(0,MIN(100,(Параметры!$B$2-Q96)/(R96-Q96)*100)))</f>
        <v/>
      </c>
      <c r="T96" s="103">
        <f>IF(ISNUMBER(Комплектация!P98),Комплектация!P98,"")</f>
        <v/>
      </c>
      <c r="U96" s="103">
        <f>IF(ISNUMBER(Комплектация!N98),Комплектация!N98,"")</f>
        <v/>
      </c>
      <c r="V96" s="104">
        <f>IF(OR(U96="",T96="",U96=0),"",MAX(0,MIN(100,(U96-T96)/U96*100)))</f>
        <v/>
      </c>
      <c r="W96" s="104">
        <f>MAX(IF(S96="",0,S96),IF(V96="",0,V96))</f>
        <v/>
      </c>
      <c r="X96" s="105">
        <f>Параметры!$B$18*W96/100</f>
        <v/>
      </c>
      <c r="Y96" s="103">
        <f>IF(MIN(Комплектация!AA98,Комплектация!AB98)-Параметры!$B$15&lt;Параметры!$B$16,1,0)+IF(MIN(Комплектация!AK98,Комплектация!AL98)-Параметры!$B$15&lt;Параметры!$B$16,1,0)+IF(MIN(Комплектация!AU98,Комплектация!AV98)-Параметры!$B$15&lt;Параметры!$B$16,1,0)+IF(MIN(Комплектация!BE98,Комплектация!BF98)-Параметры!$B$15&lt;Параметры!$B$16,1,0)</f>
        <v/>
      </c>
      <c r="Z96" s="105">
        <f>Y96*Параметры!$B$19</f>
        <v/>
      </c>
      <c r="AA96" s="107">
        <f>MAX(0,P96-X96-Z96)</f>
        <v/>
      </c>
      <c r="AB96" s="108">
        <f>SUMIFS(Прайс!$D$3:$D$11,Прайс!$A$3:$A$11,B96,Прайс!$B$3:$B$11,C96)</f>
        <v/>
      </c>
      <c r="AC96" s="105">
        <f>IF(AB96="","",AB96-AA96)</f>
        <v/>
      </c>
      <c r="AD96" s="109" t="n">
        <v>1642933.647260274</v>
      </c>
    </row>
    <row r="97">
      <c r="A97" s="101">
        <f>Комплектация!A99</f>
        <v/>
      </c>
      <c r="B97" s="101">
        <f>Комплектация!C99</f>
        <v/>
      </c>
      <c r="C97" s="102">
        <f>Комплектация!E99</f>
        <v/>
      </c>
      <c r="D97" s="103" t="n">
        <v>2043</v>
      </c>
      <c r="E97" s="103">
        <f>IF(D97="",Параметры!$B$11,MAX(1,D97-C97))</f>
        <v/>
      </c>
      <c r="F97" s="103">
        <f>MAX(0,YEAR(Параметры!$B$2)-C97)</f>
        <v/>
      </c>
      <c r="G97" s="104">
        <f>MIN(100,F97/E97*100)</f>
        <v/>
      </c>
      <c r="H97" s="104">
        <f>100-G97</f>
        <v/>
      </c>
      <c r="I97" s="103">
        <f>AVERAGE(Комплектация!BJ99,Комплектация!BP99,Комплектация!BV99,Комплектация!CB99,Комплектация!CH99,Комплектация!CN99)</f>
        <v/>
      </c>
      <c r="J97" s="103">
        <f>MAX(0,YEAR(Параметры!$B$2)-I97)</f>
        <v/>
      </c>
      <c r="K97" s="104">
        <f>MIN(100,J97/Параметры!$B$12*100)</f>
        <v/>
      </c>
      <c r="L97" s="104">
        <f>100-K97</f>
        <v/>
      </c>
      <c r="M97" s="103">
        <f>MIN(Комплектация!AA99,Комплектация!AB99,Комплектация!AK99,Комплектация!AL99,Комплектация!AU99,Комплектация!AV99,Комплектация!BE99,Комплектация!BF99)</f>
        <v/>
      </c>
      <c r="N97" s="104">
        <f>AVERAGE((100-MAX(0,MIN(100,(Параметры!$B$13-MIN(Комплектация!AA99,Комплектация!AB99))/(Параметры!$B$13-Параметры!$B$14)*100))),(100-MAX(0,MIN(100,(Параметры!$B$13-MIN(Комплектация!AK99,Комплектация!AL99))/(Параметры!$B$13-Параметры!$B$14)*100))),(100-MAX(0,MIN(100,(Параметры!$B$13-MIN(Комплектация!AU99,Комплектация!AV99))/(Параметры!$B$13-Параметры!$B$14)*100))),(100-MAX(0,MIN(100,(Параметры!$B$13-MIN(Комплектация!BE99,Комплектация!BF99))/(Параметры!$B$13-Параметры!$B$14)*100))))</f>
        <v/>
      </c>
      <c r="O97" s="104">
        <f>AVERAGE(H97,L97)</f>
        <v/>
      </c>
      <c r="P97" s="105">
        <f>Параметры!$B$3*(Параметры!$B$5*H97+Параметры!$B$6*L97+Параметры!$B$7*N97+Параметры!$B$8*O97)/100</f>
        <v/>
      </c>
      <c r="Q97" s="106" t="n">
        <v>46091</v>
      </c>
      <c r="R97" s="106" t="n">
        <v>47187</v>
      </c>
      <c r="S97" s="104">
        <f>IF(OR(Q97="",R97="",R97=Q97),"",MAX(0,MIN(100,(Параметры!$B$2-Q97)/(R97-Q97)*100)))</f>
        <v/>
      </c>
      <c r="T97" s="103">
        <f>IF(ISNUMBER(Комплектация!P99),Комплектация!P99,"")</f>
        <v/>
      </c>
      <c r="U97" s="103">
        <f>IF(ISNUMBER(Комплектация!N99),Комплектация!N99,"")</f>
        <v/>
      </c>
      <c r="V97" s="104">
        <f>IF(OR(U97="",T97="",U97=0),"",MAX(0,MIN(100,(U97-T97)/U97*100)))</f>
        <v/>
      </c>
      <c r="W97" s="104">
        <f>MAX(IF(S97="",0,S97),IF(V97="",0,V97))</f>
        <v/>
      </c>
      <c r="X97" s="105">
        <f>Параметры!$B$18*W97/100</f>
        <v/>
      </c>
      <c r="Y97" s="103">
        <f>IF(MIN(Комплектация!AA99,Комплектация!AB99)-Параметры!$B$15&lt;Параметры!$B$16,1,0)+IF(MIN(Комплектация!AK99,Комплектация!AL99)-Параметры!$B$15&lt;Параметры!$B$16,1,0)+IF(MIN(Комплектация!AU99,Комплектация!AV99)-Параметры!$B$15&lt;Параметры!$B$16,1,0)+IF(MIN(Комплектация!BE99,Комплектация!BF99)-Параметры!$B$15&lt;Параметры!$B$16,1,0)</f>
        <v/>
      </c>
      <c r="Z97" s="105">
        <f>Y97*Параметры!$B$19</f>
        <v/>
      </c>
      <c r="AA97" s="107">
        <f>MAX(0,P97-X97-Z97)</f>
        <v/>
      </c>
      <c r="AB97" s="108">
        <f>SUMIFS(Прайс!$D$3:$D$11,Прайс!$A$3:$A$11,B97,Прайс!$B$3:$B$11,C97)</f>
        <v/>
      </c>
      <c r="AC97" s="105">
        <f>IF(AB97="","",AB97-AA97)</f>
        <v/>
      </c>
      <c r="AD97" s="109" t="n">
        <v>3160239.27919708</v>
      </c>
    </row>
    <row r="98">
      <c r="A98" s="101">
        <f>Комплектация!A100</f>
        <v/>
      </c>
      <c r="B98" s="101">
        <f>Комплектация!C100</f>
        <v/>
      </c>
      <c r="C98" s="102">
        <f>Комплектация!E100</f>
        <v/>
      </c>
      <c r="D98" s="103" t="n">
        <v>2043</v>
      </c>
      <c r="E98" s="103">
        <f>IF(D98="",Параметры!$B$11,MAX(1,D98-C98))</f>
        <v/>
      </c>
      <c r="F98" s="103">
        <f>MAX(0,YEAR(Параметры!$B$2)-C98)</f>
        <v/>
      </c>
      <c r="G98" s="104">
        <f>MIN(100,F98/E98*100)</f>
        <v/>
      </c>
      <c r="H98" s="104">
        <f>100-G98</f>
        <v/>
      </c>
      <c r="I98" s="103">
        <f>AVERAGE(Комплектация!BJ100,Комплектация!BP100,Комплектация!BV100,Комплектация!CB100,Комплектация!CH100,Комплектация!CN100)</f>
        <v/>
      </c>
      <c r="J98" s="103">
        <f>MAX(0,YEAR(Параметры!$B$2)-I98)</f>
        <v/>
      </c>
      <c r="K98" s="104">
        <f>MIN(100,J98/Параметры!$B$12*100)</f>
        <v/>
      </c>
      <c r="L98" s="104">
        <f>100-K98</f>
        <v/>
      </c>
      <c r="M98" s="103">
        <f>MIN(Комплектация!AA100,Комплектация!AB100,Комплектация!AK100,Комплектация!AL100,Комплектация!AU100,Комплектация!AV100,Комплектация!BE100,Комплектация!BF100)</f>
        <v/>
      </c>
      <c r="N98" s="104">
        <f>AVERAGE((100-MAX(0,MIN(100,(Параметры!$B$13-MIN(Комплектация!AA100,Комплектация!AB100))/(Параметры!$B$13-Параметры!$B$14)*100))),(100-MAX(0,MIN(100,(Параметры!$B$13-MIN(Комплектация!AK100,Комплектация!AL100))/(Параметры!$B$13-Параметры!$B$14)*100))),(100-MAX(0,MIN(100,(Параметры!$B$13-MIN(Комплектация!AU100,Комплектация!AV100))/(Параметры!$B$13-Параметры!$B$14)*100))),(100-MAX(0,MIN(100,(Параметры!$B$13-MIN(Комплектация!BE100,Комплектация!BF100))/(Параметры!$B$13-Параметры!$B$14)*100))))</f>
        <v/>
      </c>
      <c r="O98" s="104">
        <f>AVERAGE(H98,L98)</f>
        <v/>
      </c>
      <c r="P98" s="105">
        <f>Параметры!$B$3*(Параметры!$B$5*H98+Параметры!$B$6*L98+Параметры!$B$7*N98+Параметры!$B$8*O98)/100</f>
        <v/>
      </c>
      <c r="Q98" s="106" t="n">
        <v>45959</v>
      </c>
      <c r="R98" s="106" t="n">
        <v>47055</v>
      </c>
      <c r="S98" s="104">
        <f>IF(OR(Q98="",R98="",R98=Q98),"",MAX(0,MIN(100,(Параметры!$B$2-Q98)/(R98-Q98)*100)))</f>
        <v/>
      </c>
      <c r="T98" s="103">
        <f>IF(ISNUMBER(Комплектация!P100),Комплектация!P100,"")</f>
        <v/>
      </c>
      <c r="U98" s="103">
        <f>IF(ISNUMBER(Комплектация!N100),Комплектация!N100,"")</f>
        <v/>
      </c>
      <c r="V98" s="104">
        <f>IF(OR(U98="",T98="",U98=0),"",MAX(0,MIN(100,(U98-T98)/U98*100)))</f>
        <v/>
      </c>
      <c r="W98" s="104">
        <f>MAX(IF(S98="",0,S98),IF(V98="",0,V98))</f>
        <v/>
      </c>
      <c r="X98" s="105">
        <f>Параметры!$B$18*W98/100</f>
        <v/>
      </c>
      <c r="Y98" s="103">
        <f>IF(MIN(Комплектация!AA100,Комплектация!AB100)-Параметры!$B$15&lt;Параметры!$B$16,1,0)+IF(MIN(Комплектация!AK100,Комплектация!AL100)-Параметры!$B$15&lt;Параметры!$B$16,1,0)+IF(MIN(Комплектация!AU100,Комплектация!AV100)-Параметры!$B$15&lt;Параметры!$B$16,1,0)+IF(MIN(Комплектация!BE100,Комплектация!BF100)-Параметры!$B$15&lt;Параметры!$B$16,1,0)</f>
        <v/>
      </c>
      <c r="Z98" s="105">
        <f>Y98*Параметры!$B$19</f>
        <v/>
      </c>
      <c r="AA98" s="107">
        <f>MAX(0,P98-X98-Z98)</f>
        <v/>
      </c>
      <c r="AB98" s="108">
        <f>SUMIFS(Прайс!$D$3:$D$11,Прайс!$A$3:$A$11,B98,Прайс!$B$3:$B$11,C98)</f>
        <v/>
      </c>
      <c r="AC98" s="105">
        <f>IF(AB98="","",AB98-AA98)</f>
        <v/>
      </c>
      <c r="AD98" s="109" t="n">
        <v>3098423.129562044</v>
      </c>
    </row>
    <row r="99">
      <c r="A99" s="101">
        <f>Комплектация!A101</f>
        <v/>
      </c>
      <c r="B99" s="101">
        <f>Комплектация!C101</f>
        <v/>
      </c>
      <c r="C99" s="102">
        <f>Комплектация!E101</f>
        <v/>
      </c>
      <c r="D99" s="103" t="n">
        <v>2043</v>
      </c>
      <c r="E99" s="103">
        <f>IF(D99="",Параметры!$B$11,MAX(1,D99-C99))</f>
        <v/>
      </c>
      <c r="F99" s="103">
        <f>MAX(0,YEAR(Параметры!$B$2)-C99)</f>
        <v/>
      </c>
      <c r="G99" s="104">
        <f>MIN(100,F99/E99*100)</f>
        <v/>
      </c>
      <c r="H99" s="104">
        <f>100-G99</f>
        <v/>
      </c>
      <c r="I99" s="103">
        <f>AVERAGE(Комплектация!BJ101,Комплектация!BP101,Комплектация!BV101,Комплектация!CB101,Комплектация!CH101,Комплектация!CN101)</f>
        <v/>
      </c>
      <c r="J99" s="103">
        <f>MAX(0,YEAR(Параметры!$B$2)-I99)</f>
        <v/>
      </c>
      <c r="K99" s="104">
        <f>MIN(100,J99/Параметры!$B$12*100)</f>
        <v/>
      </c>
      <c r="L99" s="104">
        <f>100-K99</f>
        <v/>
      </c>
      <c r="M99" s="103">
        <f>MIN(Комплектация!AA101,Комплектация!AB101,Комплектация!AK101,Комплектация!AL101,Комплектация!AU101,Комплектация!AV101,Комплектация!BE101,Комплектация!BF101)</f>
        <v/>
      </c>
      <c r="N99" s="104">
        <f>AVERAGE((100-MAX(0,MIN(100,(Параметры!$B$13-MIN(Комплектация!AA101,Комплектация!AB101))/(Параметры!$B$13-Параметры!$B$14)*100))),(100-MAX(0,MIN(100,(Параметры!$B$13-MIN(Комплектация!AK101,Комплектация!AL101))/(Параметры!$B$13-Параметры!$B$14)*100))),(100-MAX(0,MIN(100,(Параметры!$B$13-MIN(Комплектация!AU101,Комплектация!AV101))/(Параметры!$B$13-Параметры!$B$14)*100))),(100-MAX(0,MIN(100,(Параметры!$B$13-MIN(Комплектация!BE101,Комплектация!BF101))/(Параметры!$B$13-Параметры!$B$14)*100))))</f>
        <v/>
      </c>
      <c r="O99" s="104">
        <f>AVERAGE(H99,L99)</f>
        <v/>
      </c>
      <c r="P99" s="105">
        <f>Параметры!$B$3*(Параметры!$B$5*H99+Параметры!$B$6*L99+Параметры!$B$7*N99+Параметры!$B$8*O99)/100</f>
        <v/>
      </c>
      <c r="Q99" s="106" t="n">
        <v>45892</v>
      </c>
      <c r="R99" s="106" t="n">
        <v>46988</v>
      </c>
      <c r="S99" s="104">
        <f>IF(OR(Q99="",R99="",R99=Q99),"",MAX(0,MIN(100,(Параметры!$B$2-Q99)/(R99-Q99)*100)))</f>
        <v/>
      </c>
      <c r="T99" s="103">
        <f>IF(ISNUMBER(Комплектация!P101),Комплектация!P101,"")</f>
        <v/>
      </c>
      <c r="U99" s="103">
        <f>IF(ISNUMBER(Комплектация!N101),Комплектация!N101,"")</f>
        <v/>
      </c>
      <c r="V99" s="104">
        <f>IF(OR(U99="",T99="",U99=0),"",MAX(0,MIN(100,(U99-T99)/U99*100)))</f>
        <v/>
      </c>
      <c r="W99" s="104">
        <f>MAX(IF(S99="",0,S99),IF(V99="",0,V99))</f>
        <v/>
      </c>
      <c r="X99" s="105">
        <f>Параметры!$B$18*W99/100</f>
        <v/>
      </c>
      <c r="Y99" s="103">
        <f>IF(MIN(Комплектация!AA101,Комплектация!AB101)-Параметры!$B$15&lt;Параметры!$B$16,1,0)+IF(MIN(Комплектация!AK101,Комплектация!AL101)-Параметры!$B$15&lt;Параметры!$B$16,1,0)+IF(MIN(Комплектация!AU101,Комплектация!AV101)-Параметры!$B$15&lt;Параметры!$B$16,1,0)+IF(MIN(Комплектация!BE101,Комплектация!BF101)-Параметры!$B$15&lt;Параметры!$B$16,1,0)</f>
        <v/>
      </c>
      <c r="Z99" s="105">
        <f>Y99*Параметры!$B$19</f>
        <v/>
      </c>
      <c r="AA99" s="107">
        <f>MAX(0,P99-X99-Z99)</f>
        <v/>
      </c>
      <c r="AB99" s="108">
        <f>SUMIFS(Прайс!$D$3:$D$11,Прайс!$A$3:$A$11,B99,Прайс!$B$3:$B$11,C99)</f>
        <v/>
      </c>
      <c r="AC99" s="105">
        <f>IF(AB99="","",AB99-AA99)</f>
        <v/>
      </c>
      <c r="AD99" s="109" t="n">
        <v>3064184.534671532</v>
      </c>
    </row>
    <row r="100">
      <c r="A100" s="101">
        <f>Комплектация!A102</f>
        <v/>
      </c>
      <c r="B100" s="101">
        <f>Комплектация!C102</f>
        <v/>
      </c>
      <c r="C100" s="102">
        <f>Комплектация!E102</f>
        <v/>
      </c>
      <c r="D100" s="103" t="n">
        <v>2047</v>
      </c>
      <c r="E100" s="103">
        <f>IF(D100="",Параметры!$B$11,MAX(1,D100-C100))</f>
        <v/>
      </c>
      <c r="F100" s="103">
        <f>MAX(0,YEAR(Параметры!$B$2)-C100)</f>
        <v/>
      </c>
      <c r="G100" s="104">
        <f>MIN(100,F100/E100*100)</f>
        <v/>
      </c>
      <c r="H100" s="104">
        <f>100-G100</f>
        <v/>
      </c>
      <c r="I100" s="103">
        <f>AVERAGE(Комплектация!BJ102,Комплектация!BP102,Комплектация!BV102,Комплектация!CB102,Комплектация!CH102,Комплектация!CN102)</f>
        <v/>
      </c>
      <c r="J100" s="103">
        <f>MAX(0,YEAR(Параметры!$B$2)-I100)</f>
        <v/>
      </c>
      <c r="K100" s="104">
        <f>MIN(100,J100/Параметры!$B$12*100)</f>
        <v/>
      </c>
      <c r="L100" s="104">
        <f>100-K100</f>
        <v/>
      </c>
      <c r="M100" s="103">
        <f>MIN(Комплектация!AA102,Комплектация!AB102,Комплектация!AK102,Комплектация!AL102,Комплектация!AU102,Комплектация!AV102,Комплектация!BE102,Комплектация!BF102)</f>
        <v/>
      </c>
      <c r="N100" s="104">
        <f>AVERAGE((100-MAX(0,MIN(100,(Параметры!$B$13-MIN(Комплектация!AA102,Комплектация!AB102))/(Параметры!$B$13-Параметры!$B$14)*100))),(100-MAX(0,MIN(100,(Параметры!$B$13-MIN(Комплектация!AK102,Комплектация!AL102))/(Параметры!$B$13-Параметры!$B$14)*100))),(100-MAX(0,MIN(100,(Параметры!$B$13-MIN(Комплектация!AU102,Комплектация!AV102))/(Параметры!$B$13-Параметры!$B$14)*100))),(100-MAX(0,MIN(100,(Параметры!$B$13-MIN(Комплектация!BE102,Комплектация!BF102))/(Параметры!$B$13-Параметры!$B$14)*100))))</f>
        <v/>
      </c>
      <c r="O100" s="104">
        <f>AVERAGE(H100,L100)</f>
        <v/>
      </c>
      <c r="P100" s="105">
        <f>Параметры!$B$3*(Параметры!$B$5*H100+Параметры!$B$6*L100+Параметры!$B$7*N100+Параметры!$B$8*O100)/100</f>
        <v/>
      </c>
      <c r="Q100" s="106" t="n">
        <v>45893</v>
      </c>
      <c r="R100" s="106" t="n">
        <v>46989</v>
      </c>
      <c r="S100" s="104">
        <f>IF(OR(Q100="",R100="",R100=Q100),"",MAX(0,MIN(100,(Параметры!$B$2-Q100)/(R100-Q100)*100)))</f>
        <v/>
      </c>
      <c r="T100" s="103">
        <f>IF(ISNUMBER(Комплектация!P102),Комплектация!P102,"")</f>
        <v/>
      </c>
      <c r="U100" s="103">
        <f>IF(ISNUMBER(Комплектация!N102),Комплектация!N102,"")</f>
        <v/>
      </c>
      <c r="V100" s="104">
        <f>IF(OR(U100="",T100="",U100=0),"",MAX(0,MIN(100,(U100-T100)/U100*100)))</f>
        <v/>
      </c>
      <c r="W100" s="104">
        <f>MAX(IF(S100="",0,S100),IF(V100="",0,V100))</f>
        <v/>
      </c>
      <c r="X100" s="105">
        <f>Параметры!$B$18*W100/100</f>
        <v/>
      </c>
      <c r="Y100" s="103">
        <f>IF(MIN(Комплектация!AA102,Комплектация!AB102)-Параметры!$B$15&lt;Параметры!$B$16,1,0)+IF(MIN(Комплектация!AK102,Комплектация!AL102)-Параметры!$B$15&lt;Параметры!$B$16,1,0)+IF(MIN(Комплектация!AU102,Комплектация!AV102)-Параметры!$B$15&lt;Параметры!$B$16,1,0)+IF(MIN(Комплектация!BE102,Комплектация!BF102)-Параметры!$B$15&lt;Параметры!$B$16,1,0)</f>
        <v/>
      </c>
      <c r="Z100" s="105">
        <f>Y100*Параметры!$B$19</f>
        <v/>
      </c>
      <c r="AA100" s="107">
        <f>MAX(0,P100-X100-Z100)</f>
        <v/>
      </c>
      <c r="AB100" s="108">
        <f>SUMIFS(Прайс!$D$3:$D$11,Прайс!$A$3:$A$11,B100,Прайс!$B$3:$B$11,C100)</f>
        <v/>
      </c>
      <c r="AC100" s="105">
        <f>IF(AB100="","",AB100-AA100)</f>
        <v/>
      </c>
      <c r="AD100" s="109" t="n">
        <v>1820733.804744526</v>
      </c>
    </row>
    <row r="101">
      <c r="A101" s="101">
        <f>Комплектация!A103</f>
        <v/>
      </c>
      <c r="B101" s="101">
        <f>Комплектация!C103</f>
        <v/>
      </c>
      <c r="C101" s="102">
        <f>Комплектация!E103</f>
        <v/>
      </c>
      <c r="D101" s="103" t="n">
        <v>2047</v>
      </c>
      <c r="E101" s="103">
        <f>IF(D101="",Параметры!$B$11,MAX(1,D101-C101))</f>
        <v/>
      </c>
      <c r="F101" s="103">
        <f>MAX(0,YEAR(Параметры!$B$2)-C101)</f>
        <v/>
      </c>
      <c r="G101" s="104">
        <f>MIN(100,F101/E101*100)</f>
        <v/>
      </c>
      <c r="H101" s="104">
        <f>100-G101</f>
        <v/>
      </c>
      <c r="I101" s="103">
        <f>AVERAGE(Комплектация!BJ103,Комплектация!BP103,Комплектация!BV103,Комплектация!CB103,Комплектация!CH103,Комплектация!CN103)</f>
        <v/>
      </c>
      <c r="J101" s="103">
        <f>MAX(0,YEAR(Параметры!$B$2)-I101)</f>
        <v/>
      </c>
      <c r="K101" s="104">
        <f>MIN(100,J101/Параметры!$B$12*100)</f>
        <v/>
      </c>
      <c r="L101" s="104">
        <f>100-K101</f>
        <v/>
      </c>
      <c r="M101" s="103">
        <f>MIN(Комплектация!AA103,Комплектация!AB103,Комплектация!AK103,Комплектация!AL103,Комплектация!AU103,Комплектация!AV103,Комплектация!BE103,Комплектация!BF103)</f>
        <v/>
      </c>
      <c r="N101" s="104">
        <f>AVERAGE((100-MAX(0,MIN(100,(Параметры!$B$13-MIN(Комплектация!AA103,Комплектация!AB103))/(Параметры!$B$13-Параметры!$B$14)*100))),(100-MAX(0,MIN(100,(Параметры!$B$13-MIN(Комплектация!AK103,Комплектация!AL103))/(Параметры!$B$13-Параметры!$B$14)*100))),(100-MAX(0,MIN(100,(Параметры!$B$13-MIN(Комплектация!AU103,Комплектация!AV103))/(Параметры!$B$13-Параметры!$B$14)*100))),(100-MAX(0,MIN(100,(Параметры!$B$13-MIN(Комплектация!BE103,Комплектация!BF103))/(Параметры!$B$13-Параметры!$B$14)*100))))</f>
        <v/>
      </c>
      <c r="O101" s="104">
        <f>AVERAGE(H101,L101)</f>
        <v/>
      </c>
      <c r="P101" s="105">
        <f>Параметры!$B$3*(Параметры!$B$5*H101+Параметры!$B$6*L101+Параметры!$B$7*N101+Параметры!$B$8*O101)/100</f>
        <v/>
      </c>
      <c r="Q101" s="106" t="n">
        <v>45239</v>
      </c>
      <c r="R101" s="106" t="n">
        <v>46335</v>
      </c>
      <c r="S101" s="104">
        <f>IF(OR(Q101="",R101="",R101=Q101),"",MAX(0,MIN(100,(Параметры!$B$2-Q101)/(R101-Q101)*100)))</f>
        <v/>
      </c>
      <c r="T101" s="103">
        <f>IF(ISNUMBER(Комплектация!P103),Комплектация!P103,"")</f>
        <v/>
      </c>
      <c r="U101" s="103">
        <f>IF(ISNUMBER(Комплектация!N103),Комплектация!N103,"")</f>
        <v/>
      </c>
      <c r="V101" s="104">
        <f>IF(OR(U101="",T101="",U101=0),"",MAX(0,MIN(100,(U101-T101)/U101*100)))</f>
        <v/>
      </c>
      <c r="W101" s="104">
        <f>MAX(IF(S101="",0,S101),IF(V101="",0,V101))</f>
        <v/>
      </c>
      <c r="X101" s="105">
        <f>Параметры!$B$18*W101/100</f>
        <v/>
      </c>
      <c r="Y101" s="103">
        <f>IF(MIN(Комплектация!AA103,Комплектация!AB103)-Параметры!$B$15&lt;Параметры!$B$16,1,0)+IF(MIN(Комплектация!AK103,Комплектация!AL103)-Параметры!$B$15&lt;Параметры!$B$16,1,0)+IF(MIN(Комплектация!AU103,Комплектация!AV103)-Параметры!$B$15&lt;Параметры!$B$16,1,0)+IF(MIN(Комплектация!BE103,Комплектация!BF103)-Параметры!$B$15&lt;Параметры!$B$16,1,0)</f>
        <v/>
      </c>
      <c r="Z101" s="105">
        <f>Y101*Параметры!$B$19</f>
        <v/>
      </c>
      <c r="AA101" s="107">
        <f>MAX(0,P101-X101-Z101)</f>
        <v/>
      </c>
      <c r="AB101" s="108">
        <f>SUMIFS(Прайс!$D$3:$D$11,Прайс!$A$3:$A$11,B101,Прайс!$B$3:$B$11,C101)</f>
        <v/>
      </c>
      <c r="AC101" s="105">
        <f>IF(AB101="","",AB101-AA101)</f>
        <v/>
      </c>
      <c r="AD101" s="109" t="n">
        <v>1543261.177007299</v>
      </c>
    </row>
    <row r="102">
      <c r="A102" s="101">
        <f>Комплектация!A104</f>
        <v/>
      </c>
      <c r="B102" s="101">
        <f>Комплектация!C104</f>
        <v/>
      </c>
      <c r="C102" s="102">
        <f>Комплектация!E104</f>
        <v/>
      </c>
      <c r="D102" s="103" t="n">
        <v>2044</v>
      </c>
      <c r="E102" s="103">
        <f>IF(D102="",Параметры!$B$11,MAX(1,D102-C102))</f>
        <v/>
      </c>
      <c r="F102" s="103">
        <f>MAX(0,YEAR(Параметры!$B$2)-C102)</f>
        <v/>
      </c>
      <c r="G102" s="104">
        <f>MIN(100,F102/E102*100)</f>
        <v/>
      </c>
      <c r="H102" s="104">
        <f>100-G102</f>
        <v/>
      </c>
      <c r="I102" s="103">
        <f>AVERAGE(Комплектация!BJ104,Комплектация!BP104,Комплектация!BV104,Комплектация!CB104,Комплектация!CH104,Комплектация!CN104)</f>
        <v/>
      </c>
      <c r="J102" s="103">
        <f>MAX(0,YEAR(Параметры!$B$2)-I102)</f>
        <v/>
      </c>
      <c r="K102" s="104">
        <f>MIN(100,J102/Параметры!$B$12*100)</f>
        <v/>
      </c>
      <c r="L102" s="104">
        <f>100-K102</f>
        <v/>
      </c>
      <c r="M102" s="103">
        <f>MIN(Комплектация!AA104,Комплектация!AB104,Комплектация!AK104,Комплектация!AL104,Комплектация!AU104,Комплектация!AV104,Комплектация!BE104,Комплектация!BF104)</f>
        <v/>
      </c>
      <c r="N102" s="104">
        <f>AVERAGE((100-MAX(0,MIN(100,(Параметры!$B$13-MIN(Комплектация!AA104,Комплектация!AB104))/(Параметры!$B$13-Параметры!$B$14)*100))),(100-MAX(0,MIN(100,(Параметры!$B$13-MIN(Комплектация!AK104,Комплектация!AL104))/(Параметры!$B$13-Параметры!$B$14)*100))),(100-MAX(0,MIN(100,(Параметры!$B$13-MIN(Комплектация!AU104,Комплектация!AV104))/(Параметры!$B$13-Параметры!$B$14)*100))),(100-MAX(0,MIN(100,(Параметры!$B$13-MIN(Комплектация!BE104,Комплектация!BF104))/(Параметры!$B$13-Параметры!$B$14)*100))))</f>
        <v/>
      </c>
      <c r="O102" s="104">
        <f>AVERAGE(H102,L102)</f>
        <v/>
      </c>
      <c r="P102" s="105">
        <f>Параметры!$B$3*(Параметры!$B$5*H102+Параметры!$B$6*L102+Параметры!$B$7*N102+Параметры!$B$8*O102)/100</f>
        <v/>
      </c>
      <c r="Q102" s="106" t="n">
        <v>45880</v>
      </c>
      <c r="R102" s="106" t="n">
        <v>46610</v>
      </c>
      <c r="S102" s="104">
        <f>IF(OR(Q102="",R102="",R102=Q102),"",MAX(0,MIN(100,(Параметры!$B$2-Q102)/(R102-Q102)*100)))</f>
        <v/>
      </c>
      <c r="T102" s="103">
        <f>IF(ISNUMBER(Комплектация!P104),Комплектация!P104,"")</f>
        <v/>
      </c>
      <c r="U102" s="103">
        <f>IF(ISNUMBER(Комплектация!N104),Комплектация!N104,"")</f>
        <v/>
      </c>
      <c r="V102" s="104">
        <f>IF(OR(U102="",T102="",U102=0),"",MAX(0,MIN(100,(U102-T102)/U102*100)))</f>
        <v/>
      </c>
      <c r="W102" s="104">
        <f>MAX(IF(S102="",0,S102),IF(V102="",0,V102))</f>
        <v/>
      </c>
      <c r="X102" s="105">
        <f>Параметры!$B$18*W102/100</f>
        <v/>
      </c>
      <c r="Y102" s="103">
        <f>IF(MIN(Комплектация!AA104,Комплектация!AB104)-Параметры!$B$15&lt;Параметры!$B$16,1,0)+IF(MIN(Комплектация!AK104,Комплектация!AL104)-Параметры!$B$15&lt;Параметры!$B$16,1,0)+IF(MIN(Комплектация!AU104,Комплектация!AV104)-Параметры!$B$15&lt;Параметры!$B$16,1,0)+IF(MIN(Комплектация!BE104,Комплектация!BF104)-Параметры!$B$15&lt;Параметры!$B$16,1,0)</f>
        <v/>
      </c>
      <c r="Z102" s="105">
        <f>Y102*Параметры!$B$19</f>
        <v/>
      </c>
      <c r="AA102" s="107">
        <f>MAX(0,P102-X102-Z102)</f>
        <v/>
      </c>
      <c r="AB102" s="108">
        <f>SUMIFS(Прайс!$D$3:$D$11,Прайс!$A$3:$A$11,B102,Прайс!$B$3:$B$11,C102)</f>
        <v/>
      </c>
      <c r="AC102" s="105">
        <f>IF(AB102="","",AB102-AA102)</f>
        <v/>
      </c>
      <c r="AD102" s="109" t="n">
        <v>1468571.917808219</v>
      </c>
    </row>
    <row r="103">
      <c r="A103" s="101">
        <f>Комплектация!A105</f>
        <v/>
      </c>
      <c r="B103" s="101">
        <f>Комплектация!C105</f>
        <v/>
      </c>
      <c r="C103" s="102">
        <f>Комплектация!E105</f>
        <v/>
      </c>
      <c r="D103" s="103" t="n">
        <v>2043</v>
      </c>
      <c r="E103" s="103">
        <f>IF(D103="",Параметры!$B$11,MAX(1,D103-C103))</f>
        <v/>
      </c>
      <c r="F103" s="103">
        <f>MAX(0,YEAR(Параметры!$B$2)-C103)</f>
        <v/>
      </c>
      <c r="G103" s="104">
        <f>MIN(100,F103/E103*100)</f>
        <v/>
      </c>
      <c r="H103" s="104">
        <f>100-G103</f>
        <v/>
      </c>
      <c r="I103" s="103">
        <f>AVERAGE(Комплектация!BJ105,Комплектация!BP105,Комплектация!BV105,Комплектация!CB105,Комплектация!CH105,Комплектация!CN105)</f>
        <v/>
      </c>
      <c r="J103" s="103">
        <f>MAX(0,YEAR(Параметры!$B$2)-I103)</f>
        <v/>
      </c>
      <c r="K103" s="104">
        <f>MIN(100,J103/Параметры!$B$12*100)</f>
        <v/>
      </c>
      <c r="L103" s="104">
        <f>100-K103</f>
        <v/>
      </c>
      <c r="M103" s="103">
        <f>MIN(Комплектация!AA105,Комплектация!AB105,Комплектация!AK105,Комплектация!AL105,Комплектация!AU105,Комплектация!AV105,Комплектация!BE105,Комплектация!BF105)</f>
        <v/>
      </c>
      <c r="N103" s="104">
        <f>AVERAGE((100-MAX(0,MIN(100,(Параметры!$B$13-MIN(Комплектация!AA105,Комплектация!AB105))/(Параметры!$B$13-Параметры!$B$14)*100))),(100-MAX(0,MIN(100,(Параметры!$B$13-MIN(Комплектация!AK105,Комплектация!AL105))/(Параметры!$B$13-Параметры!$B$14)*100))),(100-MAX(0,MIN(100,(Параметры!$B$13-MIN(Комплектация!AU105,Комплектация!AV105))/(Параметры!$B$13-Параметры!$B$14)*100))),(100-MAX(0,MIN(100,(Параметры!$B$13-MIN(Комплектация!BE105,Комплектация!BF105))/(Параметры!$B$13-Параметры!$B$14)*100))))</f>
        <v/>
      </c>
      <c r="O103" s="104">
        <f>AVERAGE(H103,L103)</f>
        <v/>
      </c>
      <c r="P103" s="105">
        <f>Параметры!$B$3*(Параметры!$B$5*H103+Параметры!$B$6*L103+Параметры!$B$7*N103+Параметры!$B$8*O103)/100</f>
        <v/>
      </c>
      <c r="Q103" s="106" t="n">
        <v>45959</v>
      </c>
      <c r="R103" s="106" t="n">
        <v>47055</v>
      </c>
      <c r="S103" s="104">
        <f>IF(OR(Q103="",R103="",R103=Q103),"",MAX(0,MIN(100,(Параметры!$B$2-Q103)/(R103-Q103)*100)))</f>
        <v/>
      </c>
      <c r="T103" s="103">
        <f>IF(ISNUMBER(Комплектация!P105),Комплектация!P105,"")</f>
        <v/>
      </c>
      <c r="U103" s="103">
        <f>IF(ISNUMBER(Комплектация!N105),Комплектация!N105,"")</f>
        <v/>
      </c>
      <c r="V103" s="104">
        <f>IF(OR(U103="",T103="",U103=0),"",MAX(0,MIN(100,(U103-T103)/U103*100)))</f>
        <v/>
      </c>
      <c r="W103" s="104">
        <f>MAX(IF(S103="",0,S103),IF(V103="",0,V103))</f>
        <v/>
      </c>
      <c r="X103" s="105">
        <f>Параметры!$B$18*W103/100</f>
        <v/>
      </c>
      <c r="Y103" s="103">
        <f>IF(MIN(Комплектация!AA105,Комплектация!AB105)-Параметры!$B$15&lt;Параметры!$B$16,1,0)+IF(MIN(Комплектация!AK105,Комплектация!AL105)-Параметры!$B$15&lt;Параметры!$B$16,1,0)+IF(MIN(Комплектация!AU105,Комплектация!AV105)-Параметры!$B$15&lt;Параметры!$B$16,1,0)+IF(MIN(Комплектация!BE105,Комплектация!BF105)-Параметры!$B$15&lt;Параметры!$B$16,1,0)</f>
        <v/>
      </c>
      <c r="Z103" s="105">
        <f>Y103*Параметры!$B$19</f>
        <v/>
      </c>
      <c r="AA103" s="107">
        <f>MAX(0,P103-X103-Z103)</f>
        <v/>
      </c>
      <c r="AB103" s="108">
        <f>SUMIFS(Прайс!$D$3:$D$11,Прайс!$A$3:$A$11,B103,Прайс!$B$3:$B$11,C103)</f>
        <v/>
      </c>
      <c r="AC103" s="105">
        <f>IF(AB103="","",AB103-AA103)</f>
        <v/>
      </c>
      <c r="AD103" s="109" t="n">
        <v>3110048.129562044</v>
      </c>
    </row>
    <row r="104">
      <c r="A104" s="101">
        <f>Комплектация!A106</f>
        <v/>
      </c>
      <c r="B104" s="101">
        <f>Комплектация!C106</f>
        <v/>
      </c>
      <c r="C104" s="102">
        <f>Комплектация!E106</f>
        <v/>
      </c>
      <c r="D104" s="103" t="n">
        <v>2047</v>
      </c>
      <c r="E104" s="103">
        <f>IF(D104="",Параметры!$B$11,MAX(1,D104-C104))</f>
        <v/>
      </c>
      <c r="F104" s="103">
        <f>MAX(0,YEAR(Параметры!$B$2)-C104)</f>
        <v/>
      </c>
      <c r="G104" s="104">
        <f>MIN(100,F104/E104*100)</f>
        <v/>
      </c>
      <c r="H104" s="104">
        <f>100-G104</f>
        <v/>
      </c>
      <c r="I104" s="103">
        <f>AVERAGE(Комплектация!BJ106,Комплектация!BP106,Комплектация!BV106,Комплектация!CB106,Комплектация!CH106,Комплектация!CN106)</f>
        <v/>
      </c>
      <c r="J104" s="103">
        <f>MAX(0,YEAR(Параметры!$B$2)-I104)</f>
        <v/>
      </c>
      <c r="K104" s="104">
        <f>MIN(100,J104/Параметры!$B$12*100)</f>
        <v/>
      </c>
      <c r="L104" s="104">
        <f>100-K104</f>
        <v/>
      </c>
      <c r="M104" s="103">
        <f>MIN(Комплектация!AA106,Комплектация!AB106,Комплектация!AK106,Комплектация!AL106,Комплектация!AU106,Комплектация!AV106,Комплектация!BE106,Комплектация!BF106)</f>
        <v/>
      </c>
      <c r="N104" s="104">
        <f>AVERAGE((100-MAX(0,MIN(100,(Параметры!$B$13-MIN(Комплектация!AA106,Комплектация!AB106))/(Параметры!$B$13-Параметры!$B$14)*100))),(100-MAX(0,MIN(100,(Параметры!$B$13-MIN(Комплектация!AK106,Комплектация!AL106))/(Параметры!$B$13-Параметры!$B$14)*100))),(100-MAX(0,MIN(100,(Параметры!$B$13-MIN(Комплектация!AU106,Комплектация!AV106))/(Параметры!$B$13-Параметры!$B$14)*100))),(100-MAX(0,MIN(100,(Параметры!$B$13-MIN(Комплектация!BE106,Комплектация!BF106))/(Параметры!$B$13-Параметры!$B$14)*100))))</f>
        <v/>
      </c>
      <c r="O104" s="104">
        <f>AVERAGE(H104,L104)</f>
        <v/>
      </c>
      <c r="P104" s="105">
        <f>Параметры!$B$3*(Параметры!$B$5*H104+Параметры!$B$6*L104+Параметры!$B$7*N104+Параметры!$B$8*O104)/100</f>
        <v/>
      </c>
      <c r="Q104" s="106" t="n">
        <v>45874</v>
      </c>
      <c r="R104" s="106" t="n">
        <v>46970</v>
      </c>
      <c r="S104" s="104">
        <f>IF(OR(Q104="",R104="",R104=Q104),"",MAX(0,MIN(100,(Параметры!$B$2-Q104)/(R104-Q104)*100)))</f>
        <v/>
      </c>
      <c r="T104" s="103">
        <f>IF(ISNUMBER(Комплектация!P106),Комплектация!P106,"")</f>
        <v/>
      </c>
      <c r="U104" s="103">
        <f>IF(ISNUMBER(Комплектация!N106),Комплектация!N106,"")</f>
        <v/>
      </c>
      <c r="V104" s="104">
        <f>IF(OR(U104="",T104="",U104=0),"",MAX(0,MIN(100,(U104-T104)/U104*100)))</f>
        <v/>
      </c>
      <c r="W104" s="104">
        <f>MAX(IF(S104="",0,S104),IF(V104="",0,V104))</f>
        <v/>
      </c>
      <c r="X104" s="105">
        <f>Параметры!$B$18*W104/100</f>
        <v/>
      </c>
      <c r="Y104" s="103">
        <f>IF(MIN(Комплектация!AA106,Комплектация!AB106)-Параметры!$B$15&lt;Параметры!$B$16,1,0)+IF(MIN(Комплектация!AK106,Комплектация!AL106)-Параметры!$B$15&lt;Параметры!$B$16,1,0)+IF(MIN(Комплектация!AU106,Комплектация!AV106)-Параметры!$B$15&lt;Параметры!$B$16,1,0)+IF(MIN(Комплектация!BE106,Комплектация!BF106)-Параметры!$B$15&lt;Параметры!$B$16,1,0)</f>
        <v/>
      </c>
      <c r="Z104" s="105">
        <f>Y104*Параметры!$B$19</f>
        <v/>
      </c>
      <c r="AA104" s="107">
        <f>MAX(0,P104-X104-Z104)</f>
        <v/>
      </c>
      <c r="AB104" s="108">
        <f>SUMIFS(Прайс!$D$3:$D$11,Прайс!$A$3:$A$11,B104,Прайс!$B$3:$B$11,C104)</f>
        <v/>
      </c>
      <c r="AC104" s="105">
        <f>IF(AB104="","",AB104-AA104)</f>
        <v/>
      </c>
      <c r="AD104" s="109" t="n">
        <v>3323922.673357664</v>
      </c>
    </row>
    <row r="105">
      <c r="A105" s="101">
        <f>Комплектация!A107</f>
        <v/>
      </c>
      <c r="B105" s="101">
        <f>Комплектация!C107</f>
        <v/>
      </c>
      <c r="C105" s="102">
        <f>Комплектация!E107</f>
        <v/>
      </c>
      <c r="D105" s="103" t="n">
        <v>2043</v>
      </c>
      <c r="E105" s="103">
        <f>IF(D105="",Параметры!$B$11,MAX(1,D105-C105))</f>
        <v/>
      </c>
      <c r="F105" s="103">
        <f>MAX(0,YEAR(Параметры!$B$2)-C105)</f>
        <v/>
      </c>
      <c r="G105" s="104">
        <f>MIN(100,F105/E105*100)</f>
        <v/>
      </c>
      <c r="H105" s="104">
        <f>100-G105</f>
        <v/>
      </c>
      <c r="I105" s="103">
        <f>AVERAGE(Комплектация!BJ107,Комплектация!BP107,Комплектация!BV107,Комплектация!CB107,Комплектация!CH107,Комплектация!CN107)</f>
        <v/>
      </c>
      <c r="J105" s="103">
        <f>MAX(0,YEAR(Параметры!$B$2)-I105)</f>
        <v/>
      </c>
      <c r="K105" s="104">
        <f>MIN(100,J105/Параметры!$B$12*100)</f>
        <v/>
      </c>
      <c r="L105" s="104">
        <f>100-K105</f>
        <v/>
      </c>
      <c r="M105" s="103">
        <f>MIN(Комплектация!AA107,Комплектация!AB107,Комплектация!AK107,Комплектация!AL107,Комплектация!AU107,Комплектация!AV107,Комплектация!BE107,Комплектация!BF107)</f>
        <v/>
      </c>
      <c r="N105" s="104">
        <f>AVERAGE((100-MAX(0,MIN(100,(Параметры!$B$13-MIN(Комплектация!AA107,Комплектация!AB107))/(Параметры!$B$13-Параметры!$B$14)*100))),(100-MAX(0,MIN(100,(Параметры!$B$13-MIN(Комплектация!AK107,Комплектация!AL107))/(Параметры!$B$13-Параметры!$B$14)*100))),(100-MAX(0,MIN(100,(Параметры!$B$13-MIN(Комплектация!AU107,Комплектация!AV107))/(Параметры!$B$13-Параметры!$B$14)*100))),(100-MAX(0,MIN(100,(Параметры!$B$13-MIN(Комплектация!BE107,Комплектация!BF107))/(Параметры!$B$13-Параметры!$B$14)*100))))</f>
        <v/>
      </c>
      <c r="O105" s="104">
        <f>AVERAGE(H105,L105)</f>
        <v/>
      </c>
      <c r="P105" s="105">
        <f>Параметры!$B$3*(Параметры!$B$5*H105+Параметры!$B$6*L105+Параметры!$B$7*N105+Параметры!$B$8*O105)/100</f>
        <v/>
      </c>
      <c r="Q105" s="106" t="n">
        <v>45950</v>
      </c>
      <c r="R105" s="106" t="n">
        <v>47046</v>
      </c>
      <c r="S105" s="104">
        <f>IF(OR(Q105="",R105="",R105=Q105),"",MAX(0,MIN(100,(Параметры!$B$2-Q105)/(R105-Q105)*100)))</f>
        <v/>
      </c>
      <c r="T105" s="103">
        <f>IF(ISNUMBER(Комплектация!P107),Комплектация!P107,"")</f>
        <v/>
      </c>
      <c r="U105" s="103">
        <f>IF(ISNUMBER(Комплектация!N107),Комплектация!N107,"")</f>
        <v/>
      </c>
      <c r="V105" s="104">
        <f>IF(OR(U105="",T105="",U105=0),"",MAX(0,MIN(100,(U105-T105)/U105*100)))</f>
        <v/>
      </c>
      <c r="W105" s="104">
        <f>MAX(IF(S105="",0,S105),IF(V105="",0,V105))</f>
        <v/>
      </c>
      <c r="X105" s="105">
        <f>Параметры!$B$18*W105/100</f>
        <v/>
      </c>
      <c r="Y105" s="103">
        <f>IF(MIN(Комплектация!AA107,Комплектация!AB107)-Параметры!$B$15&lt;Параметры!$B$16,1,0)+IF(MIN(Комплектация!AK107,Комплектация!AL107)-Параметры!$B$15&lt;Параметры!$B$16,1,0)+IF(MIN(Комплектация!AU107,Комплектация!AV107)-Параметры!$B$15&lt;Параметры!$B$16,1,0)+IF(MIN(Комплектация!BE107,Комплектация!BF107)-Параметры!$B$15&lt;Параметры!$B$16,1,0)</f>
        <v/>
      </c>
      <c r="Z105" s="105">
        <f>Y105*Параметры!$B$19</f>
        <v/>
      </c>
      <c r="AA105" s="107">
        <f>MAX(0,P105-X105-Z105)</f>
        <v/>
      </c>
      <c r="AB105" s="108">
        <f>SUMIFS(Прайс!$D$3:$D$11,Прайс!$A$3:$A$11,B105,Прайс!$B$3:$B$11,C105)</f>
        <v/>
      </c>
      <c r="AC105" s="105">
        <f>IF(AB105="","",AB105-AA105)</f>
        <v/>
      </c>
      <c r="AD105" s="109" t="n">
        <v>3100417.198905109</v>
      </c>
    </row>
    <row r="106">
      <c r="A106" s="101">
        <f>Комплектация!A108</f>
        <v/>
      </c>
      <c r="B106" s="101">
        <f>Комплектация!C108</f>
        <v/>
      </c>
      <c r="C106" s="102">
        <f>Комплектация!E108</f>
        <v/>
      </c>
      <c r="D106" s="103" t="n">
        <v>2043</v>
      </c>
      <c r="E106" s="103">
        <f>IF(D106="",Параметры!$B$11,MAX(1,D106-C106))</f>
        <v/>
      </c>
      <c r="F106" s="103">
        <f>MAX(0,YEAR(Параметры!$B$2)-C106)</f>
        <v/>
      </c>
      <c r="G106" s="104">
        <f>MIN(100,F106/E106*100)</f>
        <v/>
      </c>
      <c r="H106" s="104">
        <f>100-G106</f>
        <v/>
      </c>
      <c r="I106" s="103">
        <f>AVERAGE(Комплектация!BJ108,Комплектация!BP108,Комплектация!BV108,Комплектация!CB108,Комплектация!CH108,Комплектация!CN108)</f>
        <v/>
      </c>
      <c r="J106" s="103">
        <f>MAX(0,YEAR(Параметры!$B$2)-I106)</f>
        <v/>
      </c>
      <c r="K106" s="104">
        <f>MIN(100,J106/Параметры!$B$12*100)</f>
        <v/>
      </c>
      <c r="L106" s="104">
        <f>100-K106</f>
        <v/>
      </c>
      <c r="M106" s="103">
        <f>MIN(Комплектация!AA108,Комплектация!AB108,Комплектация!AK108,Комплектация!AL108,Комплектация!AU108,Комплектация!AV108,Комплектация!BE108,Комплектация!BF108)</f>
        <v/>
      </c>
      <c r="N106" s="104">
        <f>AVERAGE((100-MAX(0,MIN(100,(Параметры!$B$13-MIN(Комплектация!AA108,Комплектация!AB108))/(Параметры!$B$13-Параметры!$B$14)*100))),(100-MAX(0,MIN(100,(Параметры!$B$13-MIN(Комплектация!AK108,Комплектация!AL108))/(Параметры!$B$13-Параметры!$B$14)*100))),(100-MAX(0,MIN(100,(Параметры!$B$13-MIN(Комплектация!AU108,Комплектация!AV108))/(Параметры!$B$13-Параметры!$B$14)*100))),(100-MAX(0,MIN(100,(Параметры!$B$13-MIN(Комплектация!BE108,Комплектация!BF108))/(Параметры!$B$13-Параметры!$B$14)*100))))</f>
        <v/>
      </c>
      <c r="O106" s="104">
        <f>AVERAGE(H106,L106)</f>
        <v/>
      </c>
      <c r="P106" s="105">
        <f>Параметры!$B$3*(Параметры!$B$5*H106+Параметры!$B$6*L106+Параметры!$B$7*N106+Параметры!$B$8*O106)/100</f>
        <v/>
      </c>
      <c r="Q106" s="106" t="n">
        <v>45866</v>
      </c>
      <c r="R106" s="106" t="n">
        <v>46596</v>
      </c>
      <c r="S106" s="104">
        <f>IF(OR(Q106="",R106="",R106=Q106),"",MAX(0,MIN(100,(Параметры!$B$2-Q106)/(R106-Q106)*100)))</f>
        <v/>
      </c>
      <c r="T106" s="103">
        <f>IF(ISNUMBER(Комплектация!P108),Комплектация!P108,"")</f>
        <v/>
      </c>
      <c r="U106" s="103">
        <f>IF(ISNUMBER(Комплектация!N108),Комплектация!N108,"")</f>
        <v/>
      </c>
      <c r="V106" s="104">
        <f>IF(OR(U106="",T106="",U106=0),"",MAX(0,MIN(100,(U106-T106)/U106*100)))</f>
        <v/>
      </c>
      <c r="W106" s="104">
        <f>MAX(IF(S106="",0,S106),IF(V106="",0,V106))</f>
        <v/>
      </c>
      <c r="X106" s="105">
        <f>Параметры!$B$18*W106/100</f>
        <v/>
      </c>
      <c r="Y106" s="103">
        <f>IF(MIN(Комплектация!AA108,Комплектация!AB108)-Параметры!$B$15&lt;Параметры!$B$16,1,0)+IF(MIN(Комплектация!AK108,Комплектация!AL108)-Параметры!$B$15&lt;Параметры!$B$16,1,0)+IF(MIN(Комплектация!AU108,Комплектация!AV108)-Параметры!$B$15&lt;Параметры!$B$16,1,0)+IF(MIN(Комплектация!BE108,Комплектация!BF108)-Параметры!$B$15&lt;Параметры!$B$16,1,0)</f>
        <v/>
      </c>
      <c r="Z106" s="105">
        <f>Y106*Параметры!$B$19</f>
        <v/>
      </c>
      <c r="AA106" s="107">
        <f>MAX(0,P106-X106-Z106)</f>
        <v/>
      </c>
      <c r="AB106" s="108">
        <f>SUMIFS(Прайс!$D$3:$D$11,Прайс!$A$3:$A$11,B106,Прайс!$B$3:$B$11,C106)</f>
        <v/>
      </c>
      <c r="AC106" s="105">
        <f>IF(AB106="","",AB106-AA106)</f>
        <v/>
      </c>
      <c r="AD106" s="109" t="n">
        <v>2857560.359589042</v>
      </c>
    </row>
    <row r="107">
      <c r="A107" s="101">
        <f>Комплектация!A109</f>
        <v/>
      </c>
      <c r="B107" s="101">
        <f>Комплектация!C109</f>
        <v/>
      </c>
      <c r="C107" s="102">
        <f>Комплектация!E109</f>
        <v/>
      </c>
      <c r="D107" s="103" t="n">
        <v>2043</v>
      </c>
      <c r="E107" s="103">
        <f>IF(D107="",Параметры!$B$11,MAX(1,D107-C107))</f>
        <v/>
      </c>
      <c r="F107" s="103">
        <f>MAX(0,YEAR(Параметры!$B$2)-C107)</f>
        <v/>
      </c>
      <c r="G107" s="104">
        <f>MIN(100,F107/E107*100)</f>
        <v/>
      </c>
      <c r="H107" s="104">
        <f>100-G107</f>
        <v/>
      </c>
      <c r="I107" s="103">
        <f>AVERAGE(Комплектация!BJ109,Комплектация!BP109,Комплектация!BV109,Комплектация!CB109,Комплектация!CH109,Комплектация!CN109)</f>
        <v/>
      </c>
      <c r="J107" s="103">
        <f>MAX(0,YEAR(Параметры!$B$2)-I107)</f>
        <v/>
      </c>
      <c r="K107" s="104">
        <f>MIN(100,J107/Параметры!$B$12*100)</f>
        <v/>
      </c>
      <c r="L107" s="104">
        <f>100-K107</f>
        <v/>
      </c>
      <c r="M107" s="103">
        <f>MIN(Комплектация!AA109,Комплектация!AB109,Комплектация!AK109,Комплектация!AL109,Комплектация!AU109,Комплектация!AV109,Комплектация!BE109,Комплектация!BF109)</f>
        <v/>
      </c>
      <c r="N107" s="104">
        <f>AVERAGE((100-MAX(0,MIN(100,(Параметры!$B$13-MIN(Комплектация!AA109,Комплектация!AB109))/(Параметры!$B$13-Параметры!$B$14)*100))),(100-MAX(0,MIN(100,(Параметры!$B$13-MIN(Комплектация!AK109,Комплектация!AL109))/(Параметры!$B$13-Параметры!$B$14)*100))),(100-MAX(0,MIN(100,(Параметры!$B$13-MIN(Комплектация!AU109,Комплектация!AV109))/(Параметры!$B$13-Параметры!$B$14)*100))),(100-MAX(0,MIN(100,(Параметры!$B$13-MIN(Комплектация!BE109,Комплектация!BF109))/(Параметры!$B$13-Параметры!$B$14)*100))))</f>
        <v/>
      </c>
      <c r="O107" s="104">
        <f>AVERAGE(H107,L107)</f>
        <v/>
      </c>
      <c r="P107" s="105">
        <f>Параметры!$B$3*(Параметры!$B$5*H107+Параметры!$B$6*L107+Параметры!$B$7*N107+Параметры!$B$8*O107)/100</f>
        <v/>
      </c>
      <c r="Q107" s="106" t="n">
        <v>46156</v>
      </c>
      <c r="R107" s="106" t="n">
        <v>47252</v>
      </c>
      <c r="S107" s="104">
        <f>IF(OR(Q107="",R107="",R107=Q107),"",MAX(0,MIN(100,(Параметры!$B$2-Q107)/(R107-Q107)*100)))</f>
        <v/>
      </c>
      <c r="T107" s="103">
        <f>IF(ISNUMBER(Комплектация!P109),Комплектация!P109,"")</f>
        <v/>
      </c>
      <c r="U107" s="103">
        <f>IF(ISNUMBER(Комплектация!N109),Комплектация!N109,"")</f>
        <v/>
      </c>
      <c r="V107" s="104">
        <f>IF(OR(U107="",T107="",U107=0),"",MAX(0,MIN(100,(U107-T107)/U107*100)))</f>
        <v/>
      </c>
      <c r="W107" s="104">
        <f>MAX(IF(S107="",0,S107),IF(V107="",0,V107))</f>
        <v/>
      </c>
      <c r="X107" s="105">
        <f>Параметры!$B$18*W107/100</f>
        <v/>
      </c>
      <c r="Y107" s="103">
        <f>IF(MIN(Комплектация!AA109,Комплектация!AB109)-Параметры!$B$15&lt;Параметры!$B$16,1,0)+IF(MIN(Комплектация!AK109,Комплектация!AL109)-Параметры!$B$15&lt;Параметры!$B$16,1,0)+IF(MIN(Комплектация!AU109,Комплектация!AV109)-Параметры!$B$15&lt;Параметры!$B$16,1,0)+IF(MIN(Комплектация!BE109,Комплектация!BF109)-Параметры!$B$15&lt;Параметры!$B$16,1,0)</f>
        <v/>
      </c>
      <c r="Z107" s="105">
        <f>Y107*Параметры!$B$19</f>
        <v/>
      </c>
      <c r="AA107" s="107">
        <f>MAX(0,P107-X107-Z107)</f>
        <v/>
      </c>
      <c r="AB107" s="108">
        <f>SUMIFS(Прайс!$D$3:$D$11,Прайс!$A$3:$A$11,B107,Прайс!$B$3:$B$11,C107)</f>
        <v/>
      </c>
      <c r="AC107" s="105">
        <f>IF(AB107="","",AB107-AA107)</f>
        <v/>
      </c>
      <c r="AD107" s="109" t="n">
        <v>3187816.833941606</v>
      </c>
    </row>
    <row r="108">
      <c r="A108" s="101">
        <f>Комплектация!A110</f>
        <v/>
      </c>
      <c r="B108" s="101">
        <f>Комплектация!C110</f>
        <v/>
      </c>
      <c r="C108" s="102">
        <f>Комплектация!E110</f>
        <v/>
      </c>
      <c r="D108" s="103" t="n">
        <v>2043</v>
      </c>
      <c r="E108" s="103">
        <f>IF(D108="",Параметры!$B$11,MAX(1,D108-C108))</f>
        <v/>
      </c>
      <c r="F108" s="103">
        <f>MAX(0,YEAR(Параметры!$B$2)-C108)</f>
        <v/>
      </c>
      <c r="G108" s="104">
        <f>MIN(100,F108/E108*100)</f>
        <v/>
      </c>
      <c r="H108" s="104">
        <f>100-G108</f>
        <v/>
      </c>
      <c r="I108" s="103">
        <f>AVERAGE(Комплектация!BJ110,Комплектация!BP110,Комплектация!BV110,Комплектация!CB110,Комплектация!CH110,Комплектация!CN110)</f>
        <v/>
      </c>
      <c r="J108" s="103">
        <f>MAX(0,YEAR(Параметры!$B$2)-I108)</f>
        <v/>
      </c>
      <c r="K108" s="104">
        <f>MIN(100,J108/Параметры!$B$12*100)</f>
        <v/>
      </c>
      <c r="L108" s="104">
        <f>100-K108</f>
        <v/>
      </c>
      <c r="M108" s="103">
        <f>MIN(Комплектация!AA110,Комплектация!AB110,Комплектация!AK110,Комплектация!AL110,Комплектация!AU110,Комплектация!AV110,Комплектация!BE110,Комплектация!BF110)</f>
        <v/>
      </c>
      <c r="N108" s="104">
        <f>AVERAGE((100-MAX(0,MIN(100,(Параметры!$B$13-MIN(Комплектация!AA110,Комплектация!AB110))/(Параметры!$B$13-Параметры!$B$14)*100))),(100-MAX(0,MIN(100,(Параметры!$B$13-MIN(Комплектация!AK110,Комплектация!AL110))/(Параметры!$B$13-Параметры!$B$14)*100))),(100-MAX(0,MIN(100,(Параметры!$B$13-MIN(Комплектация!AU110,Комплектация!AV110))/(Параметры!$B$13-Параметры!$B$14)*100))),(100-MAX(0,MIN(100,(Параметры!$B$13-MIN(Комплектация!BE110,Комплектация!BF110))/(Параметры!$B$13-Параметры!$B$14)*100))))</f>
        <v/>
      </c>
      <c r="O108" s="104">
        <f>AVERAGE(H108,L108)</f>
        <v/>
      </c>
      <c r="P108" s="105">
        <f>Параметры!$B$3*(Параметры!$B$5*H108+Параметры!$B$6*L108+Параметры!$B$7*N108+Параметры!$B$8*O108)/100</f>
        <v/>
      </c>
      <c r="Q108" s="106" t="n">
        <v>46196</v>
      </c>
      <c r="R108" s="106" t="n">
        <v>47292</v>
      </c>
      <c r="S108" s="104">
        <f>IF(OR(Q108="",R108="",R108=Q108),"",MAX(0,MIN(100,(Параметры!$B$2-Q108)/(R108-Q108)*100)))</f>
        <v/>
      </c>
      <c r="T108" s="103">
        <f>IF(ISNUMBER(Комплектация!P110),Комплектация!P110,"")</f>
        <v/>
      </c>
      <c r="U108" s="103">
        <f>IF(ISNUMBER(Комплектация!N110),Комплектация!N110,"")</f>
        <v/>
      </c>
      <c r="V108" s="104">
        <f>IF(OR(U108="",T108="",U108=0),"",MAX(0,MIN(100,(U108-T108)/U108*100)))</f>
        <v/>
      </c>
      <c r="W108" s="104">
        <f>MAX(IF(S108="",0,S108),IF(V108="",0,V108))</f>
        <v/>
      </c>
      <c r="X108" s="105">
        <f>Параметры!$B$18*W108/100</f>
        <v/>
      </c>
      <c r="Y108" s="103">
        <f>IF(MIN(Комплектация!AA110,Комплектация!AB110)-Параметры!$B$15&lt;Параметры!$B$16,1,0)+IF(MIN(Комплектация!AK110,Комплектация!AL110)-Параметры!$B$15&lt;Параметры!$B$16,1,0)+IF(MIN(Комплектация!AU110,Комплектация!AV110)-Параметры!$B$15&lt;Параметры!$B$16,1,0)+IF(MIN(Комплектация!BE110,Комплектация!BF110)-Параметры!$B$15&lt;Параметры!$B$16,1,0)</f>
        <v/>
      </c>
      <c r="Z108" s="105">
        <f>Y108*Параметры!$B$19</f>
        <v/>
      </c>
      <c r="AA108" s="107">
        <f>MAX(0,P108-X108-Z108)</f>
        <v/>
      </c>
      <c r="AB108" s="108">
        <f>SUMIFS(Прайс!$D$3:$D$11,Прайс!$A$3:$A$11,B108,Прайс!$B$3:$B$11,C108)</f>
        <v/>
      </c>
      <c r="AC108" s="105">
        <f>IF(AB108="","",AB108-AA108)</f>
        <v/>
      </c>
      <c r="AD108" s="109" t="n">
        <v>3065287.636861314</v>
      </c>
    </row>
    <row r="109">
      <c r="A109" s="101">
        <f>Комплектация!A111</f>
        <v/>
      </c>
      <c r="B109" s="101">
        <f>Комплектация!C111</f>
        <v/>
      </c>
      <c r="C109" s="102">
        <f>Комплектация!E111</f>
        <v/>
      </c>
      <c r="D109" s="103" t="n">
        <v>2047</v>
      </c>
      <c r="E109" s="103">
        <f>IF(D109="",Параметры!$B$11,MAX(1,D109-C109))</f>
        <v/>
      </c>
      <c r="F109" s="103">
        <f>MAX(0,YEAR(Параметры!$B$2)-C109)</f>
        <v/>
      </c>
      <c r="G109" s="104">
        <f>MIN(100,F109/E109*100)</f>
        <v/>
      </c>
      <c r="H109" s="104">
        <f>100-G109</f>
        <v/>
      </c>
      <c r="I109" s="103">
        <f>AVERAGE(Комплектация!BJ111,Комплектация!BP111,Комплектация!BV111,Комплектация!CB111,Комплектация!CH111,Комплектация!CN111)</f>
        <v/>
      </c>
      <c r="J109" s="103">
        <f>MAX(0,YEAR(Параметры!$B$2)-I109)</f>
        <v/>
      </c>
      <c r="K109" s="104">
        <f>MIN(100,J109/Параметры!$B$12*100)</f>
        <v/>
      </c>
      <c r="L109" s="104">
        <f>100-K109</f>
        <v/>
      </c>
      <c r="M109" s="103">
        <f>MIN(Комплектация!AA111,Комплектация!AB111,Комплектация!AK111,Комплектация!AL111,Комплектация!AU111,Комплектация!AV111,Комплектация!BE111,Комплектация!BF111)</f>
        <v/>
      </c>
      <c r="N109" s="104">
        <f>AVERAGE((100-MAX(0,MIN(100,(Параметры!$B$13-MIN(Комплектация!AA111,Комплектация!AB111))/(Параметры!$B$13-Параметры!$B$14)*100))),(100-MAX(0,MIN(100,(Параметры!$B$13-MIN(Комплектация!AK111,Комплектация!AL111))/(Параметры!$B$13-Параметры!$B$14)*100))),(100-MAX(0,MIN(100,(Параметры!$B$13-MIN(Комплектация!AU111,Комплектация!AV111))/(Параметры!$B$13-Параметры!$B$14)*100))),(100-MAX(0,MIN(100,(Параметры!$B$13-MIN(Комплектация!BE111,Комплектация!BF111))/(Параметры!$B$13-Параметры!$B$14)*100))))</f>
        <v/>
      </c>
      <c r="O109" s="104">
        <f>AVERAGE(H109,L109)</f>
        <v/>
      </c>
      <c r="P109" s="105">
        <f>Параметры!$B$3*(Параметры!$B$5*H109+Параметры!$B$6*L109+Параметры!$B$7*N109+Параметры!$B$8*O109)/100</f>
        <v/>
      </c>
      <c r="Q109" s="106" t="n">
        <v>45285</v>
      </c>
      <c r="R109" s="106" t="n">
        <v>46381</v>
      </c>
      <c r="S109" s="104">
        <f>IF(OR(Q109="",R109="",R109=Q109),"",MAX(0,MIN(100,(Параметры!$B$2-Q109)/(R109-Q109)*100)))</f>
        <v/>
      </c>
      <c r="T109" s="103">
        <f>IF(ISNUMBER(Комплектация!P111),Комплектация!P111,"")</f>
        <v/>
      </c>
      <c r="U109" s="103">
        <f>IF(ISNUMBER(Комплектация!N111),Комплектация!N111,"")</f>
        <v/>
      </c>
      <c r="V109" s="104">
        <f>IF(OR(U109="",T109="",U109=0),"",MAX(0,MIN(100,(U109-T109)/U109*100)))</f>
        <v/>
      </c>
      <c r="W109" s="104">
        <f>MAX(IF(S109="",0,S109),IF(V109="",0,V109))</f>
        <v/>
      </c>
      <c r="X109" s="105">
        <f>Параметры!$B$18*W109/100</f>
        <v/>
      </c>
      <c r="Y109" s="103">
        <f>IF(MIN(Комплектация!AA111,Комплектация!AB111)-Параметры!$B$15&lt;Параметры!$B$16,1,0)+IF(MIN(Комплектация!AK111,Комплектация!AL111)-Параметры!$B$15&lt;Параметры!$B$16,1,0)+IF(MIN(Комплектация!AU111,Комплектация!AV111)-Параметры!$B$15&lt;Параметры!$B$16,1,0)+IF(MIN(Комплектация!BE111,Комплектация!BF111)-Параметры!$B$15&lt;Параметры!$B$16,1,0)</f>
        <v/>
      </c>
      <c r="Z109" s="105">
        <f>Y109*Параметры!$B$19</f>
        <v/>
      </c>
      <c r="AA109" s="107">
        <f>MAX(0,P109-X109-Z109)</f>
        <v/>
      </c>
      <c r="AB109" s="108">
        <f>SUMIFS(Прайс!$D$3:$D$11,Прайс!$A$3:$A$11,B109,Прайс!$B$3:$B$11,C109)</f>
        <v/>
      </c>
      <c r="AC109" s="105">
        <f>IF(AB109="","",AB109-AA109)</f>
        <v/>
      </c>
      <c r="AD109" s="109" t="n">
        <v>1551152.600364964</v>
      </c>
    </row>
    <row r="110">
      <c r="A110" s="101">
        <f>Комплектация!A112</f>
        <v/>
      </c>
      <c r="B110" s="101">
        <f>Комплектация!C112</f>
        <v/>
      </c>
      <c r="C110" s="102">
        <f>Комплектация!E112</f>
        <v/>
      </c>
      <c r="D110" s="103" t="n">
        <v>2043</v>
      </c>
      <c r="E110" s="103">
        <f>IF(D110="",Параметры!$B$11,MAX(1,D110-C110))</f>
        <v/>
      </c>
      <c r="F110" s="103">
        <f>MAX(0,YEAR(Параметры!$B$2)-C110)</f>
        <v/>
      </c>
      <c r="G110" s="104">
        <f>MIN(100,F110/E110*100)</f>
        <v/>
      </c>
      <c r="H110" s="104">
        <f>100-G110</f>
        <v/>
      </c>
      <c r="I110" s="103">
        <f>AVERAGE(Комплектация!BJ112,Комплектация!BP112,Комплектация!BV112,Комплектация!CB112,Комплектация!CH112,Комплектация!CN112)</f>
        <v/>
      </c>
      <c r="J110" s="103">
        <f>MAX(0,YEAR(Параметры!$B$2)-I110)</f>
        <v/>
      </c>
      <c r="K110" s="104">
        <f>MIN(100,J110/Параметры!$B$12*100)</f>
        <v/>
      </c>
      <c r="L110" s="104">
        <f>100-K110</f>
        <v/>
      </c>
      <c r="M110" s="103">
        <f>MIN(Комплектация!AA112,Комплектация!AB112,Комплектация!AK112,Комплектация!AL112,Комплектация!AU112,Комплектация!AV112,Комплектация!BE112,Комплектация!BF112)</f>
        <v/>
      </c>
      <c r="N110" s="104">
        <f>AVERAGE((100-MAX(0,MIN(100,(Параметры!$B$13-MIN(Комплектация!AA112,Комплектация!AB112))/(Параметры!$B$13-Параметры!$B$14)*100))),(100-MAX(0,MIN(100,(Параметры!$B$13-MIN(Комплектация!AK112,Комплектация!AL112))/(Параметры!$B$13-Параметры!$B$14)*100))),(100-MAX(0,MIN(100,(Параметры!$B$13-MIN(Комплектация!AU112,Комплектация!AV112))/(Параметры!$B$13-Параметры!$B$14)*100))),(100-MAX(0,MIN(100,(Параметры!$B$13-MIN(Комплектация!BE112,Комплектация!BF112))/(Параметры!$B$13-Параметры!$B$14)*100))))</f>
        <v/>
      </c>
      <c r="O110" s="104">
        <f>AVERAGE(H110,L110)</f>
        <v/>
      </c>
      <c r="P110" s="105">
        <f>Параметры!$B$3*(Параметры!$B$5*H110+Параметры!$B$6*L110+Параметры!$B$7*N110+Параметры!$B$8*O110)/100</f>
        <v/>
      </c>
      <c r="Q110" s="106" t="n">
        <v>46191</v>
      </c>
      <c r="R110" s="106" t="n">
        <v>47287</v>
      </c>
      <c r="S110" s="104">
        <f>IF(OR(Q110="",R110="",R110=Q110),"",MAX(0,MIN(100,(Параметры!$B$2-Q110)/(R110-Q110)*100)))</f>
        <v/>
      </c>
      <c r="T110" s="103">
        <f>IF(ISNUMBER(Комплектация!P112),Комплектация!P112,"")</f>
        <v/>
      </c>
      <c r="U110" s="103">
        <f>IF(ISNUMBER(Комплектация!N112),Комплектация!N112,"")</f>
        <v/>
      </c>
      <c r="V110" s="104">
        <f>IF(OR(U110="",T110="",U110=0),"",MAX(0,MIN(100,(U110-T110)/U110*100)))</f>
        <v/>
      </c>
      <c r="W110" s="104">
        <f>MAX(IF(S110="",0,S110),IF(V110="",0,V110))</f>
        <v/>
      </c>
      <c r="X110" s="105">
        <f>Параметры!$B$18*W110/100</f>
        <v/>
      </c>
      <c r="Y110" s="103">
        <f>IF(MIN(Комплектация!AA112,Комплектация!AB112)-Параметры!$B$15&lt;Параметры!$B$16,1,0)+IF(MIN(Комплектация!AK112,Комплектация!AL112)-Параметры!$B$15&lt;Параметры!$B$16,1,0)+IF(MIN(Комплектация!AU112,Комплектация!AV112)-Параметры!$B$15&lt;Параметры!$B$16,1,0)+IF(MIN(Комплектация!BE112,Комплектация!BF112)-Параметры!$B$15&lt;Параметры!$B$16,1,0)</f>
        <v/>
      </c>
      <c r="Z110" s="105">
        <f>Y110*Параметры!$B$19</f>
        <v/>
      </c>
      <c r="AA110" s="107">
        <f>MAX(0,P110-X110-Z110)</f>
        <v/>
      </c>
      <c r="AB110" s="108">
        <f>SUMIFS(Прайс!$D$3:$D$11,Прайс!$A$3:$A$11,B110,Прайс!$B$3:$B$11,C110)</f>
        <v/>
      </c>
      <c r="AC110" s="105">
        <f>IF(AB110="","",AB110-AA110)</f>
        <v/>
      </c>
      <c r="AD110" s="109" t="n">
        <v>3191041.28649635</v>
      </c>
    </row>
    <row r="111">
      <c r="A111" s="101">
        <f>Комплектация!A113</f>
        <v/>
      </c>
      <c r="B111" s="101">
        <f>Комплектация!C113</f>
        <v/>
      </c>
      <c r="C111" s="102">
        <f>Комплектация!E113</f>
        <v/>
      </c>
      <c r="D111" s="103" t="n">
        <v>2043</v>
      </c>
      <c r="E111" s="103">
        <f>IF(D111="",Параметры!$B$11,MAX(1,D111-C111))</f>
        <v/>
      </c>
      <c r="F111" s="103">
        <f>MAX(0,YEAR(Параметры!$B$2)-C111)</f>
        <v/>
      </c>
      <c r="G111" s="104">
        <f>MIN(100,F111/E111*100)</f>
        <v/>
      </c>
      <c r="H111" s="104">
        <f>100-G111</f>
        <v/>
      </c>
      <c r="I111" s="103">
        <f>AVERAGE(Комплектация!BJ113,Комплектация!BP113,Комплектация!BV113,Комплектация!CB113,Комплектация!CH113,Комплектация!CN113)</f>
        <v/>
      </c>
      <c r="J111" s="103">
        <f>MAX(0,YEAR(Параметры!$B$2)-I111)</f>
        <v/>
      </c>
      <c r="K111" s="104">
        <f>MIN(100,J111/Параметры!$B$12*100)</f>
        <v/>
      </c>
      <c r="L111" s="104">
        <f>100-K111</f>
        <v/>
      </c>
      <c r="M111" s="103">
        <f>MIN(Комплектация!AA113,Комплектация!AB113,Комплектация!AK113,Комплектация!AL113,Комплектация!AU113,Комплектация!AV113,Комплектация!BE113,Комплектация!BF113)</f>
        <v/>
      </c>
      <c r="N111" s="104">
        <f>AVERAGE((100-MAX(0,MIN(100,(Параметры!$B$13-MIN(Комплектация!AA113,Комплектация!AB113))/(Параметры!$B$13-Параметры!$B$14)*100))),(100-MAX(0,MIN(100,(Параметры!$B$13-MIN(Комплектация!AK113,Комплектация!AL113))/(Параметры!$B$13-Параметры!$B$14)*100))),(100-MAX(0,MIN(100,(Параметры!$B$13-MIN(Комплектация!AU113,Комплектация!AV113))/(Параметры!$B$13-Параметры!$B$14)*100))),(100-MAX(0,MIN(100,(Параметры!$B$13-MIN(Комплектация!BE113,Комплектация!BF113))/(Параметры!$B$13-Параметры!$B$14)*100))))</f>
        <v/>
      </c>
      <c r="O111" s="104">
        <f>AVERAGE(H111,L111)</f>
        <v/>
      </c>
      <c r="P111" s="105">
        <f>Параметры!$B$3*(Параметры!$B$5*H111+Параметры!$B$6*L111+Параметры!$B$7*N111+Параметры!$B$8*O111)/100</f>
        <v/>
      </c>
      <c r="Q111" s="106" t="n">
        <v>46107</v>
      </c>
      <c r="R111" s="106" t="n">
        <v>47203</v>
      </c>
      <c r="S111" s="104">
        <f>IF(OR(Q111="",R111="",R111=Q111),"",MAX(0,MIN(100,(Параметры!$B$2-Q111)/(R111-Q111)*100)))</f>
        <v/>
      </c>
      <c r="T111" s="103">
        <f>IF(ISNUMBER(Комплектация!P113),Комплектация!P113,"")</f>
        <v/>
      </c>
      <c r="U111" s="103">
        <f>IF(ISNUMBER(Комплектация!N113),Комплектация!N113,"")</f>
        <v/>
      </c>
      <c r="V111" s="104">
        <f>IF(OR(U111="",T111="",U111=0),"",MAX(0,MIN(100,(U111-T111)/U111*100)))</f>
        <v/>
      </c>
      <c r="W111" s="104">
        <f>MAX(IF(S111="",0,S111),IF(V111="",0,V111))</f>
        <v/>
      </c>
      <c r="X111" s="105">
        <f>Параметры!$B$18*W111/100</f>
        <v/>
      </c>
      <c r="Y111" s="103">
        <f>IF(MIN(Комплектация!AA113,Комплектация!AB113)-Параметры!$B$15&lt;Параметры!$B$16,1,0)+IF(MIN(Комплектация!AK113,Комплектация!AL113)-Параметры!$B$15&lt;Параметры!$B$16,1,0)+IF(MIN(Комплектация!AU113,Комплектация!AV113)-Параметры!$B$15&lt;Параметры!$B$16,1,0)+IF(MIN(Комплектация!BE113,Комплектация!BF113)-Параметры!$B$15&lt;Параметры!$B$16,1,0)</f>
        <v/>
      </c>
      <c r="Z111" s="105">
        <f>Y111*Параметры!$B$19</f>
        <v/>
      </c>
      <c r="AA111" s="107">
        <f>MAX(0,P111-X111-Z111)</f>
        <v/>
      </c>
      <c r="AB111" s="108">
        <f>SUMIFS(Прайс!$D$3:$D$11,Прайс!$A$3:$A$11,B111,Прайс!$B$3:$B$11,C111)</f>
        <v/>
      </c>
      <c r="AC111" s="105">
        <f>IF(AB111="","",AB111-AA111)</f>
        <v/>
      </c>
      <c r="AD111" s="109" t="n">
        <v>3155402.600364964</v>
      </c>
    </row>
    <row r="112">
      <c r="A112" s="101">
        <f>Комплектация!A114</f>
        <v/>
      </c>
      <c r="B112" s="101">
        <f>Комплектация!C114</f>
        <v/>
      </c>
      <c r="C112" s="102">
        <f>Комплектация!E114</f>
        <v/>
      </c>
      <c r="D112" s="103" t="n">
        <v>2043</v>
      </c>
      <c r="E112" s="103">
        <f>IF(D112="",Параметры!$B$11,MAX(1,D112-C112))</f>
        <v/>
      </c>
      <c r="F112" s="103">
        <f>MAX(0,YEAR(Параметры!$B$2)-C112)</f>
        <v/>
      </c>
      <c r="G112" s="104">
        <f>MIN(100,F112/E112*100)</f>
        <v/>
      </c>
      <c r="H112" s="104">
        <f>100-G112</f>
        <v/>
      </c>
      <c r="I112" s="103">
        <f>AVERAGE(Комплектация!BJ114,Комплектация!BP114,Комплектация!BV114,Комплектация!CB114,Комплектация!CH114,Комплектация!CN114)</f>
        <v/>
      </c>
      <c r="J112" s="103">
        <f>MAX(0,YEAR(Параметры!$B$2)-I112)</f>
        <v/>
      </c>
      <c r="K112" s="104">
        <f>MIN(100,J112/Параметры!$B$12*100)</f>
        <v/>
      </c>
      <c r="L112" s="104">
        <f>100-K112</f>
        <v/>
      </c>
      <c r="M112" s="103">
        <f>MIN(Комплектация!AA114,Комплектация!AB114,Комплектация!AK114,Комплектация!AL114,Комплектация!AU114,Комплектация!AV114,Комплектация!BE114,Комплектация!BF114)</f>
        <v/>
      </c>
      <c r="N112" s="104">
        <f>AVERAGE((100-MAX(0,MIN(100,(Параметры!$B$13-MIN(Комплектация!AA114,Комплектация!AB114))/(Параметры!$B$13-Параметры!$B$14)*100))),(100-MAX(0,MIN(100,(Параметры!$B$13-MIN(Комплектация!AK114,Комплектация!AL114))/(Параметры!$B$13-Параметры!$B$14)*100))),(100-MAX(0,MIN(100,(Параметры!$B$13-MIN(Комплектация!AU114,Комплектация!AV114))/(Параметры!$B$13-Параметры!$B$14)*100))),(100-MAX(0,MIN(100,(Параметры!$B$13-MIN(Комплектация!BE114,Комплектация!BF114))/(Параметры!$B$13-Параметры!$B$14)*100))))</f>
        <v/>
      </c>
      <c r="O112" s="104">
        <f>AVERAGE(H112,L112)</f>
        <v/>
      </c>
      <c r="P112" s="105">
        <f>Параметры!$B$3*(Параметры!$B$5*H112+Параметры!$B$6*L112+Параметры!$B$7*N112+Параметры!$B$8*O112)/100</f>
        <v/>
      </c>
      <c r="Q112" s="106" t="n">
        <v>46189</v>
      </c>
      <c r="R112" s="106" t="n">
        <v>47285</v>
      </c>
      <c r="S112" s="104">
        <f>IF(OR(Q112="",R112="",R112=Q112),"",MAX(0,MIN(100,(Параметры!$B$2-Q112)/(R112-Q112)*100)))</f>
        <v/>
      </c>
      <c r="T112" s="103">
        <f>IF(ISNUMBER(Комплектация!P114),Комплектация!P114,"")</f>
        <v/>
      </c>
      <c r="U112" s="103">
        <f>IF(ISNUMBER(Комплектация!N114),Комплектация!N114,"")</f>
        <v/>
      </c>
      <c r="V112" s="104">
        <f>IF(OR(U112="",T112="",U112=0),"",MAX(0,MIN(100,(U112-T112)/U112*100)))</f>
        <v/>
      </c>
      <c r="W112" s="104">
        <f>MAX(IF(S112="",0,S112),IF(V112="",0,V112))</f>
        <v/>
      </c>
      <c r="X112" s="105">
        <f>Параметры!$B$18*W112/100</f>
        <v/>
      </c>
      <c r="Y112" s="103">
        <f>IF(MIN(Комплектация!AA114,Комплектация!AB114)-Параметры!$B$15&lt;Параметры!$B$16,1,0)+IF(MIN(Комплектация!AK114,Комплектация!AL114)-Параметры!$B$15&lt;Параметры!$B$16,1,0)+IF(MIN(Комплектация!AU114,Комплектация!AV114)-Параметры!$B$15&lt;Параметры!$B$16,1,0)+IF(MIN(Комплектация!BE114,Комплектация!BF114)-Параметры!$B$15&lt;Параметры!$B$16,1,0)</f>
        <v/>
      </c>
      <c r="Z112" s="105">
        <f>Y112*Параметры!$B$19</f>
        <v/>
      </c>
      <c r="AA112" s="107">
        <f>MAX(0,P112-X112-Z112)</f>
        <v/>
      </c>
      <c r="AB112" s="108">
        <f>SUMIFS(Прайс!$D$3:$D$11,Прайс!$A$3:$A$11,B112,Прайс!$B$3:$B$11,C112)</f>
        <v/>
      </c>
      <c r="AC112" s="105">
        <f>IF(AB112="","",AB112-AA112)</f>
        <v/>
      </c>
      <c r="AD112" s="109" t="n">
        <v>2841442.746350365</v>
      </c>
    </row>
    <row r="113">
      <c r="A113" s="101">
        <f>Комплектация!A115</f>
        <v/>
      </c>
      <c r="B113" s="101">
        <f>Комплектация!C115</f>
        <v/>
      </c>
      <c r="C113" s="102">
        <f>Комплектация!E115</f>
        <v/>
      </c>
      <c r="D113" s="103" t="n">
        <v>2043</v>
      </c>
      <c r="E113" s="103">
        <f>IF(D113="",Параметры!$B$11,MAX(1,D113-C113))</f>
        <v/>
      </c>
      <c r="F113" s="103">
        <f>MAX(0,YEAR(Параметры!$B$2)-C113)</f>
        <v/>
      </c>
      <c r="G113" s="104">
        <f>MIN(100,F113/E113*100)</f>
        <v/>
      </c>
      <c r="H113" s="104">
        <f>100-G113</f>
        <v/>
      </c>
      <c r="I113" s="103">
        <f>AVERAGE(Комплектация!BJ115,Комплектация!BP115,Комплектация!BV115,Комплектация!CB115,Комплектация!CH115,Комплектация!CN115)</f>
        <v/>
      </c>
      <c r="J113" s="103">
        <f>MAX(0,YEAR(Параметры!$B$2)-I113)</f>
        <v/>
      </c>
      <c r="K113" s="104">
        <f>MIN(100,J113/Параметры!$B$12*100)</f>
        <v/>
      </c>
      <c r="L113" s="104">
        <f>100-K113</f>
        <v/>
      </c>
      <c r="M113" s="103">
        <f>MIN(Комплектация!AA115,Комплектация!AB115,Комплектация!AK115,Комплектация!AL115,Комплектация!AU115,Комплектация!AV115,Комплектация!BE115,Комплектация!BF115)</f>
        <v/>
      </c>
      <c r="N113" s="104">
        <f>AVERAGE((100-MAX(0,MIN(100,(Параметры!$B$13-MIN(Комплектация!AA115,Комплектация!AB115))/(Параметры!$B$13-Параметры!$B$14)*100))),(100-MAX(0,MIN(100,(Параметры!$B$13-MIN(Комплектация!AK115,Комплектация!AL115))/(Параметры!$B$13-Параметры!$B$14)*100))),(100-MAX(0,MIN(100,(Параметры!$B$13-MIN(Комплектация!AU115,Комплектация!AV115))/(Параметры!$B$13-Параметры!$B$14)*100))),(100-MAX(0,MIN(100,(Параметры!$B$13-MIN(Комплектация!BE115,Комплектация!BF115))/(Параметры!$B$13-Параметры!$B$14)*100))))</f>
        <v/>
      </c>
      <c r="O113" s="104">
        <f>AVERAGE(H113,L113)</f>
        <v/>
      </c>
      <c r="P113" s="105">
        <f>Параметры!$B$3*(Параметры!$B$5*H113+Параметры!$B$6*L113+Параметры!$B$7*N113+Параметры!$B$8*O113)/100</f>
        <v/>
      </c>
      <c r="Q113" s="106" t="n">
        <v>46087</v>
      </c>
      <c r="R113" s="106" t="n">
        <v>47183</v>
      </c>
      <c r="S113" s="104">
        <f>IF(OR(Q113="",R113="",R113=Q113),"",MAX(0,MIN(100,(Параметры!$B$2-Q113)/(R113-Q113)*100)))</f>
        <v/>
      </c>
      <c r="T113" s="103">
        <f>IF(ISNUMBER(Комплектация!P115),Комплектация!P115,"")</f>
        <v/>
      </c>
      <c r="U113" s="103">
        <f>IF(ISNUMBER(Комплектация!N115),Комплектация!N115,"")</f>
        <v/>
      </c>
      <c r="V113" s="104">
        <f>IF(OR(U113="",T113="",U113=0),"",MAX(0,MIN(100,(U113-T113)/U113*100)))</f>
        <v/>
      </c>
      <c r="W113" s="104">
        <f>MAX(IF(S113="",0,S113),IF(V113="",0,V113))</f>
        <v/>
      </c>
      <c r="X113" s="105">
        <f>Параметры!$B$18*W113/100</f>
        <v/>
      </c>
      <c r="Y113" s="103">
        <f>IF(MIN(Комплектация!AA115,Комплектация!AB115)-Параметры!$B$15&lt;Параметры!$B$16,1,0)+IF(MIN(Комплектация!AK115,Комплектация!AL115)-Параметры!$B$15&lt;Параметры!$B$16,1,0)+IF(MIN(Комплектация!AU115,Комплектация!AV115)-Параметры!$B$15&lt;Параметры!$B$16,1,0)+IF(MIN(Комплектация!BE115,Комплектация!BF115)-Параметры!$B$15&lt;Параметры!$B$16,1,0)</f>
        <v/>
      </c>
      <c r="Z113" s="105">
        <f>Y113*Параметры!$B$19</f>
        <v/>
      </c>
      <c r="AA113" s="107">
        <f>MAX(0,P113-X113-Z113)</f>
        <v/>
      </c>
      <c r="AB113" s="108">
        <f>SUMIFS(Прайс!$D$3:$D$11,Прайс!$A$3:$A$11,B113,Прайс!$B$3:$B$11,C113)</f>
        <v/>
      </c>
      <c r="AC113" s="105">
        <f>IF(AB113="","",AB113-AA113)</f>
        <v/>
      </c>
      <c r="AD113" s="109" t="n">
        <v>3146917.198905109</v>
      </c>
    </row>
    <row r="114">
      <c r="A114" s="101">
        <f>Комплектация!A116</f>
        <v/>
      </c>
      <c r="B114" s="101">
        <f>Комплектация!C116</f>
        <v/>
      </c>
      <c r="C114" s="102">
        <f>Комплектация!E116</f>
        <v/>
      </c>
      <c r="D114" s="103" t="n">
        <v>2043</v>
      </c>
      <c r="E114" s="103">
        <f>IF(D114="",Параметры!$B$11,MAX(1,D114-C114))</f>
        <v/>
      </c>
      <c r="F114" s="103">
        <f>MAX(0,YEAR(Параметры!$B$2)-C114)</f>
        <v/>
      </c>
      <c r="G114" s="104">
        <f>MIN(100,F114/E114*100)</f>
        <v/>
      </c>
      <c r="H114" s="104">
        <f>100-G114</f>
        <v/>
      </c>
      <c r="I114" s="103">
        <f>AVERAGE(Комплектация!BJ116,Комплектация!BP116,Комплектация!BV116,Комплектация!CB116,Комплектация!CH116,Комплектация!CN116)</f>
        <v/>
      </c>
      <c r="J114" s="103">
        <f>MAX(0,YEAR(Параметры!$B$2)-I114)</f>
        <v/>
      </c>
      <c r="K114" s="104">
        <f>MIN(100,J114/Параметры!$B$12*100)</f>
        <v/>
      </c>
      <c r="L114" s="104">
        <f>100-K114</f>
        <v/>
      </c>
      <c r="M114" s="103">
        <f>MIN(Комплектация!AA116,Комплектация!AB116,Комплектация!AK116,Комплектация!AL116,Комплектация!AU116,Комплектация!AV116,Комплектация!BE116,Комплектация!BF116)</f>
        <v/>
      </c>
      <c r="N114" s="104">
        <f>AVERAGE((100-MAX(0,MIN(100,(Параметры!$B$13-MIN(Комплектация!AA116,Комплектация!AB116))/(Параметры!$B$13-Параметры!$B$14)*100))),(100-MAX(0,MIN(100,(Параметры!$B$13-MIN(Комплектация!AK116,Комплектация!AL116))/(Параметры!$B$13-Параметры!$B$14)*100))),(100-MAX(0,MIN(100,(Параметры!$B$13-MIN(Комплектация!AU116,Комплектация!AV116))/(Параметры!$B$13-Параметры!$B$14)*100))),(100-MAX(0,MIN(100,(Параметры!$B$13-MIN(Комплектация!BE116,Комплектация!BF116))/(Параметры!$B$13-Параметры!$B$14)*100))))</f>
        <v/>
      </c>
      <c r="O114" s="104">
        <f>AVERAGE(H114,L114)</f>
        <v/>
      </c>
      <c r="P114" s="105">
        <f>Параметры!$B$3*(Параметры!$B$5*H114+Параметры!$B$6*L114+Параметры!$B$7*N114+Параметры!$B$8*O114)/100</f>
        <v/>
      </c>
      <c r="Q114" s="106" t="n">
        <v>46089</v>
      </c>
      <c r="R114" s="106" t="n">
        <v>47185</v>
      </c>
      <c r="S114" s="104">
        <f>IF(OR(Q114="",R114="",R114=Q114),"",MAX(0,MIN(100,(Параметры!$B$2-Q114)/(R114-Q114)*100)))</f>
        <v/>
      </c>
      <c r="T114" s="103">
        <f>IF(ISNUMBER(Комплектация!P116),Комплектация!P116,"")</f>
        <v/>
      </c>
      <c r="U114" s="103">
        <f>IF(ISNUMBER(Комплектация!N116),Комплектация!N116,"")</f>
        <v/>
      </c>
      <c r="V114" s="104">
        <f>IF(OR(U114="",T114="",U114=0),"",MAX(0,MIN(100,(U114-T114)/U114*100)))</f>
        <v/>
      </c>
      <c r="W114" s="104">
        <f>MAX(IF(S114="",0,S114),IF(V114="",0,V114))</f>
        <v/>
      </c>
      <c r="X114" s="105">
        <f>Параметры!$B$18*W114/100</f>
        <v/>
      </c>
      <c r="Y114" s="103">
        <f>IF(MIN(Комплектация!AA116,Комплектация!AB116)-Параметры!$B$15&lt;Параметры!$B$16,1,0)+IF(MIN(Комплектация!AK116,Комплектация!AL116)-Параметры!$B$15&lt;Параметры!$B$16,1,0)+IF(MIN(Комплектация!AU116,Комплектация!AV116)-Параметры!$B$15&lt;Параметры!$B$16,1,0)+IF(MIN(Комплектация!BE116,Комплектация!BF116)-Параметры!$B$15&lt;Параметры!$B$16,1,0)</f>
        <v/>
      </c>
      <c r="Z114" s="105">
        <f>Y114*Параметры!$B$19</f>
        <v/>
      </c>
      <c r="AA114" s="107">
        <f>MAX(0,P114-X114-Z114)</f>
        <v/>
      </c>
      <c r="AB114" s="108">
        <f>SUMIFS(Прайс!$D$3:$D$11,Прайс!$A$3:$A$11,B114,Прайс!$B$3:$B$11,C114)</f>
        <v/>
      </c>
      <c r="AC114" s="105">
        <f>IF(AB114="","",AB114-AA114)</f>
        <v/>
      </c>
      <c r="AD114" s="109" t="n">
        <v>3136140.739051095</v>
      </c>
    </row>
    <row r="115">
      <c r="A115" s="101">
        <f>Комплектация!A117</f>
        <v/>
      </c>
      <c r="B115" s="101">
        <f>Комплектация!C117</f>
        <v/>
      </c>
      <c r="C115" s="102">
        <f>Комплектация!E117</f>
        <v/>
      </c>
      <c r="D115" s="103" t="n">
        <v>2043</v>
      </c>
      <c r="E115" s="103">
        <f>IF(D115="",Параметры!$B$11,MAX(1,D115-C115))</f>
        <v/>
      </c>
      <c r="F115" s="103">
        <f>MAX(0,YEAR(Параметры!$B$2)-C115)</f>
        <v/>
      </c>
      <c r="G115" s="104">
        <f>MIN(100,F115/E115*100)</f>
        <v/>
      </c>
      <c r="H115" s="104">
        <f>100-G115</f>
        <v/>
      </c>
      <c r="I115" s="103">
        <f>AVERAGE(Комплектация!BJ117,Комплектация!BP117,Комплектация!BV117,Комплектация!CB117,Комплектация!CH117,Комплектация!CN117)</f>
        <v/>
      </c>
      <c r="J115" s="103">
        <f>MAX(0,YEAR(Параметры!$B$2)-I115)</f>
        <v/>
      </c>
      <c r="K115" s="104">
        <f>MIN(100,J115/Параметры!$B$12*100)</f>
        <v/>
      </c>
      <c r="L115" s="104">
        <f>100-K115</f>
        <v/>
      </c>
      <c r="M115" s="103">
        <f>MIN(Комплектация!AA117,Комплектация!AB117,Комплектация!AK117,Комплектация!AL117,Комплектация!AU117,Комплектация!AV117,Комплектация!BE117,Комплектация!BF117)</f>
        <v/>
      </c>
      <c r="N115" s="104">
        <f>AVERAGE((100-MAX(0,MIN(100,(Параметры!$B$13-MIN(Комплектация!AA117,Комплектация!AB117))/(Параметры!$B$13-Параметры!$B$14)*100))),(100-MAX(0,MIN(100,(Параметры!$B$13-MIN(Комплектация!AK117,Комплектация!AL117))/(Параметры!$B$13-Параметры!$B$14)*100))),(100-MAX(0,MIN(100,(Параметры!$B$13-MIN(Комплектация!AU117,Комплектация!AV117))/(Параметры!$B$13-Параметры!$B$14)*100))),(100-MAX(0,MIN(100,(Параметры!$B$13-MIN(Комплектация!BE117,Комплектация!BF117))/(Параметры!$B$13-Параметры!$B$14)*100))))</f>
        <v/>
      </c>
      <c r="O115" s="104">
        <f>AVERAGE(H115,L115)</f>
        <v/>
      </c>
      <c r="P115" s="105">
        <f>Параметры!$B$3*(Параметры!$B$5*H115+Параметры!$B$6*L115+Параметры!$B$7*N115+Параметры!$B$8*O115)/100</f>
        <v/>
      </c>
      <c r="Q115" s="106" t="n">
        <v>46148</v>
      </c>
      <c r="R115" s="106" t="n">
        <v>47244</v>
      </c>
      <c r="S115" s="104">
        <f>IF(OR(Q115="",R115="",R115=Q115),"",MAX(0,MIN(100,(Параметры!$B$2-Q115)/(R115-Q115)*100)))</f>
        <v/>
      </c>
      <c r="T115" s="103">
        <f>IF(ISNUMBER(Комплектация!P117),Комплектация!P117,"")</f>
        <v/>
      </c>
      <c r="U115" s="103">
        <f>IF(ISNUMBER(Комплектация!N117),Комплектация!N117,"")</f>
        <v/>
      </c>
      <c r="V115" s="104">
        <f>IF(OR(U115="",T115="",U115=0),"",MAX(0,MIN(100,(U115-T115)/U115*100)))</f>
        <v/>
      </c>
      <c r="W115" s="104">
        <f>MAX(IF(S115="",0,S115),IF(V115="",0,V115))</f>
        <v/>
      </c>
      <c r="X115" s="105">
        <f>Параметры!$B$18*W115/100</f>
        <v/>
      </c>
      <c r="Y115" s="103">
        <f>IF(MIN(Комплектация!AA117,Комплектация!AB117)-Параметры!$B$15&lt;Параметры!$B$16,1,0)+IF(MIN(Комплектация!AK117,Комплектация!AL117)-Параметры!$B$15&lt;Параметры!$B$16,1,0)+IF(MIN(Комплектация!AU117,Комплектация!AV117)-Параметры!$B$15&lt;Параметры!$B$16,1,0)+IF(MIN(Комплектация!BE117,Комплектация!BF117)-Параметры!$B$15&lt;Параметры!$B$16,1,0)</f>
        <v/>
      </c>
      <c r="Z115" s="105">
        <f>Y115*Параметры!$B$19</f>
        <v/>
      </c>
      <c r="AA115" s="107">
        <f>MAX(0,P115-X115-Z115)</f>
        <v/>
      </c>
      <c r="AB115" s="108">
        <f>SUMIFS(Прайс!$D$3:$D$11,Прайс!$A$3:$A$11,B115,Прайс!$B$3:$B$11,C115)</f>
        <v/>
      </c>
      <c r="AC115" s="105">
        <f>IF(AB115="","",AB115-AA115)</f>
        <v/>
      </c>
      <c r="AD115" s="109" t="n">
        <v>3149547.673357664</v>
      </c>
    </row>
    <row r="116">
      <c r="A116" s="101">
        <f>Комплектация!A118</f>
        <v/>
      </c>
      <c r="B116" s="101">
        <f>Комплектация!C118</f>
        <v/>
      </c>
      <c r="C116" s="102">
        <f>Комплектация!E118</f>
        <v/>
      </c>
      <c r="D116" s="103" t="n">
        <v>2043</v>
      </c>
      <c r="E116" s="103">
        <f>IF(D116="",Параметры!$B$11,MAX(1,D116-C116))</f>
        <v/>
      </c>
      <c r="F116" s="103">
        <f>MAX(0,YEAR(Параметры!$B$2)-C116)</f>
        <v/>
      </c>
      <c r="G116" s="104">
        <f>MIN(100,F116/E116*100)</f>
        <v/>
      </c>
      <c r="H116" s="104">
        <f>100-G116</f>
        <v/>
      </c>
      <c r="I116" s="103">
        <f>AVERAGE(Комплектация!BJ118,Комплектация!BP118,Комплектация!BV118,Комплектация!CB118,Комплектация!CH118,Комплектация!CN118)</f>
        <v/>
      </c>
      <c r="J116" s="103">
        <f>MAX(0,YEAR(Параметры!$B$2)-I116)</f>
        <v/>
      </c>
      <c r="K116" s="104">
        <f>MIN(100,J116/Параметры!$B$12*100)</f>
        <v/>
      </c>
      <c r="L116" s="104">
        <f>100-K116</f>
        <v/>
      </c>
      <c r="M116" s="103">
        <f>MIN(Комплектация!AA118,Комплектация!AB118,Комплектация!AK118,Комплектация!AL118,Комплектация!AU118,Комплектация!AV118,Комплектация!BE118,Комплектация!BF118)</f>
        <v/>
      </c>
      <c r="N116" s="104">
        <f>AVERAGE((100-MAX(0,MIN(100,(Параметры!$B$13-MIN(Комплектация!AA118,Комплектация!AB118))/(Параметры!$B$13-Параметры!$B$14)*100))),(100-MAX(0,MIN(100,(Параметры!$B$13-MIN(Комплектация!AK118,Комплектация!AL118))/(Параметры!$B$13-Параметры!$B$14)*100))),(100-MAX(0,MIN(100,(Параметры!$B$13-MIN(Комплектация!AU118,Комплектация!AV118))/(Параметры!$B$13-Параметры!$B$14)*100))),(100-MAX(0,MIN(100,(Параметры!$B$13-MIN(Комплектация!BE118,Комплектация!BF118))/(Параметры!$B$13-Параметры!$B$14)*100))))</f>
        <v/>
      </c>
      <c r="O116" s="104">
        <f>AVERAGE(H116,L116)</f>
        <v/>
      </c>
      <c r="P116" s="105">
        <f>Параметры!$B$3*(Параметры!$B$5*H116+Параметры!$B$6*L116+Параметры!$B$7*N116+Параметры!$B$8*O116)/100</f>
        <v/>
      </c>
      <c r="Q116" s="106" t="n">
        <v>46149</v>
      </c>
      <c r="R116" s="106" t="n">
        <v>47245</v>
      </c>
      <c r="S116" s="104">
        <f>IF(OR(Q116="",R116="",R116=Q116),"",MAX(0,MIN(100,(Параметры!$B$2-Q116)/(R116-Q116)*100)))</f>
        <v/>
      </c>
      <c r="T116" s="103">
        <f>IF(ISNUMBER(Комплектация!P118),Комплектация!P118,"")</f>
        <v/>
      </c>
      <c r="U116" s="103">
        <f>IF(ISNUMBER(Комплектация!N118),Комплектация!N118,"")</f>
        <v/>
      </c>
      <c r="V116" s="104">
        <f>IF(OR(U116="",T116="",U116=0),"",MAX(0,MIN(100,(U116-T116)/U116*100)))</f>
        <v/>
      </c>
      <c r="W116" s="104">
        <f>MAX(IF(S116="",0,S116),IF(V116="",0,V116))</f>
        <v/>
      </c>
      <c r="X116" s="105">
        <f>Параметры!$B$18*W116/100</f>
        <v/>
      </c>
      <c r="Y116" s="103">
        <f>IF(MIN(Комплектация!AA118,Комплектация!AB118)-Параметры!$B$15&lt;Параметры!$B$16,1,0)+IF(MIN(Комплектация!AK118,Комплектация!AL118)-Параметры!$B$15&lt;Параметры!$B$16,1,0)+IF(MIN(Комплектация!AU118,Комплектация!AV118)-Параметры!$B$15&lt;Параметры!$B$16,1,0)+IF(MIN(Комплектация!BE118,Комплектация!BF118)-Параметры!$B$15&lt;Параметры!$B$16,1,0)</f>
        <v/>
      </c>
      <c r="Z116" s="105">
        <f>Y116*Параметры!$B$19</f>
        <v/>
      </c>
      <c r="AA116" s="107">
        <f>MAX(0,P116-X116-Z116)</f>
        <v/>
      </c>
      <c r="AB116" s="108">
        <f>SUMIFS(Прайс!$D$3:$D$11,Прайс!$A$3:$A$11,B116,Прайс!$B$3:$B$11,C116)</f>
        <v/>
      </c>
      <c r="AC116" s="105">
        <f>IF(AB116="","",AB116-AA116)</f>
        <v/>
      </c>
      <c r="AD116" s="109" t="n">
        <v>3138346.943430657</v>
      </c>
    </row>
    <row r="117">
      <c r="A117" s="101">
        <f>Комплектация!A119</f>
        <v/>
      </c>
      <c r="B117" s="101">
        <f>Комплектация!C119</f>
        <v/>
      </c>
      <c r="C117" s="102">
        <f>Комплектация!E119</f>
        <v/>
      </c>
      <c r="D117" s="103" t="n">
        <v>2043</v>
      </c>
      <c r="E117" s="103">
        <f>IF(D117="",Параметры!$B$11,MAX(1,D117-C117))</f>
        <v/>
      </c>
      <c r="F117" s="103">
        <f>MAX(0,YEAR(Параметры!$B$2)-C117)</f>
        <v/>
      </c>
      <c r="G117" s="104">
        <f>MIN(100,F117/E117*100)</f>
        <v/>
      </c>
      <c r="H117" s="104">
        <f>100-G117</f>
        <v/>
      </c>
      <c r="I117" s="103">
        <f>AVERAGE(Комплектация!BJ119,Комплектация!BP119,Комплектация!BV119,Комплектация!CB119,Комплектация!CH119,Комплектация!CN119)</f>
        <v/>
      </c>
      <c r="J117" s="103">
        <f>MAX(0,YEAR(Параметры!$B$2)-I117)</f>
        <v/>
      </c>
      <c r="K117" s="104">
        <f>MIN(100,J117/Параметры!$B$12*100)</f>
        <v/>
      </c>
      <c r="L117" s="104">
        <f>100-K117</f>
        <v/>
      </c>
      <c r="M117" s="103">
        <f>MIN(Комплектация!AA119,Комплектация!AB119,Комплектация!AK119,Комплектация!AL119,Комплектация!AU119,Комплектация!AV119,Комплектация!BE119,Комплектация!BF119)</f>
        <v/>
      </c>
      <c r="N117" s="104">
        <f>AVERAGE((100-MAX(0,MIN(100,(Параметры!$B$13-MIN(Комплектация!AA119,Комплектация!AB119))/(Параметры!$B$13-Параметры!$B$14)*100))),(100-MAX(0,MIN(100,(Параметры!$B$13-MIN(Комплектация!AK119,Комплектация!AL119))/(Параметры!$B$13-Параметры!$B$14)*100))),(100-MAX(0,MIN(100,(Параметры!$B$13-MIN(Комплектация!AU119,Комплектация!AV119))/(Параметры!$B$13-Параметры!$B$14)*100))),(100-MAX(0,MIN(100,(Параметры!$B$13-MIN(Комплектация!BE119,Комплектация!BF119))/(Параметры!$B$13-Параметры!$B$14)*100))))</f>
        <v/>
      </c>
      <c r="O117" s="104">
        <f>AVERAGE(H117,L117)</f>
        <v/>
      </c>
      <c r="P117" s="105">
        <f>Параметры!$B$3*(Параметры!$B$5*H117+Параметры!$B$6*L117+Параметры!$B$7*N117+Параметры!$B$8*O117)/100</f>
        <v/>
      </c>
      <c r="Q117" s="106" t="n">
        <v>45168</v>
      </c>
      <c r="R117" s="106" t="n">
        <v>46264</v>
      </c>
      <c r="S117" s="104">
        <f>IF(OR(Q117="",R117="",R117=Q117),"",MAX(0,MIN(100,(Параметры!$B$2-Q117)/(R117-Q117)*100)))</f>
        <v/>
      </c>
      <c r="T117" s="103">
        <f>IF(ISNUMBER(Комплектация!P119),Комплектация!P119,"")</f>
        <v/>
      </c>
      <c r="U117" s="103">
        <f>IF(ISNUMBER(Комплектация!N119),Комплектация!N119,"")</f>
        <v/>
      </c>
      <c r="V117" s="104">
        <f>IF(OR(U117="",T117="",U117=0),"",MAX(0,MIN(100,(U117-T117)/U117*100)))</f>
        <v/>
      </c>
      <c r="W117" s="104">
        <f>MAX(IF(S117="",0,S117),IF(V117="",0,V117))</f>
        <v/>
      </c>
      <c r="X117" s="105">
        <f>Параметры!$B$18*W117/100</f>
        <v/>
      </c>
      <c r="Y117" s="103">
        <f>IF(MIN(Комплектация!AA119,Комплектация!AB119)-Параметры!$B$15&lt;Параметры!$B$16,1,0)+IF(MIN(Комплектация!AK119,Комплектация!AL119)-Параметры!$B$15&lt;Параметры!$B$16,1,0)+IF(MIN(Комплектация!AU119,Комплектация!AV119)-Параметры!$B$15&lt;Параметры!$B$16,1,0)+IF(MIN(Комплектация!BE119,Комплектация!BF119)-Параметры!$B$15&lt;Параметры!$B$16,1,0)</f>
        <v/>
      </c>
      <c r="Z117" s="105">
        <f>Y117*Параметры!$B$19</f>
        <v/>
      </c>
      <c r="AA117" s="107">
        <f>MAX(0,P117-X117-Z117)</f>
        <v/>
      </c>
      <c r="AB117" s="108">
        <f>SUMIFS(Прайс!$D$3:$D$11,Прайс!$A$3:$A$11,B117,Прайс!$B$3:$B$11,C117)</f>
        <v/>
      </c>
      <c r="AC117" s="105">
        <f>IF(AB117="","",AB117-AA117)</f>
        <v/>
      </c>
      <c r="AD117" s="109" t="n">
        <v>1940735.827911774</v>
      </c>
    </row>
    <row r="118">
      <c r="A118" s="101">
        <f>Комплектация!A120</f>
        <v/>
      </c>
      <c r="B118" s="101">
        <f>Комплектация!C120</f>
        <v/>
      </c>
      <c r="C118" s="102">
        <f>Комплектация!E120</f>
        <v/>
      </c>
      <c r="D118" s="103" t="n">
        <v>2043</v>
      </c>
      <c r="E118" s="103">
        <f>IF(D118="",Параметры!$B$11,MAX(1,D118-C118))</f>
        <v/>
      </c>
      <c r="F118" s="103">
        <f>MAX(0,YEAR(Параметры!$B$2)-C118)</f>
        <v/>
      </c>
      <c r="G118" s="104">
        <f>MIN(100,F118/E118*100)</f>
        <v/>
      </c>
      <c r="H118" s="104">
        <f>100-G118</f>
        <v/>
      </c>
      <c r="I118" s="103">
        <f>AVERAGE(Комплектация!BJ120,Комплектация!BP120,Комплектация!BV120,Комплектация!CB120,Комплектация!CH120,Комплектация!CN120)</f>
        <v/>
      </c>
      <c r="J118" s="103">
        <f>MAX(0,YEAR(Параметры!$B$2)-I118)</f>
        <v/>
      </c>
      <c r="K118" s="104">
        <f>MIN(100,J118/Параметры!$B$12*100)</f>
        <v/>
      </c>
      <c r="L118" s="104">
        <f>100-K118</f>
        <v/>
      </c>
      <c r="M118" s="103">
        <f>MIN(Комплектация!AA120,Комплектация!AB120,Комплектация!AK120,Комплектация!AL120,Комплектация!AU120,Комплектация!AV120,Комплектация!BE120,Комплектация!BF120)</f>
        <v/>
      </c>
      <c r="N118" s="104">
        <f>AVERAGE((100-MAX(0,MIN(100,(Параметры!$B$13-MIN(Комплектация!AA120,Комплектация!AB120))/(Параметры!$B$13-Параметры!$B$14)*100))),(100-MAX(0,MIN(100,(Параметры!$B$13-MIN(Комплектация!AK120,Комплектация!AL120))/(Параметры!$B$13-Параметры!$B$14)*100))),(100-MAX(0,MIN(100,(Параметры!$B$13-MIN(Комплектация!AU120,Комплектация!AV120))/(Параметры!$B$13-Параметры!$B$14)*100))),(100-MAX(0,MIN(100,(Параметры!$B$13-MIN(Комплектация!BE120,Комплектация!BF120))/(Параметры!$B$13-Параметры!$B$14)*100))))</f>
        <v/>
      </c>
      <c r="O118" s="104">
        <f>AVERAGE(H118,L118)</f>
        <v/>
      </c>
      <c r="P118" s="105">
        <f>Параметры!$B$3*(Параметры!$B$5*H118+Параметры!$B$6*L118+Параметры!$B$7*N118+Параметры!$B$8*O118)/100</f>
        <v/>
      </c>
      <c r="Q118" s="106" t="n">
        <v>45959</v>
      </c>
      <c r="R118" s="106" t="n">
        <v>47055</v>
      </c>
      <c r="S118" s="104">
        <f>IF(OR(Q118="",R118="",R118=Q118),"",MAX(0,MIN(100,(Параметры!$B$2-Q118)/(R118-Q118)*100)))</f>
        <v/>
      </c>
      <c r="T118" s="103">
        <f>IF(ISNUMBER(Комплектация!P120),Комплектация!P120,"")</f>
        <v/>
      </c>
      <c r="U118" s="103">
        <f>IF(ISNUMBER(Комплектация!N120),Комплектация!N120,"")</f>
        <v/>
      </c>
      <c r="V118" s="104">
        <f>IF(OR(U118="",T118="",U118=0),"",MAX(0,MIN(100,(U118-T118)/U118*100)))</f>
        <v/>
      </c>
      <c r="W118" s="104">
        <f>MAX(IF(S118="",0,S118),IF(V118="",0,V118))</f>
        <v/>
      </c>
      <c r="X118" s="105">
        <f>Параметры!$B$18*W118/100</f>
        <v/>
      </c>
      <c r="Y118" s="103">
        <f>IF(MIN(Комплектация!AA120,Комплектация!AB120)-Параметры!$B$15&lt;Параметры!$B$16,1,0)+IF(MIN(Комплектация!AK120,Комплектация!AL120)-Параметры!$B$15&lt;Параметры!$B$16,1,0)+IF(MIN(Комплектация!AU120,Комплектация!AV120)-Параметры!$B$15&lt;Параметры!$B$16,1,0)+IF(MIN(Комплектация!BE120,Комплектация!BF120)-Параметры!$B$15&lt;Параметры!$B$16,1,0)</f>
        <v/>
      </c>
      <c r="Z118" s="105">
        <f>Y118*Параметры!$B$19</f>
        <v/>
      </c>
      <c r="AA118" s="107">
        <f>MAX(0,P118-X118-Z118)</f>
        <v/>
      </c>
      <c r="AB118" s="108">
        <f>SUMIFS(Прайс!$D$3:$D$11,Прайс!$A$3:$A$11,B118,Прайс!$B$3:$B$11,C118)</f>
        <v/>
      </c>
      <c r="AC118" s="105">
        <f>IF(AB118="","",AB118-AA118)</f>
        <v/>
      </c>
      <c r="AD118" s="109" t="n">
        <v>3075173.129562044</v>
      </c>
    </row>
    <row r="119">
      <c r="A119" s="101">
        <f>Комплектация!A121</f>
        <v/>
      </c>
      <c r="B119" s="101">
        <f>Комплектация!C121</f>
        <v/>
      </c>
      <c r="C119" s="102">
        <f>Комплектация!E121</f>
        <v/>
      </c>
      <c r="D119" s="103" t="n">
        <v>2043</v>
      </c>
      <c r="E119" s="103">
        <f>IF(D119="",Параметры!$B$11,MAX(1,D119-C119))</f>
        <v/>
      </c>
      <c r="F119" s="103">
        <f>MAX(0,YEAR(Параметры!$B$2)-C119)</f>
        <v/>
      </c>
      <c r="G119" s="104">
        <f>MIN(100,F119/E119*100)</f>
        <v/>
      </c>
      <c r="H119" s="104">
        <f>100-G119</f>
        <v/>
      </c>
      <c r="I119" s="103">
        <f>AVERAGE(Комплектация!BJ121,Комплектация!BP121,Комплектация!BV121,Комплектация!CB121,Комплектация!CH121,Комплектация!CN121)</f>
        <v/>
      </c>
      <c r="J119" s="103">
        <f>MAX(0,YEAR(Параметры!$B$2)-I119)</f>
        <v/>
      </c>
      <c r="K119" s="104">
        <f>MIN(100,J119/Параметры!$B$12*100)</f>
        <v/>
      </c>
      <c r="L119" s="104">
        <f>100-K119</f>
        <v/>
      </c>
      <c r="M119" s="103">
        <f>MIN(Комплектация!AA121,Комплектация!AB121,Комплектация!AK121,Комплектация!AL121,Комплектация!AU121,Комплектация!AV121,Комплектация!BE121,Комплектация!BF121)</f>
        <v/>
      </c>
      <c r="N119" s="104">
        <f>AVERAGE((100-MAX(0,MIN(100,(Параметры!$B$13-MIN(Комплектация!AA121,Комплектация!AB121))/(Параметры!$B$13-Параметры!$B$14)*100))),(100-MAX(0,MIN(100,(Параметры!$B$13-MIN(Комплектация!AK121,Комплектация!AL121))/(Параметры!$B$13-Параметры!$B$14)*100))),(100-MAX(0,MIN(100,(Параметры!$B$13-MIN(Комплектация!AU121,Комплектация!AV121))/(Параметры!$B$13-Параметры!$B$14)*100))),(100-MAX(0,MIN(100,(Параметры!$B$13-MIN(Комплектация!BE121,Комплектация!BF121))/(Параметры!$B$13-Параметры!$B$14)*100))))</f>
        <v/>
      </c>
      <c r="O119" s="104">
        <f>AVERAGE(H119,L119)</f>
        <v/>
      </c>
      <c r="P119" s="105">
        <f>Параметры!$B$3*(Параметры!$B$5*H119+Параметры!$B$6*L119+Параметры!$B$7*N119+Параметры!$B$8*O119)/100</f>
        <v/>
      </c>
      <c r="Q119" s="106" t="n">
        <v>46109</v>
      </c>
      <c r="R119" s="106" t="n">
        <v>46840</v>
      </c>
      <c r="S119" s="104">
        <f>IF(OR(Q119="",R119="",R119=Q119),"",MAX(0,MIN(100,(Параметры!$B$2-Q119)/(R119-Q119)*100)))</f>
        <v/>
      </c>
      <c r="T119" s="103">
        <f>IF(ISNUMBER(Комплектация!P121),Комплектация!P121,"")</f>
        <v/>
      </c>
      <c r="U119" s="103">
        <f>IF(ISNUMBER(Комплектация!N121),Комплектация!N121,"")</f>
        <v/>
      </c>
      <c r="V119" s="104">
        <f>IF(OR(U119="",T119="",U119=0),"",MAX(0,MIN(100,(U119-T119)/U119*100)))</f>
        <v/>
      </c>
      <c r="W119" s="104">
        <f>MAX(IF(S119="",0,S119),IF(V119="",0,V119))</f>
        <v/>
      </c>
      <c r="X119" s="105">
        <f>Параметры!$B$18*W119/100</f>
        <v/>
      </c>
      <c r="Y119" s="103">
        <f>IF(MIN(Комплектация!AA121,Комплектация!AB121)-Параметры!$B$15&lt;Параметры!$B$16,1,0)+IF(MIN(Комплектация!AK121,Комплектация!AL121)-Параметры!$B$15&lt;Параметры!$B$16,1,0)+IF(MIN(Комплектация!AU121,Комплектация!AV121)-Параметры!$B$15&lt;Параметры!$B$16,1,0)+IF(MIN(Комплектация!BE121,Комплектация!BF121)-Параметры!$B$15&lt;Параметры!$B$16,1,0)</f>
        <v/>
      </c>
      <c r="Z119" s="105">
        <f>Y119*Параметры!$B$19</f>
        <v/>
      </c>
      <c r="AA119" s="107">
        <f>MAX(0,P119-X119-Z119)</f>
        <v/>
      </c>
      <c r="AB119" s="108">
        <f>SUMIFS(Прайс!$D$3:$D$11,Прайс!$A$3:$A$11,B119,Прайс!$B$3:$B$11,C119)</f>
        <v/>
      </c>
      <c r="AC119" s="105">
        <f>IF(AB119="","",AB119-AA119)</f>
        <v/>
      </c>
      <c r="AD119" s="109" t="n">
        <v>3233336.311559507</v>
      </c>
    </row>
    <row r="120">
      <c r="A120" s="101">
        <f>Комплектация!A122</f>
        <v/>
      </c>
      <c r="B120" s="101">
        <f>Комплектация!C122</f>
        <v/>
      </c>
      <c r="C120" s="102">
        <f>Комплектация!E122</f>
        <v/>
      </c>
      <c r="D120" s="103" t="n">
        <v>2044</v>
      </c>
      <c r="E120" s="103">
        <f>IF(D120="",Параметры!$B$11,MAX(1,D120-C120))</f>
        <v/>
      </c>
      <c r="F120" s="103">
        <f>MAX(0,YEAR(Параметры!$B$2)-C120)</f>
        <v/>
      </c>
      <c r="G120" s="104">
        <f>MIN(100,F120/E120*100)</f>
        <v/>
      </c>
      <c r="H120" s="104">
        <f>100-G120</f>
        <v/>
      </c>
      <c r="I120" s="103">
        <f>AVERAGE(Комплектация!BJ122,Комплектация!BP122,Комплектация!BV122,Комплектация!CB122,Комплектация!CH122,Комплектация!CN122)</f>
        <v/>
      </c>
      <c r="J120" s="103">
        <f>MAX(0,YEAR(Параметры!$B$2)-I120)</f>
        <v/>
      </c>
      <c r="K120" s="104">
        <f>MIN(100,J120/Параметры!$B$12*100)</f>
        <v/>
      </c>
      <c r="L120" s="104">
        <f>100-K120</f>
        <v/>
      </c>
      <c r="M120" s="103">
        <f>MIN(Комплектация!AA122,Комплектация!AB122,Комплектация!AK122,Комплектация!AL122,Комплектация!AU122,Комплектация!AV122,Комплектация!BE122,Комплектация!BF122)</f>
        <v/>
      </c>
      <c r="N120" s="104">
        <f>AVERAGE((100-MAX(0,MIN(100,(Параметры!$B$13-MIN(Комплектация!AA122,Комплектация!AB122))/(Параметры!$B$13-Параметры!$B$14)*100))),(100-MAX(0,MIN(100,(Параметры!$B$13-MIN(Комплектация!AK122,Комплектация!AL122))/(Параметры!$B$13-Параметры!$B$14)*100))),(100-MAX(0,MIN(100,(Параметры!$B$13-MIN(Комплектация!AU122,Комплектация!AV122))/(Параметры!$B$13-Параметры!$B$14)*100))),(100-MAX(0,MIN(100,(Параметры!$B$13-MIN(Комплектация!BE122,Комплектация!BF122))/(Параметры!$B$13-Параметры!$B$14)*100))))</f>
        <v/>
      </c>
      <c r="O120" s="104">
        <f>AVERAGE(H120,L120)</f>
        <v/>
      </c>
      <c r="P120" s="105">
        <f>Параметры!$B$3*(Параметры!$B$5*H120+Параметры!$B$6*L120+Параметры!$B$7*N120+Параметры!$B$8*O120)/100</f>
        <v/>
      </c>
      <c r="Q120" s="106" t="n">
        <v>45738</v>
      </c>
      <c r="R120" s="106" t="n">
        <v>46468</v>
      </c>
      <c r="S120" s="104">
        <f>IF(OR(Q120="",R120="",R120=Q120),"",MAX(0,MIN(100,(Параметры!$B$2-Q120)/(R120-Q120)*100)))</f>
        <v/>
      </c>
      <c r="T120" s="103">
        <f>IF(ISNUMBER(Комплектация!P122),Комплектация!P122,"")</f>
        <v/>
      </c>
      <c r="U120" s="103">
        <f>IF(ISNUMBER(Комплектация!N122),Комплектация!N122,"")</f>
        <v/>
      </c>
      <c r="V120" s="104">
        <f>IF(OR(U120="",T120="",U120=0),"",MAX(0,MIN(100,(U120-T120)/U120*100)))</f>
        <v/>
      </c>
      <c r="W120" s="104">
        <f>MAX(IF(S120="",0,S120),IF(V120="",0,V120))</f>
        <v/>
      </c>
      <c r="X120" s="105">
        <f>Параметры!$B$18*W120/100</f>
        <v/>
      </c>
      <c r="Y120" s="103">
        <f>IF(MIN(Комплектация!AA122,Комплектация!AB122)-Параметры!$B$15&lt;Параметры!$B$16,1,0)+IF(MIN(Комплектация!AK122,Комплектация!AL122)-Параметры!$B$15&lt;Параметры!$B$16,1,0)+IF(MIN(Комплектация!AU122,Комплектация!AV122)-Параметры!$B$15&lt;Параметры!$B$16,1,0)+IF(MIN(Комплектация!BE122,Комплектация!BF122)-Параметры!$B$15&lt;Параметры!$B$16,1,0)</f>
        <v/>
      </c>
      <c r="Z120" s="105">
        <f>Y120*Параметры!$B$19</f>
        <v/>
      </c>
      <c r="AA120" s="107">
        <f>MAX(0,P120-X120-Z120)</f>
        <v/>
      </c>
      <c r="AB120" s="108">
        <f>SUMIFS(Прайс!$D$3:$D$11,Прайс!$A$3:$A$11,B120,Прайс!$B$3:$B$11,C120)</f>
        <v/>
      </c>
      <c r="AC120" s="105">
        <f>IF(AB120="","",AB120-AA120)</f>
        <v/>
      </c>
      <c r="AD120" s="109" t="n">
        <v>3133494.863013698</v>
      </c>
    </row>
    <row r="121">
      <c r="A121" s="101">
        <f>Комплектация!A123</f>
        <v/>
      </c>
      <c r="B121" s="101">
        <f>Комплектация!C123</f>
        <v/>
      </c>
      <c r="C121" s="102">
        <f>Комплектация!E123</f>
        <v/>
      </c>
      <c r="D121" s="103" t="n">
        <v>2047</v>
      </c>
      <c r="E121" s="103">
        <f>IF(D121="",Параметры!$B$11,MAX(1,D121-C121))</f>
        <v/>
      </c>
      <c r="F121" s="103">
        <f>MAX(0,YEAR(Параметры!$B$2)-C121)</f>
        <v/>
      </c>
      <c r="G121" s="104">
        <f>MIN(100,F121/E121*100)</f>
        <v/>
      </c>
      <c r="H121" s="104">
        <f>100-G121</f>
        <v/>
      </c>
      <c r="I121" s="103">
        <f>AVERAGE(Комплектация!BJ123,Комплектация!BP123,Комплектация!BV123,Комплектация!CB123,Комплектация!CH123,Комплектация!CN123)</f>
        <v/>
      </c>
      <c r="J121" s="103">
        <f>MAX(0,YEAR(Параметры!$B$2)-I121)</f>
        <v/>
      </c>
      <c r="K121" s="104">
        <f>MIN(100,J121/Параметры!$B$12*100)</f>
        <v/>
      </c>
      <c r="L121" s="104">
        <f>100-K121</f>
        <v/>
      </c>
      <c r="M121" s="103">
        <f>MIN(Комплектация!AA123,Комплектация!AB123,Комплектация!AK123,Комплектация!AL123,Комплектация!AU123,Комплектация!AV123,Комплектация!BE123,Комплектация!BF123)</f>
        <v/>
      </c>
      <c r="N121" s="104">
        <f>AVERAGE((100-MAX(0,MIN(100,(Параметры!$B$13-MIN(Комплектация!AA123,Комплектация!AB123))/(Параметры!$B$13-Параметры!$B$14)*100))),(100-MAX(0,MIN(100,(Параметры!$B$13-MIN(Комплектация!AK123,Комплектация!AL123))/(Параметры!$B$13-Параметры!$B$14)*100))),(100-MAX(0,MIN(100,(Параметры!$B$13-MIN(Комплектация!AU123,Комплектация!AV123))/(Параметры!$B$13-Параметры!$B$14)*100))),(100-MAX(0,MIN(100,(Параметры!$B$13-MIN(Комплектация!BE123,Комплектация!BF123))/(Параметры!$B$13-Параметры!$B$14)*100))))</f>
        <v/>
      </c>
      <c r="O121" s="104">
        <f>AVERAGE(H121,L121)</f>
        <v/>
      </c>
      <c r="P121" s="105">
        <f>Параметры!$B$3*(Параметры!$B$5*H121+Параметры!$B$6*L121+Параметры!$B$7*N121+Параметры!$B$8*O121)/100</f>
        <v/>
      </c>
      <c r="Q121" s="106" t="n">
        <v>45954</v>
      </c>
      <c r="R121" s="106" t="n">
        <v>47050</v>
      </c>
      <c r="S121" s="104">
        <f>IF(OR(Q121="",R121="",R121=Q121),"",MAX(0,MIN(100,(Параметры!$B$2-Q121)/(R121-Q121)*100)))</f>
        <v/>
      </c>
      <c r="T121" s="103">
        <f>IF(ISNUMBER(Комплектация!P123),Комплектация!P123,"")</f>
        <v/>
      </c>
      <c r="U121" s="103">
        <f>IF(ISNUMBER(Комплектация!N123),Комплектация!N123,"")</f>
        <v/>
      </c>
      <c r="V121" s="104">
        <f>IF(OR(U121="",T121="",U121=0),"",MAX(0,MIN(100,(U121-T121)/U121*100)))</f>
        <v/>
      </c>
      <c r="W121" s="104">
        <f>MAX(IF(S121="",0,S121),IF(V121="",0,V121))</f>
        <v/>
      </c>
      <c r="X121" s="105">
        <f>Параметры!$B$18*W121/100</f>
        <v/>
      </c>
      <c r="Y121" s="103">
        <f>IF(MIN(Комплектация!AA123,Комплектация!AB123)-Параметры!$B$15&lt;Параметры!$B$16,1,0)+IF(MIN(Комплектация!AK123,Комплектация!AL123)-Параметры!$B$15&lt;Параметры!$B$16,1,0)+IF(MIN(Комплектация!AU123,Комплектация!AV123)-Параметры!$B$15&lt;Параметры!$B$16,1,0)+IF(MIN(Комплектация!BE123,Комплектация!BF123)-Параметры!$B$15&lt;Параметры!$B$16,1,0)</f>
        <v/>
      </c>
      <c r="Z121" s="105">
        <f>Y121*Параметры!$B$19</f>
        <v/>
      </c>
      <c r="AA121" s="107">
        <f>MAX(0,P121-X121-Z121)</f>
        <v/>
      </c>
      <c r="AB121" s="108">
        <f>SUMIFS(Прайс!$D$3:$D$11,Прайс!$A$3:$A$11,B121,Прайс!$B$3:$B$11,C121)</f>
        <v/>
      </c>
      <c r="AC121" s="105">
        <f>IF(AB121="","",AB121-AA121)</f>
        <v/>
      </c>
      <c r="AD121" s="109" t="n">
        <v>1846614.27919708</v>
      </c>
    </row>
    <row r="122">
      <c r="A122" s="101">
        <f>Комплектация!A124</f>
        <v/>
      </c>
      <c r="B122" s="101">
        <f>Комплектация!C124</f>
        <v/>
      </c>
      <c r="C122" s="102">
        <f>Комплектация!E124</f>
        <v/>
      </c>
      <c r="D122" s="103" t="n">
        <v>2043</v>
      </c>
      <c r="E122" s="103">
        <f>IF(D122="",Параметры!$B$11,MAX(1,D122-C122))</f>
        <v/>
      </c>
      <c r="F122" s="103">
        <f>MAX(0,YEAR(Параметры!$B$2)-C122)</f>
        <v/>
      </c>
      <c r="G122" s="104">
        <f>MIN(100,F122/E122*100)</f>
        <v/>
      </c>
      <c r="H122" s="104">
        <f>100-G122</f>
        <v/>
      </c>
      <c r="I122" s="103">
        <f>AVERAGE(Комплектация!BJ124,Комплектация!BP124,Комплектация!BV124,Комплектация!CB124,Комплектация!CH124,Комплектация!CN124)</f>
        <v/>
      </c>
      <c r="J122" s="103">
        <f>MAX(0,YEAR(Параметры!$B$2)-I122)</f>
        <v/>
      </c>
      <c r="K122" s="104">
        <f>MIN(100,J122/Параметры!$B$12*100)</f>
        <v/>
      </c>
      <c r="L122" s="104">
        <f>100-K122</f>
        <v/>
      </c>
      <c r="M122" s="103">
        <f>MIN(Комплектация!AA124,Комплектация!AB124,Комплектация!AK124,Комплектация!AL124,Комплектация!AU124,Комплектация!AV124,Комплектация!BE124,Комплектация!BF124)</f>
        <v/>
      </c>
      <c r="N122" s="104">
        <f>AVERAGE((100-MAX(0,MIN(100,(Параметры!$B$13-MIN(Комплектация!AA124,Комплектация!AB124))/(Параметры!$B$13-Параметры!$B$14)*100))),(100-MAX(0,MIN(100,(Параметры!$B$13-MIN(Комплектация!AK124,Комплектация!AL124))/(Параметры!$B$13-Параметры!$B$14)*100))),(100-MAX(0,MIN(100,(Параметры!$B$13-MIN(Комплектация!AU124,Комплектация!AV124))/(Параметры!$B$13-Параметры!$B$14)*100))),(100-MAX(0,MIN(100,(Параметры!$B$13-MIN(Комплектация!BE124,Комплектация!BF124))/(Параметры!$B$13-Параметры!$B$14)*100))))</f>
        <v/>
      </c>
      <c r="O122" s="104">
        <f>AVERAGE(H122,L122)</f>
        <v/>
      </c>
      <c r="P122" s="105">
        <f>Параметры!$B$3*(Параметры!$B$5*H122+Параметры!$B$6*L122+Параметры!$B$7*N122+Параметры!$B$8*O122)/100</f>
        <v/>
      </c>
      <c r="Q122" s="106" t="n">
        <v>45960</v>
      </c>
      <c r="R122" s="106" t="n">
        <v>47056</v>
      </c>
      <c r="S122" s="104">
        <f>IF(OR(Q122="",R122="",R122=Q122),"",MAX(0,MIN(100,(Параметры!$B$2-Q122)/(R122-Q122)*100)))</f>
        <v/>
      </c>
      <c r="T122" s="103">
        <f>IF(ISNUMBER(Комплектация!P124),Комплектация!P124,"")</f>
        <v/>
      </c>
      <c r="U122" s="103">
        <f>IF(ISNUMBER(Комплектация!N124),Комплектация!N124,"")</f>
        <v/>
      </c>
      <c r="V122" s="104">
        <f>IF(OR(U122="",T122="",U122=0),"",MAX(0,MIN(100,(U122-T122)/U122*100)))</f>
        <v/>
      </c>
      <c r="W122" s="104">
        <f>MAX(IF(S122="",0,S122),IF(V122="",0,V122))</f>
        <v/>
      </c>
      <c r="X122" s="105">
        <f>Параметры!$B$18*W122/100</f>
        <v/>
      </c>
      <c r="Y122" s="103">
        <f>IF(MIN(Комплектация!AA124,Комплектация!AB124)-Параметры!$B$15&lt;Параметры!$B$16,1,0)+IF(MIN(Комплектация!AK124,Комплектация!AL124)-Параметры!$B$15&lt;Параметры!$B$16,1,0)+IF(MIN(Комплектация!AU124,Комплектация!AV124)-Параметры!$B$15&lt;Параметры!$B$16,1,0)+IF(MIN(Комплектация!BE124,Комплектация!BF124)-Параметры!$B$15&lt;Параметры!$B$16,1,0)</f>
        <v/>
      </c>
      <c r="Z122" s="105">
        <f>Y122*Параметры!$B$19</f>
        <v/>
      </c>
      <c r="AA122" s="107">
        <f>MAX(0,P122-X122-Z122)</f>
        <v/>
      </c>
      <c r="AB122" s="108">
        <f>SUMIFS(Прайс!$D$3:$D$11,Прайс!$A$3:$A$11,B122,Прайс!$B$3:$B$11,C122)</f>
        <v/>
      </c>
      <c r="AC122" s="105">
        <f>IF(AB122="","",AB122-AA122)</f>
        <v/>
      </c>
      <c r="AD122" s="109" t="n">
        <v>3098847.399635036</v>
      </c>
    </row>
    <row r="123">
      <c r="A123" s="101">
        <f>Комплектация!A125</f>
        <v/>
      </c>
      <c r="B123" s="101">
        <f>Комплектация!C125</f>
        <v/>
      </c>
      <c r="C123" s="102">
        <f>Комплектация!E125</f>
        <v/>
      </c>
      <c r="D123" s="103" t="n">
        <v>2043</v>
      </c>
      <c r="E123" s="103">
        <f>IF(D123="",Параметры!$B$11,MAX(1,D123-C123))</f>
        <v/>
      </c>
      <c r="F123" s="103">
        <f>MAX(0,YEAR(Параметры!$B$2)-C123)</f>
        <v/>
      </c>
      <c r="G123" s="104">
        <f>MIN(100,F123/E123*100)</f>
        <v/>
      </c>
      <c r="H123" s="104">
        <f>100-G123</f>
        <v/>
      </c>
      <c r="I123" s="103">
        <f>AVERAGE(Комплектация!BJ125,Комплектация!BP125,Комплектация!BV125,Комплектация!CB125,Комплектация!CH125,Комплектация!CN125)</f>
        <v/>
      </c>
      <c r="J123" s="103">
        <f>MAX(0,YEAR(Параметры!$B$2)-I123)</f>
        <v/>
      </c>
      <c r="K123" s="104">
        <f>MIN(100,J123/Параметры!$B$12*100)</f>
        <v/>
      </c>
      <c r="L123" s="104">
        <f>100-K123</f>
        <v/>
      </c>
      <c r="M123" s="103">
        <f>MIN(Комплектация!AA125,Комплектация!AB125,Комплектация!AK125,Комплектация!AL125,Комплектация!AU125,Комплектация!AV125,Комплектация!BE125,Комплектация!BF125)</f>
        <v/>
      </c>
      <c r="N123" s="104">
        <f>AVERAGE((100-MAX(0,MIN(100,(Параметры!$B$13-MIN(Комплектация!AA125,Комплектация!AB125))/(Параметры!$B$13-Параметры!$B$14)*100))),(100-MAX(0,MIN(100,(Параметры!$B$13-MIN(Комплектация!AK125,Комплектация!AL125))/(Параметры!$B$13-Параметры!$B$14)*100))),(100-MAX(0,MIN(100,(Параметры!$B$13-MIN(Комплектация!AU125,Комплектация!AV125))/(Параметры!$B$13-Параметры!$B$14)*100))),(100-MAX(0,MIN(100,(Параметры!$B$13-MIN(Комплектация!BE125,Комплектация!BF125))/(Параметры!$B$13-Параметры!$B$14)*100))))</f>
        <v/>
      </c>
      <c r="O123" s="104">
        <f>AVERAGE(H123,L123)</f>
        <v/>
      </c>
      <c r="P123" s="105">
        <f>Параметры!$B$3*(Параметры!$B$5*H123+Параметры!$B$6*L123+Параметры!$B$7*N123+Параметры!$B$8*O123)/100</f>
        <v/>
      </c>
      <c r="Q123" s="106" t="n">
        <v>45960</v>
      </c>
      <c r="R123" s="106" t="n">
        <v>47056</v>
      </c>
      <c r="S123" s="104">
        <f>IF(OR(Q123="",R123="",R123=Q123),"",MAX(0,MIN(100,(Параметры!$B$2-Q123)/(R123-Q123)*100)))</f>
        <v/>
      </c>
      <c r="T123" s="103">
        <f>IF(ISNUMBER(Комплектация!P125),Комплектация!P125,"")</f>
        <v/>
      </c>
      <c r="U123" s="103">
        <f>IF(ISNUMBER(Комплектация!N125),Комплектация!N125,"")</f>
        <v/>
      </c>
      <c r="V123" s="104">
        <f>IF(OR(U123="",T123="",U123=0),"",MAX(0,MIN(100,(U123-T123)/U123*100)))</f>
        <v/>
      </c>
      <c r="W123" s="104">
        <f>MAX(IF(S123="",0,S123),IF(V123="",0,V123))</f>
        <v/>
      </c>
      <c r="X123" s="105">
        <f>Параметры!$B$18*W123/100</f>
        <v/>
      </c>
      <c r="Y123" s="103">
        <f>IF(MIN(Комплектация!AA125,Комплектация!AB125)-Параметры!$B$15&lt;Параметры!$B$16,1,0)+IF(MIN(Комплектация!AK125,Комплектация!AL125)-Параметры!$B$15&lt;Параметры!$B$16,1,0)+IF(MIN(Комплектация!AU125,Комплектация!AV125)-Параметры!$B$15&lt;Параметры!$B$16,1,0)+IF(MIN(Комплектация!BE125,Комплектация!BF125)-Параметры!$B$15&lt;Параметры!$B$16,1,0)</f>
        <v/>
      </c>
      <c r="Z123" s="105">
        <f>Y123*Параметры!$B$19</f>
        <v/>
      </c>
      <c r="AA123" s="107">
        <f>MAX(0,P123-X123-Z123)</f>
        <v/>
      </c>
      <c r="AB123" s="108">
        <f>SUMIFS(Прайс!$D$3:$D$11,Прайс!$A$3:$A$11,B123,Прайс!$B$3:$B$11,C123)</f>
        <v/>
      </c>
      <c r="AC123" s="105">
        <f>IF(AB123="","",AB123-AA123)</f>
        <v/>
      </c>
      <c r="AD123" s="109" t="n">
        <v>3098847.399635036</v>
      </c>
    </row>
    <row r="124">
      <c r="A124" s="101">
        <f>Комплектация!A126</f>
        <v/>
      </c>
      <c r="B124" s="101">
        <f>Комплектация!C126</f>
        <v/>
      </c>
      <c r="C124" s="102">
        <f>Комплектация!E126</f>
        <v/>
      </c>
      <c r="D124" s="103" t="n">
        <v>2043</v>
      </c>
      <c r="E124" s="103">
        <f>IF(D124="",Параметры!$B$11,MAX(1,D124-C124))</f>
        <v/>
      </c>
      <c r="F124" s="103">
        <f>MAX(0,YEAR(Параметры!$B$2)-C124)</f>
        <v/>
      </c>
      <c r="G124" s="104">
        <f>MIN(100,F124/E124*100)</f>
        <v/>
      </c>
      <c r="H124" s="104">
        <f>100-G124</f>
        <v/>
      </c>
      <c r="I124" s="103">
        <f>AVERAGE(Комплектация!BJ126,Комплектация!BP126,Комплектация!BV126,Комплектация!CB126,Комплектация!CH126,Комплектация!CN126)</f>
        <v/>
      </c>
      <c r="J124" s="103">
        <f>MAX(0,YEAR(Параметры!$B$2)-I124)</f>
        <v/>
      </c>
      <c r="K124" s="104">
        <f>MIN(100,J124/Параметры!$B$12*100)</f>
        <v/>
      </c>
      <c r="L124" s="104">
        <f>100-K124</f>
        <v/>
      </c>
      <c r="M124" s="103">
        <f>MIN(Комплектация!AA126,Комплектация!AB126,Комплектация!AK126,Комплектация!AL126,Комплектация!AU126,Комплектация!AV126,Комплектация!BE126,Комплектация!BF126)</f>
        <v/>
      </c>
      <c r="N124" s="104">
        <f>AVERAGE((100-MAX(0,MIN(100,(Параметры!$B$13-MIN(Комплектация!AA126,Комплектация!AB126))/(Параметры!$B$13-Параметры!$B$14)*100))),(100-MAX(0,MIN(100,(Параметры!$B$13-MIN(Комплектация!AK126,Комплектация!AL126))/(Параметры!$B$13-Параметры!$B$14)*100))),(100-MAX(0,MIN(100,(Параметры!$B$13-MIN(Комплектация!AU126,Комплектация!AV126))/(Параметры!$B$13-Параметры!$B$14)*100))),(100-MAX(0,MIN(100,(Параметры!$B$13-MIN(Комплектация!BE126,Комплектация!BF126))/(Параметры!$B$13-Параметры!$B$14)*100))))</f>
        <v/>
      </c>
      <c r="O124" s="104">
        <f>AVERAGE(H124,L124)</f>
        <v/>
      </c>
      <c r="P124" s="105">
        <f>Параметры!$B$3*(Параметры!$B$5*H124+Параметры!$B$6*L124+Параметры!$B$7*N124+Параметры!$B$8*O124)/100</f>
        <v/>
      </c>
      <c r="Q124" s="106" t="n">
        <v>45954</v>
      </c>
      <c r="R124" s="106" t="n">
        <v>46684</v>
      </c>
      <c r="S124" s="104">
        <f>IF(OR(Q124="",R124="",R124=Q124),"",MAX(0,MIN(100,(Параметры!$B$2-Q124)/(R124-Q124)*100)))</f>
        <v/>
      </c>
      <c r="T124" s="103">
        <f>IF(ISNUMBER(Комплектация!P126),Комплектация!P126,"")</f>
        <v/>
      </c>
      <c r="U124" s="103">
        <f>IF(ISNUMBER(Комплектация!N126),Комплектация!N126,"")</f>
        <v/>
      </c>
      <c r="V124" s="104">
        <f>IF(OR(U124="",T124="",U124=0),"",MAX(0,MIN(100,(U124-T124)/U124*100)))</f>
        <v/>
      </c>
      <c r="W124" s="104">
        <f>MAX(IF(S124="",0,S124),IF(V124="",0,V124))</f>
        <v/>
      </c>
      <c r="X124" s="105">
        <f>Параметры!$B$18*W124/100</f>
        <v/>
      </c>
      <c r="Y124" s="103">
        <f>IF(MIN(Комплектация!AA126,Комплектация!AB126)-Параметры!$B$15&lt;Параметры!$B$16,1,0)+IF(MIN(Комплектация!AK126,Комплектация!AL126)-Параметры!$B$15&lt;Параметры!$B$16,1,0)+IF(MIN(Комплектация!AU126,Комплектация!AV126)-Параметры!$B$15&lt;Параметры!$B$16,1,0)+IF(MIN(Комплектация!BE126,Комплектация!BF126)-Параметры!$B$15&lt;Параметры!$B$16,1,0)</f>
        <v/>
      </c>
      <c r="Z124" s="105">
        <f>Y124*Параметры!$B$19</f>
        <v/>
      </c>
      <c r="AA124" s="107">
        <f>MAX(0,P124-X124-Z124)</f>
        <v/>
      </c>
      <c r="AB124" s="108">
        <f>SUMIFS(Прайс!$D$3:$D$11,Прайс!$A$3:$A$11,B124,Прайс!$B$3:$B$11,C124)</f>
        <v/>
      </c>
      <c r="AC124" s="105">
        <f>IF(AB124="","",AB124-AA124)</f>
        <v/>
      </c>
      <c r="AD124" s="109" t="n">
        <v>3233302.654109589</v>
      </c>
    </row>
    <row r="125">
      <c r="A125" s="101">
        <f>Комплектация!A127</f>
        <v/>
      </c>
      <c r="B125" s="101">
        <f>Комплектация!C127</f>
        <v/>
      </c>
      <c r="C125" s="102">
        <f>Комплектация!E127</f>
        <v/>
      </c>
      <c r="D125" s="103" t="n">
        <v>2043</v>
      </c>
      <c r="E125" s="103">
        <f>IF(D125="",Параметры!$B$11,MAX(1,D125-C125))</f>
        <v/>
      </c>
      <c r="F125" s="103">
        <f>MAX(0,YEAR(Параметры!$B$2)-C125)</f>
        <v/>
      </c>
      <c r="G125" s="104">
        <f>MIN(100,F125/E125*100)</f>
        <v/>
      </c>
      <c r="H125" s="104">
        <f>100-G125</f>
        <v/>
      </c>
      <c r="I125" s="103">
        <f>AVERAGE(Комплектация!BJ127,Комплектация!BP127,Комплектация!BV127,Комплектация!CB127,Комплектация!CH127,Комплектация!CN127)</f>
        <v/>
      </c>
      <c r="J125" s="103">
        <f>MAX(0,YEAR(Параметры!$B$2)-I125)</f>
        <v/>
      </c>
      <c r="K125" s="104">
        <f>MIN(100,J125/Параметры!$B$12*100)</f>
        <v/>
      </c>
      <c r="L125" s="104">
        <f>100-K125</f>
        <v/>
      </c>
      <c r="M125" s="103">
        <f>MIN(Комплектация!AA127,Комплектация!AB127,Комплектация!AK127,Комплектация!AL127,Комплектация!AU127,Комплектация!AV127,Комплектация!BE127,Комплектация!BF127)</f>
        <v/>
      </c>
      <c r="N125" s="104">
        <f>AVERAGE((100-MAX(0,MIN(100,(Параметры!$B$13-MIN(Комплектация!AA127,Комплектация!AB127))/(Параметры!$B$13-Параметры!$B$14)*100))),(100-MAX(0,MIN(100,(Параметры!$B$13-MIN(Комплектация!AK127,Комплектация!AL127))/(Параметры!$B$13-Параметры!$B$14)*100))),(100-MAX(0,MIN(100,(Параметры!$B$13-MIN(Комплектация!AU127,Комплектация!AV127))/(Параметры!$B$13-Параметры!$B$14)*100))),(100-MAX(0,MIN(100,(Параметры!$B$13-MIN(Комплектация!BE127,Комплектация!BF127))/(Параметры!$B$13-Параметры!$B$14)*100))))</f>
        <v/>
      </c>
      <c r="O125" s="104">
        <f>AVERAGE(H125,L125)</f>
        <v/>
      </c>
      <c r="P125" s="105">
        <f>Параметры!$B$3*(Параметры!$B$5*H125+Параметры!$B$6*L125+Параметры!$B$7*N125+Параметры!$B$8*O125)/100</f>
        <v/>
      </c>
      <c r="Q125" s="106" t="n">
        <v>46142</v>
      </c>
      <c r="R125" s="106" t="n">
        <v>47238</v>
      </c>
      <c r="S125" s="104">
        <f>IF(OR(Q125="",R125="",R125=Q125),"",MAX(0,MIN(100,(Параметры!$B$2-Q125)/(R125-Q125)*100)))</f>
        <v/>
      </c>
      <c r="T125" s="103">
        <f>IF(ISNUMBER(Комплектация!P127),Комплектация!P127,"")</f>
        <v/>
      </c>
      <c r="U125" s="103">
        <f>IF(ISNUMBER(Комплектация!N127),Комплектация!N127,"")</f>
        <v/>
      </c>
      <c r="V125" s="104">
        <f>IF(OR(U125="",T125="",U125=0),"",MAX(0,MIN(100,(U125-T125)/U125*100)))</f>
        <v/>
      </c>
      <c r="W125" s="104">
        <f>MAX(IF(S125="",0,S125),IF(V125="",0,V125))</f>
        <v/>
      </c>
      <c r="X125" s="105">
        <f>Параметры!$B$18*W125/100</f>
        <v/>
      </c>
      <c r="Y125" s="103">
        <f>IF(MIN(Комплектация!AA127,Комплектация!AB127)-Параметры!$B$15&lt;Параметры!$B$16,1,0)+IF(MIN(Комплектация!AK127,Комплектация!AL127)-Параметры!$B$15&lt;Параметры!$B$16,1,0)+IF(MIN(Комплектация!AU127,Комплектация!AV127)-Параметры!$B$15&lt;Параметры!$B$16,1,0)+IF(MIN(Комплектация!BE127,Комплектация!BF127)-Параметры!$B$15&lt;Параметры!$B$16,1,0)</f>
        <v/>
      </c>
      <c r="Z125" s="105">
        <f>Y125*Параметры!$B$19</f>
        <v/>
      </c>
      <c r="AA125" s="107">
        <f>MAX(0,P125-X125-Z125)</f>
        <v/>
      </c>
      <c r="AB125" s="108">
        <f>SUMIFS(Прайс!$D$3:$D$11,Прайс!$A$3:$A$11,B125,Прайс!$B$3:$B$11,C125)</f>
        <v/>
      </c>
      <c r="AC125" s="105">
        <f>IF(AB125="","",AB125-AA125)</f>
        <v/>
      </c>
      <c r="AD125" s="109" t="n">
        <v>3106314.552919708</v>
      </c>
    </row>
    <row r="126">
      <c r="A126" s="101">
        <f>Комплектация!A128</f>
        <v/>
      </c>
      <c r="B126" s="101">
        <f>Комплектация!C128</f>
        <v/>
      </c>
      <c r="C126" s="102">
        <f>Комплектация!E128</f>
        <v/>
      </c>
      <c r="D126" s="103" t="n">
        <v>2043</v>
      </c>
      <c r="E126" s="103">
        <f>IF(D126="",Параметры!$B$11,MAX(1,D126-C126))</f>
        <v/>
      </c>
      <c r="F126" s="103">
        <f>MAX(0,YEAR(Параметры!$B$2)-C126)</f>
        <v/>
      </c>
      <c r="G126" s="104">
        <f>MIN(100,F126/E126*100)</f>
        <v/>
      </c>
      <c r="H126" s="104">
        <f>100-G126</f>
        <v/>
      </c>
      <c r="I126" s="103">
        <f>AVERAGE(Комплектация!BJ128,Комплектация!BP128,Комплектация!BV128,Комплектация!CB128,Комплектация!CH128,Комплектация!CN128)</f>
        <v/>
      </c>
      <c r="J126" s="103">
        <f>MAX(0,YEAR(Параметры!$B$2)-I126)</f>
        <v/>
      </c>
      <c r="K126" s="104">
        <f>MIN(100,J126/Параметры!$B$12*100)</f>
        <v/>
      </c>
      <c r="L126" s="104">
        <f>100-K126</f>
        <v/>
      </c>
      <c r="M126" s="103">
        <f>MIN(Комплектация!AA128,Комплектация!AB128,Комплектация!AK128,Комплектация!AL128,Комплектация!AU128,Комплектация!AV128,Комплектация!BE128,Комплектация!BF128)</f>
        <v/>
      </c>
      <c r="N126" s="104">
        <f>AVERAGE((100-MAX(0,MIN(100,(Параметры!$B$13-MIN(Комплектация!AA128,Комплектация!AB128))/(Параметры!$B$13-Параметры!$B$14)*100))),(100-MAX(0,MIN(100,(Параметры!$B$13-MIN(Комплектация!AK128,Комплектация!AL128))/(Параметры!$B$13-Параметры!$B$14)*100))),(100-MAX(0,MIN(100,(Параметры!$B$13-MIN(Комплектация!AU128,Комплектация!AV128))/(Параметры!$B$13-Параметры!$B$14)*100))),(100-MAX(0,MIN(100,(Параметры!$B$13-MIN(Комплектация!BE128,Комплектация!BF128))/(Параметры!$B$13-Параметры!$B$14)*100))))</f>
        <v/>
      </c>
      <c r="O126" s="104">
        <f>AVERAGE(H126,L126)</f>
        <v/>
      </c>
      <c r="P126" s="105">
        <f>Параметры!$B$3*(Параметры!$B$5*H126+Параметры!$B$6*L126+Параметры!$B$7*N126+Параметры!$B$8*O126)/100</f>
        <v/>
      </c>
      <c r="Q126" s="106" t="n">
        <v>46166</v>
      </c>
      <c r="R126" s="106" t="n">
        <v>47262</v>
      </c>
      <c r="S126" s="104">
        <f>IF(OR(Q126="",R126="",R126=Q126),"",MAX(0,MIN(100,(Параметры!$B$2-Q126)/(R126-Q126)*100)))</f>
        <v/>
      </c>
      <c r="T126" s="103">
        <f>IF(ISNUMBER(Комплектация!P128),Комплектация!P128,"")</f>
        <v/>
      </c>
      <c r="U126" s="103">
        <f>IF(ISNUMBER(Комплектация!N128),Комплектация!N128,"")</f>
        <v/>
      </c>
      <c r="V126" s="104">
        <f>IF(OR(U126="",T126="",U126=0),"",MAX(0,MIN(100,(U126-T126)/U126*100)))</f>
        <v/>
      </c>
      <c r="W126" s="104">
        <f>MAX(IF(S126="",0,S126),IF(V126="",0,V126))</f>
        <v/>
      </c>
      <c r="X126" s="105">
        <f>Параметры!$B$18*W126/100</f>
        <v/>
      </c>
      <c r="Y126" s="103">
        <f>IF(MIN(Комплектация!AA128,Комплектация!AB128)-Параметры!$B$15&lt;Параметры!$B$16,1,0)+IF(MIN(Комплектация!AK128,Комплектация!AL128)-Параметры!$B$15&lt;Параметры!$B$16,1,0)+IF(MIN(Комплектация!AU128,Комплектация!AV128)-Параметры!$B$15&lt;Параметры!$B$16,1,0)+IF(MIN(Комплектация!BE128,Комплектация!BF128)-Параметры!$B$15&lt;Параметры!$B$16,1,0)</f>
        <v/>
      </c>
      <c r="Z126" s="105">
        <f>Y126*Параметры!$B$19</f>
        <v/>
      </c>
      <c r="AA126" s="107">
        <f>MAX(0,P126-X126-Z126)</f>
        <v/>
      </c>
      <c r="AB126" s="108">
        <f>SUMIFS(Прайс!$D$3:$D$11,Прайс!$A$3:$A$11,B126,Прайс!$B$3:$B$11,C126)</f>
        <v/>
      </c>
      <c r="AC126" s="105">
        <f>IF(AB126="","",AB126-AA126)</f>
        <v/>
      </c>
      <c r="AD126" s="109" t="n">
        <v>3407122.034671532</v>
      </c>
    </row>
    <row r="127">
      <c r="A127" s="101">
        <f>Комплектация!A129</f>
        <v/>
      </c>
      <c r="B127" s="101">
        <f>Комплектация!C129</f>
        <v/>
      </c>
      <c r="C127" s="102">
        <f>Комплектация!E129</f>
        <v/>
      </c>
      <c r="D127" s="103" t="n">
        <v>2043</v>
      </c>
      <c r="E127" s="103">
        <f>IF(D127="",Параметры!$B$11,MAX(1,D127-C127))</f>
        <v/>
      </c>
      <c r="F127" s="103">
        <f>MAX(0,YEAR(Параметры!$B$2)-C127)</f>
        <v/>
      </c>
      <c r="G127" s="104">
        <f>MIN(100,F127/E127*100)</f>
        <v/>
      </c>
      <c r="H127" s="104">
        <f>100-G127</f>
        <v/>
      </c>
      <c r="I127" s="103">
        <f>AVERAGE(Комплектация!BJ129,Комплектация!BP129,Комплектация!BV129,Комплектация!CB129,Комплектация!CH129,Комплектация!CN129)</f>
        <v/>
      </c>
      <c r="J127" s="103">
        <f>MAX(0,YEAR(Параметры!$B$2)-I127)</f>
        <v/>
      </c>
      <c r="K127" s="104">
        <f>MIN(100,J127/Параметры!$B$12*100)</f>
        <v/>
      </c>
      <c r="L127" s="104">
        <f>100-K127</f>
        <v/>
      </c>
      <c r="M127" s="103">
        <f>MIN(Комплектация!AA129,Комплектация!AB129,Комплектация!AK129,Комплектация!AL129,Комплектация!AU129,Комплектация!AV129,Комплектация!BE129,Комплектация!BF129)</f>
        <v/>
      </c>
      <c r="N127" s="104">
        <f>AVERAGE((100-MAX(0,MIN(100,(Параметры!$B$13-MIN(Комплектация!AA129,Комплектация!AB129))/(Параметры!$B$13-Параметры!$B$14)*100))),(100-MAX(0,MIN(100,(Параметры!$B$13-MIN(Комплектация!AK129,Комплектация!AL129))/(Параметры!$B$13-Параметры!$B$14)*100))),(100-MAX(0,MIN(100,(Параметры!$B$13-MIN(Комплектация!AU129,Комплектация!AV129))/(Параметры!$B$13-Параметры!$B$14)*100))),(100-MAX(0,MIN(100,(Параметры!$B$13-MIN(Комплектация!BE129,Комплектация!BF129))/(Параметры!$B$13-Параметры!$B$14)*100))))</f>
        <v/>
      </c>
      <c r="O127" s="104">
        <f>AVERAGE(H127,L127)</f>
        <v/>
      </c>
      <c r="P127" s="105">
        <f>Параметры!$B$3*(Параметры!$B$5*H127+Параметры!$B$6*L127+Параметры!$B$7*N127+Параметры!$B$8*O127)/100</f>
        <v/>
      </c>
      <c r="Q127" s="106" t="n">
        <v>46140</v>
      </c>
      <c r="R127" s="106" t="n">
        <v>47236</v>
      </c>
      <c r="S127" s="104">
        <f>IF(OR(Q127="",R127="",R127=Q127),"",MAX(0,MIN(100,(Параметры!$B$2-Q127)/(R127-Q127)*100)))</f>
        <v/>
      </c>
      <c r="T127" s="103">
        <f>IF(ISNUMBER(Комплектация!P129),Комплектация!P129,"")</f>
        <v/>
      </c>
      <c r="U127" s="103">
        <f>IF(ISNUMBER(Комплектация!N129),Комплектация!N129,"")</f>
        <v/>
      </c>
      <c r="V127" s="104">
        <f>IF(OR(U127="",T127="",U127=0),"",MAX(0,MIN(100,(U127-T127)/U127*100)))</f>
        <v/>
      </c>
      <c r="W127" s="104">
        <f>MAX(IF(S127="",0,S127),IF(V127="",0,V127))</f>
        <v/>
      </c>
      <c r="X127" s="105">
        <f>Параметры!$B$18*W127/100</f>
        <v/>
      </c>
      <c r="Y127" s="103">
        <f>IF(MIN(Комплектация!AA129,Комплектация!AB129)-Параметры!$B$15&lt;Параметры!$B$16,1,0)+IF(MIN(Комплектация!AK129,Комплектация!AL129)-Параметры!$B$15&lt;Параметры!$B$16,1,0)+IF(MIN(Комплектация!AU129,Комплектация!AV129)-Параметры!$B$15&lt;Параметры!$B$16,1,0)+IF(MIN(Комплектация!BE129,Комплектация!BF129)-Параметры!$B$15&lt;Параметры!$B$16,1,0)</f>
        <v/>
      </c>
      <c r="Z127" s="105">
        <f>Y127*Параметры!$B$19</f>
        <v/>
      </c>
      <c r="AA127" s="107">
        <f>MAX(0,P127-X127-Z127)</f>
        <v/>
      </c>
      <c r="AB127" s="108">
        <f>SUMIFS(Прайс!$D$3:$D$11,Прайс!$A$3:$A$11,B127,Прайс!$B$3:$B$11,C127)</f>
        <v/>
      </c>
      <c r="AC127" s="105">
        <f>IF(AB127="","",AB127-AA127)</f>
        <v/>
      </c>
      <c r="AD127" s="109" t="n">
        <v>3181028.512773723</v>
      </c>
    </row>
    <row r="128">
      <c r="A128" s="101">
        <f>Комплектация!A130</f>
        <v/>
      </c>
      <c r="B128" s="101">
        <f>Комплектация!C130</f>
        <v/>
      </c>
      <c r="C128" s="102">
        <f>Комплектация!E130</f>
        <v/>
      </c>
      <c r="D128" s="103" t="n">
        <v>2043</v>
      </c>
      <c r="E128" s="103">
        <f>IF(D128="",Параметры!$B$11,MAX(1,D128-C128))</f>
        <v/>
      </c>
      <c r="F128" s="103">
        <f>MAX(0,YEAR(Параметры!$B$2)-C128)</f>
        <v/>
      </c>
      <c r="G128" s="104">
        <f>MIN(100,F128/E128*100)</f>
        <v/>
      </c>
      <c r="H128" s="104">
        <f>100-G128</f>
        <v/>
      </c>
      <c r="I128" s="103">
        <f>AVERAGE(Комплектация!BJ130,Комплектация!BP130,Комплектация!BV130,Комплектация!CB130,Комплектация!CH130,Комплектация!CN130)</f>
        <v/>
      </c>
      <c r="J128" s="103">
        <f>MAX(0,YEAR(Параметры!$B$2)-I128)</f>
        <v/>
      </c>
      <c r="K128" s="104">
        <f>MIN(100,J128/Параметры!$B$12*100)</f>
        <v/>
      </c>
      <c r="L128" s="104">
        <f>100-K128</f>
        <v/>
      </c>
      <c r="M128" s="103">
        <f>MIN(Комплектация!AA130,Комплектация!AB130,Комплектация!AK130,Комплектация!AL130,Комплектация!AU130,Комплектация!AV130,Комплектация!BE130,Комплектация!BF130)</f>
        <v/>
      </c>
      <c r="N128" s="104">
        <f>AVERAGE((100-MAX(0,MIN(100,(Параметры!$B$13-MIN(Комплектация!AA130,Комплектация!AB130))/(Параметры!$B$13-Параметры!$B$14)*100))),(100-MAX(0,MIN(100,(Параметры!$B$13-MIN(Комплектация!AK130,Комплектация!AL130))/(Параметры!$B$13-Параметры!$B$14)*100))),(100-MAX(0,MIN(100,(Параметры!$B$13-MIN(Комплектация!AU130,Комплектация!AV130))/(Параметры!$B$13-Параметры!$B$14)*100))),(100-MAX(0,MIN(100,(Параметры!$B$13-MIN(Комплектация!BE130,Комплектация!BF130))/(Параметры!$B$13-Параметры!$B$14)*100))))</f>
        <v/>
      </c>
      <c r="O128" s="104">
        <f>AVERAGE(H128,L128)</f>
        <v/>
      </c>
      <c r="P128" s="105">
        <f>Параметры!$B$3*(Параметры!$B$5*H128+Параметры!$B$6*L128+Параметры!$B$7*N128+Параметры!$B$8*O128)/100</f>
        <v/>
      </c>
      <c r="Q128" s="106" t="n">
        <v>46141</v>
      </c>
      <c r="R128" s="106" t="n">
        <v>47237</v>
      </c>
      <c r="S128" s="104">
        <f>IF(OR(Q128="",R128="",R128=Q128),"",MAX(0,MIN(100,(Параметры!$B$2-Q128)/(R128-Q128)*100)))</f>
        <v/>
      </c>
      <c r="T128" s="103">
        <f>IF(ISNUMBER(Комплектация!P130),Комплектация!P130,"")</f>
        <v/>
      </c>
      <c r="U128" s="103">
        <f>IF(ISNUMBER(Комплектация!N130),Комплектация!N130,"")</f>
        <v/>
      </c>
      <c r="V128" s="104">
        <f>IF(OR(U128="",T128="",U128=0),"",MAX(0,MIN(100,(U128-T128)/U128*100)))</f>
        <v/>
      </c>
      <c r="W128" s="104">
        <f>MAX(IF(S128="",0,S128),IF(V128="",0,V128))</f>
        <v/>
      </c>
      <c r="X128" s="105">
        <f>Параметры!$B$18*W128/100</f>
        <v/>
      </c>
      <c r="Y128" s="103">
        <f>IF(MIN(Комплектация!AA130,Комплектация!AB130)-Параметры!$B$15&lt;Параметры!$B$16,1,0)+IF(MIN(Комплектация!AK130,Комплектация!AL130)-Параметры!$B$15&lt;Параметры!$B$16,1,0)+IF(MIN(Комплектация!AU130,Комплектация!AV130)-Параметры!$B$15&lt;Параметры!$B$16,1,0)+IF(MIN(Комплектация!BE130,Комплектация!BF130)-Параметры!$B$15&lt;Параметры!$B$16,1,0)</f>
        <v/>
      </c>
      <c r="Z128" s="105">
        <f>Y128*Параметры!$B$19</f>
        <v/>
      </c>
      <c r="AA128" s="107">
        <f>MAX(0,P128-X128-Z128)</f>
        <v/>
      </c>
      <c r="AB128" s="108">
        <f>SUMIFS(Прайс!$D$3:$D$11,Прайс!$A$3:$A$11,B128,Прайс!$B$3:$B$11,C128)</f>
        <v/>
      </c>
      <c r="AC128" s="105">
        <f>IF(AB128="","",AB128-AA128)</f>
        <v/>
      </c>
      <c r="AD128" s="109" t="n">
        <v>3181452.782846715</v>
      </c>
    </row>
    <row r="129">
      <c r="A129" s="101">
        <f>Комплектация!A131</f>
        <v/>
      </c>
      <c r="B129" s="101">
        <f>Комплектация!C131</f>
        <v/>
      </c>
      <c r="C129" s="102">
        <f>Комплектация!E131</f>
        <v/>
      </c>
      <c r="D129" s="103" t="n">
        <v>2043</v>
      </c>
      <c r="E129" s="103">
        <f>IF(D129="",Параметры!$B$11,MAX(1,D129-C129))</f>
        <v/>
      </c>
      <c r="F129" s="103">
        <f>MAX(0,YEAR(Параметры!$B$2)-C129)</f>
        <v/>
      </c>
      <c r="G129" s="104">
        <f>MIN(100,F129/E129*100)</f>
        <v/>
      </c>
      <c r="H129" s="104">
        <f>100-G129</f>
        <v/>
      </c>
      <c r="I129" s="103">
        <f>AVERAGE(Комплектация!BJ131,Комплектация!BP131,Комплектация!BV131,Комплектация!CB131,Комплектация!CH131,Комплектация!CN131)</f>
        <v/>
      </c>
      <c r="J129" s="103">
        <f>MAX(0,YEAR(Параметры!$B$2)-I129)</f>
        <v/>
      </c>
      <c r="K129" s="104">
        <f>MIN(100,J129/Параметры!$B$12*100)</f>
        <v/>
      </c>
      <c r="L129" s="104">
        <f>100-K129</f>
        <v/>
      </c>
      <c r="M129" s="103">
        <f>MIN(Комплектация!AA131,Комплектация!AB131,Комплектация!AK131,Комплектация!AL131,Комплектация!AU131,Комплектация!AV131,Комплектация!BE131,Комплектация!BF131)</f>
        <v/>
      </c>
      <c r="N129" s="104">
        <f>AVERAGE((100-MAX(0,MIN(100,(Параметры!$B$13-MIN(Комплектация!AA131,Комплектация!AB131))/(Параметры!$B$13-Параметры!$B$14)*100))),(100-MAX(0,MIN(100,(Параметры!$B$13-MIN(Комплектация!AK131,Комплектация!AL131))/(Параметры!$B$13-Параметры!$B$14)*100))),(100-MAX(0,MIN(100,(Параметры!$B$13-MIN(Комплектация!AU131,Комплектация!AV131))/(Параметры!$B$13-Параметры!$B$14)*100))),(100-MAX(0,MIN(100,(Параметры!$B$13-MIN(Комплектация!BE131,Комплектация!BF131))/(Параметры!$B$13-Параметры!$B$14)*100))))</f>
        <v/>
      </c>
      <c r="O129" s="104">
        <f>AVERAGE(H129,L129)</f>
        <v/>
      </c>
      <c r="P129" s="105">
        <f>Параметры!$B$3*(Параметры!$B$5*H129+Параметры!$B$6*L129+Параметры!$B$7*N129+Параметры!$B$8*O129)/100</f>
        <v/>
      </c>
      <c r="Q129" s="106" t="n">
        <v>45960</v>
      </c>
      <c r="R129" s="106" t="n">
        <v>47056</v>
      </c>
      <c r="S129" s="104">
        <f>IF(OR(Q129="",R129="",R129=Q129),"",MAX(0,MIN(100,(Параметры!$B$2-Q129)/(R129-Q129)*100)))</f>
        <v/>
      </c>
      <c r="T129" s="103">
        <f>IF(ISNUMBER(Комплектация!P131),Комплектация!P131,"")</f>
        <v/>
      </c>
      <c r="U129" s="103">
        <f>IF(ISNUMBER(Комплектация!N131),Комплектация!N131,"")</f>
        <v/>
      </c>
      <c r="V129" s="104">
        <f>IF(OR(U129="",T129="",U129=0),"",MAX(0,MIN(100,(U129-T129)/U129*100)))</f>
        <v/>
      </c>
      <c r="W129" s="104">
        <f>MAX(IF(S129="",0,S129),IF(V129="",0,V129))</f>
        <v/>
      </c>
      <c r="X129" s="105">
        <f>Параметры!$B$18*W129/100</f>
        <v/>
      </c>
      <c r="Y129" s="103">
        <f>IF(MIN(Комплектация!AA131,Комплектация!AB131)-Параметры!$B$15&lt;Параметры!$B$16,1,0)+IF(MIN(Комплектация!AK131,Комплектация!AL131)-Параметры!$B$15&lt;Параметры!$B$16,1,0)+IF(MIN(Комплектация!AU131,Комплектация!AV131)-Параметры!$B$15&lt;Параметры!$B$16,1,0)+IF(MIN(Комплектация!BE131,Комплектация!BF131)-Параметры!$B$15&lt;Параметры!$B$16,1,0)</f>
        <v/>
      </c>
      <c r="Z129" s="105">
        <f>Y129*Параметры!$B$19</f>
        <v/>
      </c>
      <c r="AA129" s="107">
        <f>MAX(0,P129-X129-Z129)</f>
        <v/>
      </c>
      <c r="AB129" s="108">
        <f>SUMIFS(Прайс!$D$3:$D$11,Прайс!$A$3:$A$11,B129,Прайс!$B$3:$B$11,C129)</f>
        <v/>
      </c>
      <c r="AC129" s="105">
        <f>IF(AB129="","",AB129-AA129)</f>
        <v/>
      </c>
      <c r="AD129" s="109" t="n">
        <v>3116284.899635036</v>
      </c>
    </row>
    <row r="130">
      <c r="A130" s="101">
        <f>Комплектация!A132</f>
        <v/>
      </c>
      <c r="B130" s="101">
        <f>Комплектация!C132</f>
        <v/>
      </c>
      <c r="C130" s="102">
        <f>Комплектация!E132</f>
        <v/>
      </c>
      <c r="D130" s="103" t="n">
        <v>2043</v>
      </c>
      <c r="E130" s="103">
        <f>IF(D130="",Параметры!$B$11,MAX(1,D130-C130))</f>
        <v/>
      </c>
      <c r="F130" s="103">
        <f>MAX(0,YEAR(Параметры!$B$2)-C130)</f>
        <v/>
      </c>
      <c r="G130" s="104">
        <f>MIN(100,F130/E130*100)</f>
        <v/>
      </c>
      <c r="H130" s="104">
        <f>100-G130</f>
        <v/>
      </c>
      <c r="I130" s="103">
        <f>AVERAGE(Комплектация!BJ132,Комплектация!BP132,Комплектация!BV132,Комплектация!CB132,Комплектация!CH132,Комплектация!CN132)</f>
        <v/>
      </c>
      <c r="J130" s="103">
        <f>MAX(0,YEAR(Параметры!$B$2)-I130)</f>
        <v/>
      </c>
      <c r="K130" s="104">
        <f>MIN(100,J130/Параметры!$B$12*100)</f>
        <v/>
      </c>
      <c r="L130" s="104">
        <f>100-K130</f>
        <v/>
      </c>
      <c r="M130" s="103">
        <f>MIN(Комплектация!AA132,Комплектация!AB132,Комплектация!AK132,Комплектация!AL132,Комплектация!AU132,Комплектация!AV132,Комплектация!BE132,Комплектация!BF132)</f>
        <v/>
      </c>
      <c r="N130" s="104">
        <f>AVERAGE((100-MAX(0,MIN(100,(Параметры!$B$13-MIN(Комплектация!AA132,Комплектация!AB132))/(Параметры!$B$13-Параметры!$B$14)*100))),(100-MAX(0,MIN(100,(Параметры!$B$13-MIN(Комплектация!AK132,Комплектация!AL132))/(Параметры!$B$13-Параметры!$B$14)*100))),(100-MAX(0,MIN(100,(Параметры!$B$13-MIN(Комплектация!AU132,Комплектация!AV132))/(Параметры!$B$13-Параметры!$B$14)*100))),(100-MAX(0,MIN(100,(Параметры!$B$13-MIN(Комплектация!BE132,Комплектация!BF132))/(Параметры!$B$13-Параметры!$B$14)*100))))</f>
        <v/>
      </c>
      <c r="O130" s="104">
        <f>AVERAGE(H130,L130)</f>
        <v/>
      </c>
      <c r="P130" s="105">
        <f>Параметры!$B$3*(Параметры!$B$5*H130+Параметры!$B$6*L130+Параметры!$B$7*N130+Параметры!$B$8*O130)/100</f>
        <v/>
      </c>
      <c r="Q130" s="106" t="n">
        <v>45892</v>
      </c>
      <c r="R130" s="106" t="n">
        <v>46988</v>
      </c>
      <c r="S130" s="104">
        <f>IF(OR(Q130="",R130="",R130=Q130),"",MAX(0,MIN(100,(Параметры!$B$2-Q130)/(R130-Q130)*100)))</f>
        <v/>
      </c>
      <c r="T130" s="103">
        <f>IF(ISNUMBER(Комплектация!P132),Комплектация!P132,"")</f>
        <v/>
      </c>
      <c r="U130" s="103">
        <f>IF(ISNUMBER(Комплектация!N132),Комплектация!N132,"")</f>
        <v/>
      </c>
      <c r="V130" s="104">
        <f>IF(OR(U130="",T130="",U130=0),"",MAX(0,MIN(100,(U130-T130)/U130*100)))</f>
        <v/>
      </c>
      <c r="W130" s="104">
        <f>MAX(IF(S130="",0,S130),IF(V130="",0,V130))</f>
        <v/>
      </c>
      <c r="X130" s="105">
        <f>Параметры!$B$18*W130/100</f>
        <v/>
      </c>
      <c r="Y130" s="103">
        <f>IF(MIN(Комплектация!AA132,Комплектация!AB132)-Параметры!$B$15&lt;Параметры!$B$16,1,0)+IF(MIN(Комплектация!AK132,Комплектация!AL132)-Параметры!$B$15&lt;Параметры!$B$16,1,0)+IF(MIN(Комплектация!AU132,Комплектация!AV132)-Параметры!$B$15&lt;Параметры!$B$16,1,0)+IF(MIN(Комплектация!BE132,Комплектация!BF132)-Параметры!$B$15&lt;Параметры!$B$16,1,0)</f>
        <v/>
      </c>
      <c r="Z130" s="105">
        <f>Y130*Параметры!$B$19</f>
        <v/>
      </c>
      <c r="AA130" s="107">
        <f>MAX(0,P130-X130-Z130)</f>
        <v/>
      </c>
      <c r="AB130" s="108">
        <f>SUMIFS(Прайс!$D$3:$D$11,Прайс!$A$3:$A$11,B130,Прайс!$B$3:$B$11,C130)</f>
        <v/>
      </c>
      <c r="AC130" s="105">
        <f>IF(AB130="","",AB130-AA130)</f>
        <v/>
      </c>
      <c r="AD130" s="109" t="n">
        <v>3104872.034671532</v>
      </c>
    </row>
    <row r="131">
      <c r="A131" s="101">
        <f>Комплектация!A133</f>
        <v/>
      </c>
      <c r="B131" s="101">
        <f>Комплектация!C133</f>
        <v/>
      </c>
      <c r="C131" s="102">
        <f>Комплектация!E133</f>
        <v/>
      </c>
      <c r="D131" s="103" t="n">
        <v>2043</v>
      </c>
      <c r="E131" s="103">
        <f>IF(D131="",Параметры!$B$11,MAX(1,D131-C131))</f>
        <v/>
      </c>
      <c r="F131" s="103">
        <f>MAX(0,YEAR(Параметры!$B$2)-C131)</f>
        <v/>
      </c>
      <c r="G131" s="104">
        <f>MIN(100,F131/E131*100)</f>
        <v/>
      </c>
      <c r="H131" s="104">
        <f>100-G131</f>
        <v/>
      </c>
      <c r="I131" s="103">
        <f>AVERAGE(Комплектация!BJ133,Комплектация!BP133,Комплектация!BV133,Комплектация!CB133,Комплектация!CH133,Комплектация!CN133)</f>
        <v/>
      </c>
      <c r="J131" s="103">
        <f>MAX(0,YEAR(Параметры!$B$2)-I131)</f>
        <v/>
      </c>
      <c r="K131" s="104">
        <f>MIN(100,J131/Параметры!$B$12*100)</f>
        <v/>
      </c>
      <c r="L131" s="104">
        <f>100-K131</f>
        <v/>
      </c>
      <c r="M131" s="103">
        <f>MIN(Комплектация!AA133,Комплектация!AB133,Комплектация!AK133,Комплектация!AL133,Комплектация!AU133,Комплектация!AV133,Комплектация!BE133,Комплектация!BF133)</f>
        <v/>
      </c>
      <c r="N131" s="104">
        <f>AVERAGE((100-MAX(0,MIN(100,(Параметры!$B$13-MIN(Комплектация!AA133,Комплектация!AB133))/(Параметры!$B$13-Параметры!$B$14)*100))),(100-MAX(0,MIN(100,(Параметры!$B$13-MIN(Комплектация!AK133,Комплектация!AL133))/(Параметры!$B$13-Параметры!$B$14)*100))),(100-MAX(0,MIN(100,(Параметры!$B$13-MIN(Комплектация!AU133,Комплектация!AV133))/(Параметры!$B$13-Параметры!$B$14)*100))),(100-MAX(0,MIN(100,(Параметры!$B$13-MIN(Комплектация!BE133,Комплектация!BF133))/(Параметры!$B$13-Параметры!$B$14)*100))))</f>
        <v/>
      </c>
      <c r="O131" s="104">
        <f>AVERAGE(H131,L131)</f>
        <v/>
      </c>
      <c r="P131" s="105">
        <f>Параметры!$B$3*(Параметры!$B$5*H131+Параметры!$B$6*L131+Параметры!$B$7*N131+Параметры!$B$8*O131)/100</f>
        <v/>
      </c>
      <c r="Q131" s="106" t="n">
        <v>45959</v>
      </c>
      <c r="R131" s="106" t="n">
        <v>47055</v>
      </c>
      <c r="S131" s="104">
        <f>IF(OR(Q131="",R131="",R131=Q131),"",MAX(0,MIN(100,(Параметры!$B$2-Q131)/(R131-Q131)*100)))</f>
        <v/>
      </c>
      <c r="T131" s="103">
        <f>IF(ISNUMBER(Комплектация!P133),Комплектация!P133,"")</f>
        <v/>
      </c>
      <c r="U131" s="103">
        <f>IF(ISNUMBER(Комплектация!N133),Комплектация!N133,"")</f>
        <v/>
      </c>
      <c r="V131" s="104">
        <f>IF(OR(U131="",T131="",U131=0),"",MAX(0,MIN(100,(U131-T131)/U131*100)))</f>
        <v/>
      </c>
      <c r="W131" s="104">
        <f>MAX(IF(S131="",0,S131),IF(V131="",0,V131))</f>
        <v/>
      </c>
      <c r="X131" s="105">
        <f>Параметры!$B$18*W131/100</f>
        <v/>
      </c>
      <c r="Y131" s="103">
        <f>IF(MIN(Комплектация!AA133,Комплектация!AB133)-Параметры!$B$15&lt;Параметры!$B$16,1,0)+IF(MIN(Комплектация!AK133,Комплектация!AL133)-Параметры!$B$15&lt;Параметры!$B$16,1,0)+IF(MIN(Комплектация!AU133,Комплектация!AV133)-Параметры!$B$15&lt;Параметры!$B$16,1,0)+IF(MIN(Комплектация!BE133,Комплектация!BF133)-Параметры!$B$15&lt;Параметры!$B$16,1,0)</f>
        <v/>
      </c>
      <c r="Z131" s="105">
        <f>Y131*Параметры!$B$19</f>
        <v/>
      </c>
      <c r="AA131" s="107">
        <f>MAX(0,P131-X131-Z131)</f>
        <v/>
      </c>
      <c r="AB131" s="108">
        <f>SUMIFS(Прайс!$D$3:$D$11,Прайс!$A$3:$A$11,B131,Прайс!$B$3:$B$11,C131)</f>
        <v/>
      </c>
      <c r="AC131" s="105">
        <f>IF(AB131="","",AB131-AA131)</f>
        <v/>
      </c>
      <c r="AD131" s="109" t="n">
        <v>3075173.129562044</v>
      </c>
    </row>
    <row r="132">
      <c r="A132" s="101">
        <f>Комплектация!A134</f>
        <v/>
      </c>
      <c r="B132" s="101">
        <f>Комплектация!C134</f>
        <v/>
      </c>
      <c r="C132" s="102">
        <f>Комплектация!E134</f>
        <v/>
      </c>
      <c r="D132" s="103" t="n">
        <v>2043</v>
      </c>
      <c r="E132" s="103">
        <f>IF(D132="",Параметры!$B$11,MAX(1,D132-C132))</f>
        <v/>
      </c>
      <c r="F132" s="103">
        <f>MAX(0,YEAR(Параметры!$B$2)-C132)</f>
        <v/>
      </c>
      <c r="G132" s="104">
        <f>MIN(100,F132/E132*100)</f>
        <v/>
      </c>
      <c r="H132" s="104">
        <f>100-G132</f>
        <v/>
      </c>
      <c r="I132" s="103">
        <f>AVERAGE(Комплектация!BJ134,Комплектация!BP134,Комплектация!BV134,Комплектация!CB134,Комплектация!CH134,Комплектация!CN134)</f>
        <v/>
      </c>
      <c r="J132" s="103">
        <f>MAX(0,YEAR(Параметры!$B$2)-I132)</f>
        <v/>
      </c>
      <c r="K132" s="104">
        <f>MIN(100,J132/Параметры!$B$12*100)</f>
        <v/>
      </c>
      <c r="L132" s="104">
        <f>100-K132</f>
        <v/>
      </c>
      <c r="M132" s="103">
        <f>MIN(Комплектация!AA134,Комплектация!AB134,Комплектация!AK134,Комплектация!AL134,Комплектация!AU134,Комплектация!AV134,Комплектация!BE134,Комплектация!BF134)</f>
        <v/>
      </c>
      <c r="N132" s="104">
        <f>AVERAGE((100-MAX(0,MIN(100,(Параметры!$B$13-MIN(Комплектация!AA134,Комплектация!AB134))/(Параметры!$B$13-Параметры!$B$14)*100))),(100-MAX(0,MIN(100,(Параметры!$B$13-MIN(Комплектация!AK134,Комплектация!AL134))/(Параметры!$B$13-Параметры!$B$14)*100))),(100-MAX(0,MIN(100,(Параметры!$B$13-MIN(Комплектация!AU134,Комплектация!AV134))/(Параметры!$B$13-Параметры!$B$14)*100))),(100-MAX(0,MIN(100,(Параметры!$B$13-MIN(Комплектация!BE134,Комплектация!BF134))/(Параметры!$B$13-Параметры!$B$14)*100))))</f>
        <v/>
      </c>
      <c r="O132" s="104">
        <f>AVERAGE(H132,L132)</f>
        <v/>
      </c>
      <c r="P132" s="105">
        <f>Параметры!$B$3*(Параметры!$B$5*H132+Параметры!$B$6*L132+Параметры!$B$7*N132+Параметры!$B$8*O132)/100</f>
        <v/>
      </c>
      <c r="Q132" s="106" t="n">
        <v>46094</v>
      </c>
      <c r="R132" s="106" t="n">
        <v>47190</v>
      </c>
      <c r="S132" s="104">
        <f>IF(OR(Q132="",R132="",R132=Q132),"",MAX(0,MIN(100,(Параметры!$B$2-Q132)/(R132-Q132)*100)))</f>
        <v/>
      </c>
      <c r="T132" s="103">
        <f>IF(ISNUMBER(Комплектация!P134),Комплектация!P134,"")</f>
        <v/>
      </c>
      <c r="U132" s="103">
        <f>IF(ISNUMBER(Комплектация!N134),Комплектация!N134,"")</f>
        <v/>
      </c>
      <c r="V132" s="104">
        <f>IF(OR(U132="",T132="",U132=0),"",MAX(0,MIN(100,(U132-T132)/U132*100)))</f>
        <v/>
      </c>
      <c r="W132" s="104">
        <f>MAX(IF(S132="",0,S132),IF(V132="",0,V132))</f>
        <v/>
      </c>
      <c r="X132" s="105">
        <f>Параметры!$B$18*W132/100</f>
        <v/>
      </c>
      <c r="Y132" s="103">
        <f>IF(MIN(Комплектация!AA134,Комплектация!AB134)-Параметры!$B$15&lt;Параметры!$B$16,1,0)+IF(MIN(Комплектация!AK134,Комплектация!AL134)-Параметры!$B$15&lt;Параметры!$B$16,1,0)+IF(MIN(Комплектация!AU134,Комплектация!AV134)-Параметры!$B$15&lt;Параметры!$B$16,1,0)+IF(MIN(Комплектация!BE134,Комплектация!BF134)-Параметры!$B$15&lt;Параметры!$B$16,1,0)</f>
        <v/>
      </c>
      <c r="Z132" s="105">
        <f>Y132*Параметры!$B$19</f>
        <v/>
      </c>
      <c r="AA132" s="107">
        <f>MAX(0,P132-X132-Z132)</f>
        <v/>
      </c>
      <c r="AB132" s="108">
        <f>SUMIFS(Прайс!$D$3:$D$11,Прайс!$A$3:$A$11,B132,Прайс!$B$3:$B$11,C132)</f>
        <v/>
      </c>
      <c r="AC132" s="105">
        <f>IF(AB132="","",AB132-AA132)</f>
        <v/>
      </c>
      <c r="AD132" s="109" t="n">
        <v>2836012.089416059</v>
      </c>
    </row>
    <row r="133">
      <c r="A133" s="101">
        <f>Комплектация!A135</f>
        <v/>
      </c>
      <c r="B133" s="101">
        <f>Комплектация!C135</f>
        <v/>
      </c>
      <c r="C133" s="102">
        <f>Комплектация!E135</f>
        <v/>
      </c>
      <c r="D133" s="103" t="n">
        <v>2043</v>
      </c>
      <c r="E133" s="103">
        <f>IF(D133="",Параметры!$B$11,MAX(1,D133-C133))</f>
        <v/>
      </c>
      <c r="F133" s="103">
        <f>MAX(0,YEAR(Параметры!$B$2)-C133)</f>
        <v/>
      </c>
      <c r="G133" s="104">
        <f>MIN(100,F133/E133*100)</f>
        <v/>
      </c>
      <c r="H133" s="104">
        <f>100-G133</f>
        <v/>
      </c>
      <c r="I133" s="103">
        <f>AVERAGE(Комплектация!BJ135,Комплектация!BP135,Комплектация!BV135,Комплектация!CB135,Комплектация!CH135,Комплектация!CN135)</f>
        <v/>
      </c>
      <c r="J133" s="103">
        <f>MAX(0,YEAR(Параметры!$B$2)-I133)</f>
        <v/>
      </c>
      <c r="K133" s="104">
        <f>MIN(100,J133/Параметры!$B$12*100)</f>
        <v/>
      </c>
      <c r="L133" s="104">
        <f>100-K133</f>
        <v/>
      </c>
      <c r="M133" s="103">
        <f>MIN(Комплектация!AA135,Комплектация!AB135,Комплектация!AK135,Комплектация!AL135,Комплектация!AU135,Комплектация!AV135,Комплектация!BE135,Комплектация!BF135)</f>
        <v/>
      </c>
      <c r="N133" s="104">
        <f>AVERAGE((100-MAX(0,MIN(100,(Параметры!$B$13-MIN(Комплектация!AA135,Комплектация!AB135))/(Параметры!$B$13-Параметры!$B$14)*100))),(100-MAX(0,MIN(100,(Параметры!$B$13-MIN(Комплектация!AK135,Комплектация!AL135))/(Параметры!$B$13-Параметры!$B$14)*100))),(100-MAX(0,MIN(100,(Параметры!$B$13-MIN(Комплектация!AU135,Комплектация!AV135))/(Параметры!$B$13-Параметры!$B$14)*100))),(100-MAX(0,MIN(100,(Параметры!$B$13-MIN(Комплектация!BE135,Комплектация!BF135))/(Параметры!$B$13-Параметры!$B$14)*100))))</f>
        <v/>
      </c>
      <c r="O133" s="104">
        <f>AVERAGE(H133,L133)</f>
        <v/>
      </c>
      <c r="P133" s="105">
        <f>Параметры!$B$3*(Параметры!$B$5*H133+Параметры!$B$6*L133+Параметры!$B$7*N133+Параметры!$B$8*O133)/100</f>
        <v/>
      </c>
      <c r="Q133" s="106" t="n">
        <v>46095</v>
      </c>
      <c r="R133" s="106" t="n">
        <v>47191</v>
      </c>
      <c r="S133" s="104">
        <f>IF(OR(Q133="",R133="",R133=Q133),"",MAX(0,MIN(100,(Параметры!$B$2-Q133)/(R133-Q133)*100)))</f>
        <v/>
      </c>
      <c r="T133" s="103">
        <f>IF(ISNUMBER(Комплектация!P135),Комплектация!P135,"")</f>
        <v/>
      </c>
      <c r="U133" s="103">
        <f>IF(ISNUMBER(Комплектация!N135),Комплектация!N135,"")</f>
        <v/>
      </c>
      <c r="V133" s="104">
        <f>IF(OR(U133="",T133="",U133=0),"",MAX(0,MIN(100,(U133-T133)/U133*100)))</f>
        <v/>
      </c>
      <c r="W133" s="104">
        <f>MAX(IF(S133="",0,S133),IF(V133="",0,V133))</f>
        <v/>
      </c>
      <c r="X133" s="105">
        <f>Параметры!$B$18*W133/100</f>
        <v/>
      </c>
      <c r="Y133" s="103">
        <f>IF(MIN(Комплектация!AA135,Комплектация!AB135)-Параметры!$B$15&lt;Параметры!$B$16,1,0)+IF(MIN(Комплектация!AK135,Комплектация!AL135)-Параметры!$B$15&lt;Параметры!$B$16,1,0)+IF(MIN(Комплектация!AU135,Комплектация!AV135)-Параметры!$B$15&lt;Параметры!$B$16,1,0)+IF(MIN(Комплектация!BE135,Комплектация!BF135)-Параметры!$B$15&lt;Параметры!$B$16,1,0)</f>
        <v/>
      </c>
      <c r="Z133" s="105">
        <f>Y133*Параметры!$B$19</f>
        <v/>
      </c>
      <c r="AA133" s="107">
        <f>MAX(0,P133-X133-Z133)</f>
        <v/>
      </c>
      <c r="AB133" s="108">
        <f>SUMIFS(Прайс!$D$3:$D$11,Прайс!$A$3:$A$11,B133,Прайс!$B$3:$B$11,C133)</f>
        <v/>
      </c>
      <c r="AC133" s="105">
        <f>IF(AB133="","",AB133-AA133)</f>
        <v/>
      </c>
      <c r="AD133" s="109" t="n">
        <v>3132873.859489051</v>
      </c>
    </row>
    <row r="134">
      <c r="A134" s="101">
        <f>Комплектация!A136</f>
        <v/>
      </c>
      <c r="B134" s="101">
        <f>Комплектация!C136</f>
        <v/>
      </c>
      <c r="C134" s="102">
        <f>Комплектация!E136</f>
        <v/>
      </c>
      <c r="D134" s="103" t="n">
        <v>2044</v>
      </c>
      <c r="E134" s="103">
        <f>IF(D134="",Параметры!$B$11,MAX(1,D134-C134))</f>
        <v/>
      </c>
      <c r="F134" s="103">
        <f>MAX(0,YEAR(Параметры!$B$2)-C134)</f>
        <v/>
      </c>
      <c r="G134" s="104">
        <f>MIN(100,F134/E134*100)</f>
        <v/>
      </c>
      <c r="H134" s="104">
        <f>100-G134</f>
        <v/>
      </c>
      <c r="I134" s="103">
        <f>AVERAGE(Комплектация!BJ136,Комплектация!BP136,Комплектация!BV136,Комплектация!CB136,Комплектация!CH136,Комплектация!CN136)</f>
        <v/>
      </c>
      <c r="J134" s="103">
        <f>MAX(0,YEAR(Параметры!$B$2)-I134)</f>
        <v/>
      </c>
      <c r="K134" s="104">
        <f>MIN(100,J134/Параметры!$B$12*100)</f>
        <v/>
      </c>
      <c r="L134" s="104">
        <f>100-K134</f>
        <v/>
      </c>
      <c r="M134" s="103">
        <f>MIN(Комплектация!AA136,Комплектация!AB136,Комплектация!AK136,Комплектация!AL136,Комплектация!AU136,Комплектация!AV136,Комплектация!BE136,Комплектация!BF136)</f>
        <v/>
      </c>
      <c r="N134" s="104">
        <f>AVERAGE((100-MAX(0,MIN(100,(Параметры!$B$13-MIN(Комплектация!AA136,Комплектация!AB136))/(Параметры!$B$13-Параметры!$B$14)*100))),(100-MAX(0,MIN(100,(Параметры!$B$13-MIN(Комплектация!AK136,Комплектация!AL136))/(Параметры!$B$13-Параметры!$B$14)*100))),(100-MAX(0,MIN(100,(Параметры!$B$13-MIN(Комплектация!AU136,Комплектация!AV136))/(Параметры!$B$13-Параметры!$B$14)*100))),(100-MAX(0,MIN(100,(Параметры!$B$13-MIN(Комплектация!BE136,Комплектация!BF136))/(Параметры!$B$13-Параметры!$B$14)*100))))</f>
        <v/>
      </c>
      <c r="O134" s="104">
        <f>AVERAGE(H134,L134)</f>
        <v/>
      </c>
      <c r="P134" s="105">
        <f>Параметры!$B$3*(Параметры!$B$5*H134+Параметры!$B$6*L134+Параметры!$B$7*N134+Параметры!$B$8*O134)/100</f>
        <v/>
      </c>
      <c r="Q134" s="106" t="n">
        <v>45960</v>
      </c>
      <c r="R134" s="106" t="n">
        <v>47056</v>
      </c>
      <c r="S134" s="104">
        <f>IF(OR(Q134="",R134="",R134=Q134),"",MAX(0,MIN(100,(Параметры!$B$2-Q134)/(R134-Q134)*100)))</f>
        <v/>
      </c>
      <c r="T134" s="103">
        <f>IF(ISNUMBER(Комплектация!P136),Комплектация!P136,"")</f>
        <v/>
      </c>
      <c r="U134" s="103">
        <f>IF(ISNUMBER(Комплектация!N136),Комплектация!N136,"")</f>
        <v/>
      </c>
      <c r="V134" s="104">
        <f>IF(OR(U134="",T134="",U134=0),"",MAX(0,MIN(100,(U134-T134)/U134*100)))</f>
        <v/>
      </c>
      <c r="W134" s="104">
        <f>MAX(IF(S134="",0,S134),IF(V134="",0,V134))</f>
        <v/>
      </c>
      <c r="X134" s="105">
        <f>Параметры!$B$18*W134/100</f>
        <v/>
      </c>
      <c r="Y134" s="103">
        <f>IF(MIN(Комплектация!AA136,Комплектация!AB136)-Параметры!$B$15&lt;Параметры!$B$16,1,0)+IF(MIN(Комплектация!AK136,Комплектация!AL136)-Параметры!$B$15&lt;Параметры!$B$16,1,0)+IF(MIN(Комплектация!AU136,Комплектация!AV136)-Параметры!$B$15&lt;Параметры!$B$16,1,0)+IF(MIN(Комплектация!BE136,Комплектация!BF136)-Параметры!$B$15&lt;Параметры!$B$16,1,0)</f>
        <v/>
      </c>
      <c r="Z134" s="105">
        <f>Y134*Параметры!$B$19</f>
        <v/>
      </c>
      <c r="AA134" s="107">
        <f>MAX(0,P134-X134-Z134)</f>
        <v/>
      </c>
      <c r="AB134" s="108">
        <f>SUMIFS(Прайс!$D$3:$D$11,Прайс!$A$3:$A$11,B134,Прайс!$B$3:$B$11,C134)</f>
        <v/>
      </c>
      <c r="AC134" s="105">
        <f>IF(AB134="","",AB134-AA134)</f>
        <v/>
      </c>
      <c r="AD134" s="109" t="n">
        <v>1590503.649635036</v>
      </c>
    </row>
    <row r="135">
      <c r="A135" s="101">
        <f>Комплектация!A137</f>
        <v/>
      </c>
      <c r="B135" s="101">
        <f>Комплектация!C137</f>
        <v/>
      </c>
      <c r="C135" s="102">
        <f>Комплектация!E137</f>
        <v/>
      </c>
      <c r="D135" s="103" t="n">
        <v>2043</v>
      </c>
      <c r="E135" s="103">
        <f>IF(D135="",Параметры!$B$11,MAX(1,D135-C135))</f>
        <v/>
      </c>
      <c r="F135" s="103">
        <f>MAX(0,YEAR(Параметры!$B$2)-C135)</f>
        <v/>
      </c>
      <c r="G135" s="104">
        <f>MIN(100,F135/E135*100)</f>
        <v/>
      </c>
      <c r="H135" s="104">
        <f>100-G135</f>
        <v/>
      </c>
      <c r="I135" s="103">
        <f>AVERAGE(Комплектация!BJ137,Комплектация!BP137,Комплектация!BV137,Комплектация!CB137,Комплектация!CH137,Комплектация!CN137)</f>
        <v/>
      </c>
      <c r="J135" s="103">
        <f>MAX(0,YEAR(Параметры!$B$2)-I135)</f>
        <v/>
      </c>
      <c r="K135" s="104">
        <f>MIN(100,J135/Параметры!$B$12*100)</f>
        <v/>
      </c>
      <c r="L135" s="104">
        <f>100-K135</f>
        <v/>
      </c>
      <c r="M135" s="103">
        <f>MIN(Комплектация!AA137,Комплектация!AB137,Комплектация!AK137,Комплектация!AL137,Комплектация!AU137,Комплектация!AV137,Комплектация!BE137,Комплектация!BF137)</f>
        <v/>
      </c>
      <c r="N135" s="104">
        <f>AVERAGE((100-MAX(0,MIN(100,(Параметры!$B$13-MIN(Комплектация!AA137,Комплектация!AB137))/(Параметры!$B$13-Параметры!$B$14)*100))),(100-MAX(0,MIN(100,(Параметры!$B$13-MIN(Комплектация!AK137,Комплектация!AL137))/(Параметры!$B$13-Параметры!$B$14)*100))),(100-MAX(0,MIN(100,(Параметры!$B$13-MIN(Комплектация!AU137,Комплектация!AV137))/(Параметры!$B$13-Параметры!$B$14)*100))),(100-MAX(0,MIN(100,(Параметры!$B$13-MIN(Комплектация!BE137,Комплектация!BF137))/(Параметры!$B$13-Параметры!$B$14)*100))))</f>
        <v/>
      </c>
      <c r="O135" s="104">
        <f>AVERAGE(H135,L135)</f>
        <v/>
      </c>
      <c r="P135" s="105">
        <f>Параметры!$B$3*(Параметры!$B$5*H135+Параметры!$B$6*L135+Параметры!$B$7*N135+Параметры!$B$8*O135)/100</f>
        <v/>
      </c>
      <c r="Q135" s="106" t="n">
        <v>46091</v>
      </c>
      <c r="R135" s="106" t="n">
        <v>47187</v>
      </c>
      <c r="S135" s="104">
        <f>IF(OR(Q135="",R135="",R135=Q135),"",MAX(0,MIN(100,(Параметры!$B$2-Q135)/(R135-Q135)*100)))</f>
        <v/>
      </c>
      <c r="T135" s="103">
        <f>IF(ISNUMBER(Комплектация!P137),Комплектация!P137,"")</f>
        <v/>
      </c>
      <c r="U135" s="103">
        <f>IF(ISNUMBER(Комплектация!N137),Комплектация!N137,"")</f>
        <v/>
      </c>
      <c r="V135" s="104">
        <f>IF(OR(U135="",T135="",U135=0),"",MAX(0,MIN(100,(U135-T135)/U135*100)))</f>
        <v/>
      </c>
      <c r="W135" s="104">
        <f>MAX(IF(S135="",0,S135),IF(V135="",0,V135))</f>
        <v/>
      </c>
      <c r="X135" s="105">
        <f>Параметры!$B$18*W135/100</f>
        <v/>
      </c>
      <c r="Y135" s="103">
        <f>IF(MIN(Комплектация!AA137,Комплектация!AB137)-Параметры!$B$15&lt;Параметры!$B$16,1,0)+IF(MIN(Комплектация!AK137,Комплектация!AL137)-Параметры!$B$15&lt;Параметры!$B$16,1,0)+IF(MIN(Комплектация!AU137,Комплектация!AV137)-Параметры!$B$15&lt;Параметры!$B$16,1,0)+IF(MIN(Комплектация!BE137,Комплектация!BF137)-Параметры!$B$15&lt;Параметры!$B$16,1,0)</f>
        <v/>
      </c>
      <c r="Z135" s="105">
        <f>Y135*Параметры!$B$19</f>
        <v/>
      </c>
      <c r="AA135" s="107">
        <f>MAX(0,P135-X135-Z135)</f>
        <v/>
      </c>
      <c r="AB135" s="108">
        <f>SUMIFS(Прайс!$D$3:$D$11,Прайс!$A$3:$A$11,B135,Прайс!$B$3:$B$11,C135)</f>
        <v/>
      </c>
      <c r="AC135" s="105">
        <f>IF(AB135="","",AB135-AA135)</f>
        <v/>
      </c>
      <c r="AD135" s="109" t="n">
        <v>3119551.77919708</v>
      </c>
    </row>
    <row r="136">
      <c r="A136" s="101">
        <f>Комплектация!A138</f>
        <v/>
      </c>
      <c r="B136" s="101">
        <f>Комплектация!C138</f>
        <v/>
      </c>
      <c r="C136" s="102">
        <f>Комплектация!E138</f>
        <v/>
      </c>
      <c r="D136" s="103" t="n">
        <v>2047</v>
      </c>
      <c r="E136" s="103">
        <f>IF(D136="",Параметры!$B$11,MAX(1,D136-C136))</f>
        <v/>
      </c>
      <c r="F136" s="103">
        <f>MAX(0,YEAR(Параметры!$B$2)-C136)</f>
        <v/>
      </c>
      <c r="G136" s="104">
        <f>MIN(100,F136/E136*100)</f>
        <v/>
      </c>
      <c r="H136" s="104">
        <f>100-G136</f>
        <v/>
      </c>
      <c r="I136" s="103">
        <f>AVERAGE(Комплектация!BJ138,Комплектация!BP138,Комплектация!BV138,Комплектация!CB138,Комплектация!CH138,Комплектация!CN138)</f>
        <v/>
      </c>
      <c r="J136" s="103">
        <f>MAX(0,YEAR(Параметры!$B$2)-I136)</f>
        <v/>
      </c>
      <c r="K136" s="104">
        <f>MIN(100,J136/Параметры!$B$12*100)</f>
        <v/>
      </c>
      <c r="L136" s="104">
        <f>100-K136</f>
        <v/>
      </c>
      <c r="M136" s="103">
        <f>MIN(Комплектация!AA138,Комплектация!AB138,Комплектация!AK138,Комплектация!AL138,Комплектация!AU138,Комплектация!AV138,Комплектация!BE138,Комплектация!BF138)</f>
        <v/>
      </c>
      <c r="N136" s="104">
        <f>AVERAGE((100-MAX(0,MIN(100,(Параметры!$B$13-MIN(Комплектация!AA138,Комплектация!AB138))/(Параметры!$B$13-Параметры!$B$14)*100))),(100-MAX(0,MIN(100,(Параметры!$B$13-MIN(Комплектация!AK138,Комплектация!AL138))/(Параметры!$B$13-Параметры!$B$14)*100))),(100-MAX(0,MIN(100,(Параметры!$B$13-MIN(Комплектация!AU138,Комплектация!AV138))/(Параметры!$B$13-Параметры!$B$14)*100))),(100-MAX(0,MIN(100,(Параметры!$B$13-MIN(Комплектация!BE138,Комплектация!BF138))/(Параметры!$B$13-Параметры!$B$14)*100))))</f>
        <v/>
      </c>
      <c r="O136" s="104">
        <f>AVERAGE(H136,L136)</f>
        <v/>
      </c>
      <c r="P136" s="105">
        <f>Параметры!$B$3*(Параметры!$B$5*H136+Параметры!$B$6*L136+Параметры!$B$7*N136+Параметры!$B$8*O136)/100</f>
        <v/>
      </c>
      <c r="Q136" s="106" t="n">
        <v>45917</v>
      </c>
      <c r="R136" s="106" t="n">
        <v>47013</v>
      </c>
      <c r="S136" s="104">
        <f>IF(OR(Q136="",R136="",R136=Q136),"",MAX(0,MIN(100,(Параметры!$B$2-Q136)/(R136-Q136)*100)))</f>
        <v/>
      </c>
      <c r="T136" s="103">
        <f>IF(ISNUMBER(Комплектация!P138),Комплектация!P138,"")</f>
        <v/>
      </c>
      <c r="U136" s="103">
        <f>IF(ISNUMBER(Комплектация!N138),Комплектация!N138,"")</f>
        <v/>
      </c>
      <c r="V136" s="104">
        <f>IF(OR(U136="",T136="",U136=0),"",MAX(0,MIN(100,(U136-T136)/U136*100)))</f>
        <v/>
      </c>
      <c r="W136" s="104">
        <f>MAX(IF(S136="",0,S136),IF(V136="",0,V136))</f>
        <v/>
      </c>
      <c r="X136" s="105">
        <f>Параметры!$B$18*W136/100</f>
        <v/>
      </c>
      <c r="Y136" s="103">
        <f>IF(MIN(Комплектация!AA138,Комплектация!AB138)-Параметры!$B$15&lt;Параметры!$B$16,1,0)+IF(MIN(Комплектация!AK138,Комплектация!AL138)-Параметры!$B$15&lt;Параметры!$B$16,1,0)+IF(MIN(Комплектация!AU138,Комплектация!AV138)-Параметры!$B$15&lt;Параметры!$B$16,1,0)+IF(MIN(Комплектация!BE138,Комплектация!BF138)-Параметры!$B$15&lt;Параметры!$B$16,1,0)</f>
        <v/>
      </c>
      <c r="Z136" s="105">
        <f>Y136*Параметры!$B$19</f>
        <v/>
      </c>
      <c r="AA136" s="107">
        <f>MAX(0,P136-X136-Z136)</f>
        <v/>
      </c>
      <c r="AB136" s="108">
        <f>SUMIFS(Прайс!$D$3:$D$11,Прайс!$A$3:$A$11,B136,Прайс!$B$3:$B$11,C136)</f>
        <v/>
      </c>
      <c r="AC136" s="105">
        <f>IF(AB136="","",AB136-AA136)</f>
        <v/>
      </c>
      <c r="AD136" s="109" t="n">
        <v>1830916.286496351</v>
      </c>
    </row>
    <row r="137">
      <c r="A137" s="101">
        <f>Комплектация!A139</f>
        <v/>
      </c>
      <c r="B137" s="101">
        <f>Комплектация!C139</f>
        <v/>
      </c>
      <c r="C137" s="102">
        <f>Комплектация!E139</f>
        <v/>
      </c>
      <c r="D137" s="103" t="n">
        <v>2047</v>
      </c>
      <c r="E137" s="103">
        <f>IF(D137="",Параметры!$B$11,MAX(1,D137-C137))</f>
        <v/>
      </c>
      <c r="F137" s="103">
        <f>MAX(0,YEAR(Параметры!$B$2)-C137)</f>
        <v/>
      </c>
      <c r="G137" s="104">
        <f>MIN(100,F137/E137*100)</f>
        <v/>
      </c>
      <c r="H137" s="104">
        <f>100-G137</f>
        <v/>
      </c>
      <c r="I137" s="103">
        <f>AVERAGE(Комплектация!BJ139,Комплектация!BP139,Комплектация!BV139,Комплектация!CB139,Комплектация!CH139,Комплектация!CN139)</f>
        <v/>
      </c>
      <c r="J137" s="103">
        <f>MAX(0,YEAR(Параметры!$B$2)-I137)</f>
        <v/>
      </c>
      <c r="K137" s="104">
        <f>MIN(100,J137/Параметры!$B$12*100)</f>
        <v/>
      </c>
      <c r="L137" s="104">
        <f>100-K137</f>
        <v/>
      </c>
      <c r="M137" s="103">
        <f>MIN(Комплектация!AA139,Комплектация!AB139,Комплектация!AK139,Комплектация!AL139,Комплектация!AU139,Комплектация!AV139,Комплектация!BE139,Комплектация!BF139)</f>
        <v/>
      </c>
      <c r="N137" s="104">
        <f>AVERAGE((100-MAX(0,MIN(100,(Параметры!$B$13-MIN(Комплектация!AA139,Комплектация!AB139))/(Параметры!$B$13-Параметры!$B$14)*100))),(100-MAX(0,MIN(100,(Параметры!$B$13-MIN(Комплектация!AK139,Комплектация!AL139))/(Параметры!$B$13-Параметры!$B$14)*100))),(100-MAX(0,MIN(100,(Параметры!$B$13-MIN(Комплектация!AU139,Комплектация!AV139))/(Параметры!$B$13-Параметры!$B$14)*100))),(100-MAX(0,MIN(100,(Параметры!$B$13-MIN(Комплектация!BE139,Комплектация!BF139))/(Параметры!$B$13-Параметры!$B$14)*100))))</f>
        <v/>
      </c>
      <c r="O137" s="104">
        <f>AVERAGE(H137,L137)</f>
        <v/>
      </c>
      <c r="P137" s="105">
        <f>Параметры!$B$3*(Параметры!$B$5*H137+Параметры!$B$6*L137+Параметры!$B$7*N137+Параметры!$B$8*O137)/100</f>
        <v/>
      </c>
      <c r="Q137" s="106" t="n">
        <v>45918</v>
      </c>
      <c r="R137" s="106" t="n">
        <v>47014</v>
      </c>
      <c r="S137" s="104">
        <f>IF(OR(Q137="",R137="",R137=Q137),"",MAX(0,MIN(100,(Параметры!$B$2-Q137)/(R137-Q137)*100)))</f>
        <v/>
      </c>
      <c r="T137" s="103">
        <f>IF(ISNUMBER(Комплектация!P139),Комплектация!P139,"")</f>
        <v/>
      </c>
      <c r="U137" s="103">
        <f>IF(ISNUMBER(Комплектация!N139),Комплектация!N139,"")</f>
        <v/>
      </c>
      <c r="V137" s="104">
        <f>IF(OR(U137="",T137="",U137=0),"",MAX(0,MIN(100,(U137-T137)/U137*100)))</f>
        <v/>
      </c>
      <c r="W137" s="104">
        <f>MAX(IF(S137="",0,S137),IF(V137="",0,V137))</f>
        <v/>
      </c>
      <c r="X137" s="105">
        <f>Параметры!$B$18*W137/100</f>
        <v/>
      </c>
      <c r="Y137" s="103">
        <f>IF(MIN(Комплектация!AA139,Комплектация!AB139)-Параметры!$B$15&lt;Параметры!$B$16,1,0)+IF(MIN(Комплектация!AK139,Комплектация!AL139)-Параметры!$B$15&lt;Параметры!$B$16,1,0)+IF(MIN(Комплектация!AU139,Комплектация!AV139)-Параметры!$B$15&lt;Параметры!$B$16,1,0)+IF(MIN(Комплектация!BE139,Комплектация!BF139)-Параметры!$B$15&lt;Параметры!$B$16,1,0)</f>
        <v/>
      </c>
      <c r="Z137" s="105">
        <f>Y137*Параметры!$B$19</f>
        <v/>
      </c>
      <c r="AA137" s="107">
        <f>MAX(0,P137-X137-Z137)</f>
        <v/>
      </c>
      <c r="AB137" s="108">
        <f>SUMIFS(Прайс!$D$3:$D$11,Прайс!$A$3:$A$11,B137,Прайс!$B$3:$B$11,C137)</f>
        <v/>
      </c>
      <c r="AC137" s="105">
        <f>IF(AB137="","",AB137-AA137)</f>
        <v/>
      </c>
      <c r="AD137" s="109" t="n">
        <v>3482090.556569343</v>
      </c>
    </row>
    <row r="138">
      <c r="A138" s="101">
        <f>Комплектация!A140</f>
        <v/>
      </c>
      <c r="B138" s="101">
        <f>Комплектация!C140</f>
        <v/>
      </c>
      <c r="C138" s="102">
        <f>Комплектация!E140</f>
        <v/>
      </c>
      <c r="D138" s="103" t="n">
        <v>2050</v>
      </c>
      <c r="E138" s="103">
        <f>IF(D138="",Параметры!$B$11,MAX(1,D138-C138))</f>
        <v/>
      </c>
      <c r="F138" s="103">
        <f>MAX(0,YEAR(Параметры!$B$2)-C138)</f>
        <v/>
      </c>
      <c r="G138" s="104">
        <f>MIN(100,F138/E138*100)</f>
        <v/>
      </c>
      <c r="H138" s="104">
        <f>100-G138</f>
        <v/>
      </c>
      <c r="I138" s="103">
        <f>AVERAGE(Комплектация!BJ140,Комплектация!BP140,Комплектация!BV140,Комплектация!CB140,Комплектация!CH140,Комплектация!CN140)</f>
        <v/>
      </c>
      <c r="J138" s="103">
        <f>MAX(0,YEAR(Параметры!$B$2)-I138)</f>
        <v/>
      </c>
      <c r="K138" s="104">
        <f>MIN(100,J138/Параметры!$B$12*100)</f>
        <v/>
      </c>
      <c r="L138" s="104">
        <f>100-K138</f>
        <v/>
      </c>
      <c r="M138" s="103">
        <f>MIN(Комплектация!AA140,Комплектация!AB140,Комплектация!AK140,Комплектация!AL140,Комплектация!AU140,Комплектация!AV140,Комплектация!BE140,Комплектация!BF140)</f>
        <v/>
      </c>
      <c r="N138" s="104">
        <f>AVERAGE((100-MAX(0,MIN(100,(Параметры!$B$13-MIN(Комплектация!AA140,Комплектация!AB140))/(Параметры!$B$13-Параметры!$B$14)*100))),(100-MAX(0,MIN(100,(Параметры!$B$13-MIN(Комплектация!AK140,Комплектация!AL140))/(Параметры!$B$13-Параметры!$B$14)*100))),(100-MAX(0,MIN(100,(Параметры!$B$13-MIN(Комплектация!AU140,Комплектация!AV140))/(Параметры!$B$13-Параметры!$B$14)*100))),(100-MAX(0,MIN(100,(Параметры!$B$13-MIN(Комплектация!BE140,Комплектация!BF140))/(Параметры!$B$13-Параметры!$B$14)*100))))</f>
        <v/>
      </c>
      <c r="O138" s="104">
        <f>AVERAGE(H138,L138)</f>
        <v/>
      </c>
      <c r="P138" s="105">
        <f>Параметры!$B$3*(Параметры!$B$5*H138+Параметры!$B$6*L138+Параметры!$B$7*N138+Параметры!$B$8*O138)/100</f>
        <v/>
      </c>
      <c r="Q138" s="106" t="n">
        <v>45978</v>
      </c>
      <c r="R138" s="106" t="n">
        <v>46708</v>
      </c>
      <c r="S138" s="104">
        <f>IF(OR(Q138="",R138="",R138=Q138),"",MAX(0,MIN(100,(Параметры!$B$2-Q138)/(R138-Q138)*100)))</f>
        <v/>
      </c>
      <c r="T138" s="103">
        <f>IF(ISNUMBER(Комплектация!P140),Комплектация!P140,"")</f>
        <v/>
      </c>
      <c r="U138" s="103">
        <f>IF(ISNUMBER(Комплектация!N140),Комплектация!N140,"")</f>
        <v/>
      </c>
      <c r="V138" s="104">
        <f>IF(OR(U138="",T138="",U138=0),"",MAX(0,MIN(100,(U138-T138)/U138*100)))</f>
        <v/>
      </c>
      <c r="W138" s="104">
        <f>MAX(IF(S138="",0,S138),IF(V138="",0,V138))</f>
        <v/>
      </c>
      <c r="X138" s="105">
        <f>Параметры!$B$18*W138/100</f>
        <v/>
      </c>
      <c r="Y138" s="103">
        <f>IF(MIN(Комплектация!AA140,Комплектация!AB140)-Параметры!$B$15&lt;Параметры!$B$16,1,0)+IF(MIN(Комплектация!AK140,Комплектация!AL140)-Параметры!$B$15&lt;Параметры!$B$16,1,0)+IF(MIN(Комплектация!AU140,Комплектация!AV140)-Параметры!$B$15&lt;Параметры!$B$16,1,0)+IF(MIN(Комплектация!BE140,Комплектация!BF140)-Параметры!$B$15&lt;Параметры!$B$16,1,0)</f>
        <v/>
      </c>
      <c r="Z138" s="105">
        <f>Y138*Параметры!$B$19</f>
        <v/>
      </c>
      <c r="AA138" s="107">
        <f>MAX(0,P138-X138-Z138)</f>
        <v/>
      </c>
      <c r="AB138" s="108">
        <f>SUMIFS(Прайс!$D$3:$D$11,Прайс!$A$3:$A$11,B138,Прайс!$B$3:$B$11,C138)</f>
        <v/>
      </c>
      <c r="AC138" s="105">
        <f>IF(AB138="","",AB138-AA138)</f>
        <v/>
      </c>
      <c r="AD138" s="109" t="n">
        <v>3908309.075342466</v>
      </c>
    </row>
    <row r="139">
      <c r="A139" s="101">
        <f>Комплектация!A141</f>
        <v/>
      </c>
      <c r="B139" s="101">
        <f>Комплектация!C141</f>
        <v/>
      </c>
      <c r="C139" s="102">
        <f>Комплектация!E141</f>
        <v/>
      </c>
      <c r="D139" s="103" t="n">
        <v>2050</v>
      </c>
      <c r="E139" s="103">
        <f>IF(D139="",Параметры!$B$11,MAX(1,D139-C139))</f>
        <v/>
      </c>
      <c r="F139" s="103">
        <f>MAX(0,YEAR(Параметры!$B$2)-C139)</f>
        <v/>
      </c>
      <c r="G139" s="104">
        <f>MIN(100,F139/E139*100)</f>
        <v/>
      </c>
      <c r="H139" s="104">
        <f>100-G139</f>
        <v/>
      </c>
      <c r="I139" s="103">
        <f>AVERAGE(Комплектация!BJ141,Комплектация!BP141,Комплектация!BV141,Комплектация!CB141,Комплектация!CH141,Комплектация!CN141)</f>
        <v/>
      </c>
      <c r="J139" s="103">
        <f>MAX(0,YEAR(Параметры!$B$2)-I139)</f>
        <v/>
      </c>
      <c r="K139" s="104">
        <f>MIN(100,J139/Параметры!$B$12*100)</f>
        <v/>
      </c>
      <c r="L139" s="104">
        <f>100-K139</f>
        <v/>
      </c>
      <c r="M139" s="103">
        <f>MIN(Комплектация!AA141,Комплектация!AB141,Комплектация!AK141,Комплектация!AL141,Комплектация!AU141,Комплектация!AV141,Комплектация!BE141,Комплектация!BF141)</f>
        <v/>
      </c>
      <c r="N139" s="104">
        <f>AVERAGE((100-MAX(0,MIN(100,(Параметры!$B$13-MIN(Комплектация!AA141,Комплектация!AB141))/(Параметры!$B$13-Параметры!$B$14)*100))),(100-MAX(0,MIN(100,(Параметры!$B$13-MIN(Комплектация!AK141,Комплектация!AL141))/(Параметры!$B$13-Параметры!$B$14)*100))),(100-MAX(0,MIN(100,(Параметры!$B$13-MIN(Комплектация!AU141,Комплектация!AV141))/(Параметры!$B$13-Параметры!$B$14)*100))),(100-MAX(0,MIN(100,(Параметры!$B$13-MIN(Комплектация!BE141,Комплектация!BF141))/(Параметры!$B$13-Параметры!$B$14)*100))))</f>
        <v/>
      </c>
      <c r="O139" s="104">
        <f>AVERAGE(H139,L139)</f>
        <v/>
      </c>
      <c r="P139" s="105">
        <f>Параметры!$B$3*(Параметры!$B$5*H139+Параметры!$B$6*L139+Параметры!$B$7*N139+Параметры!$B$8*O139)/100</f>
        <v/>
      </c>
      <c r="Q139" s="106" t="n">
        <v>45987</v>
      </c>
      <c r="R139" s="106" t="n">
        <v>46717</v>
      </c>
      <c r="S139" s="104">
        <f>IF(OR(Q139="",R139="",R139=Q139),"",MAX(0,MIN(100,(Параметры!$B$2-Q139)/(R139-Q139)*100)))</f>
        <v/>
      </c>
      <c r="T139" s="103">
        <f>IF(ISNUMBER(Комплектация!P141),Комплектация!P141,"")</f>
        <v/>
      </c>
      <c r="U139" s="103">
        <f>IF(ISNUMBER(Комплектация!N141),Комплектация!N141,"")</f>
        <v/>
      </c>
      <c r="V139" s="104">
        <f>IF(OR(U139="",T139="",U139=0),"",MAX(0,MIN(100,(U139-T139)/U139*100)))</f>
        <v/>
      </c>
      <c r="W139" s="104">
        <f>MAX(IF(S139="",0,S139),IF(V139="",0,V139))</f>
        <v/>
      </c>
      <c r="X139" s="105">
        <f>Параметры!$B$18*W139/100</f>
        <v/>
      </c>
      <c r="Y139" s="103">
        <f>IF(MIN(Комплектация!AA141,Комплектация!AB141)-Параметры!$B$15&lt;Параметры!$B$16,1,0)+IF(MIN(Комплектация!AK141,Комплектация!AL141)-Параметры!$B$15&lt;Параметры!$B$16,1,0)+IF(MIN(Комплектация!AU141,Комплектация!AV141)-Параметры!$B$15&lt;Параметры!$B$16,1,0)+IF(MIN(Комплектация!BE141,Комплектация!BF141)-Параметры!$B$15&lt;Параметры!$B$16,1,0)</f>
        <v/>
      </c>
      <c r="Z139" s="105">
        <f>Y139*Параметры!$B$19</f>
        <v/>
      </c>
      <c r="AA139" s="107">
        <f>MAX(0,P139-X139-Z139)</f>
        <v/>
      </c>
      <c r="AB139" s="108">
        <f>SUMIFS(Прайс!$D$3:$D$11,Прайс!$A$3:$A$11,B139,Прайс!$B$3:$B$11,C139)</f>
        <v/>
      </c>
      <c r="AC139" s="105">
        <f>IF(AB139="","",AB139-AA139)</f>
        <v/>
      </c>
      <c r="AD139" s="109" t="n">
        <v>3914041.952054794</v>
      </c>
    </row>
    <row r="140">
      <c r="A140" s="101">
        <f>Комплектация!A142</f>
        <v/>
      </c>
      <c r="B140" s="101">
        <f>Комплектация!C142</f>
        <v/>
      </c>
      <c r="C140" s="102">
        <f>Комплектация!E142</f>
        <v/>
      </c>
      <c r="D140" s="103" t="n">
        <v>2050</v>
      </c>
      <c r="E140" s="103">
        <f>IF(D140="",Параметры!$B$11,MAX(1,D140-C140))</f>
        <v/>
      </c>
      <c r="F140" s="103">
        <f>MAX(0,YEAR(Параметры!$B$2)-C140)</f>
        <v/>
      </c>
      <c r="G140" s="104">
        <f>MIN(100,F140/E140*100)</f>
        <v/>
      </c>
      <c r="H140" s="104">
        <f>100-G140</f>
        <v/>
      </c>
      <c r="I140" s="103">
        <f>AVERAGE(Комплектация!BJ142,Комплектация!BP142,Комплектация!BV142,Комплектация!CB142,Комплектация!CH142,Комплектация!CN142)</f>
        <v/>
      </c>
      <c r="J140" s="103">
        <f>MAX(0,YEAR(Параметры!$B$2)-I140)</f>
        <v/>
      </c>
      <c r="K140" s="104">
        <f>MIN(100,J140/Параметры!$B$12*100)</f>
        <v/>
      </c>
      <c r="L140" s="104">
        <f>100-K140</f>
        <v/>
      </c>
      <c r="M140" s="103">
        <f>MIN(Комплектация!AA142,Комплектация!AB142,Комплектация!AK142,Комплектация!AL142,Комплектация!AU142,Комплектация!AV142,Комплектация!BE142,Комплектация!BF142)</f>
        <v/>
      </c>
      <c r="N140" s="104">
        <f>AVERAGE((100-MAX(0,MIN(100,(Параметры!$B$13-MIN(Комплектация!AA142,Комплектация!AB142))/(Параметры!$B$13-Параметры!$B$14)*100))),(100-MAX(0,MIN(100,(Параметры!$B$13-MIN(Комплектация!AK142,Комплектация!AL142))/(Параметры!$B$13-Параметры!$B$14)*100))),(100-MAX(0,MIN(100,(Параметры!$B$13-MIN(Комплектация!AU142,Комплектация!AV142))/(Параметры!$B$13-Параметры!$B$14)*100))),(100-MAX(0,MIN(100,(Параметры!$B$13-MIN(Комплектация!BE142,Комплектация!BF142))/(Параметры!$B$13-Параметры!$B$14)*100))))</f>
        <v/>
      </c>
      <c r="O140" s="104">
        <f>AVERAGE(H140,L140)</f>
        <v/>
      </c>
      <c r="P140" s="105">
        <f>Параметры!$B$3*(Параметры!$B$5*H140+Параметры!$B$6*L140+Параметры!$B$7*N140+Параметры!$B$8*O140)/100</f>
        <v/>
      </c>
      <c r="Q140" s="106" t="n">
        <v>46010</v>
      </c>
      <c r="R140" s="106" t="n">
        <v>46740</v>
      </c>
      <c r="S140" s="104">
        <f>IF(OR(Q140="",R140="",R140=Q140),"",MAX(0,MIN(100,(Параметры!$B$2-Q140)/(R140-Q140)*100)))</f>
        <v/>
      </c>
      <c r="T140" s="103">
        <f>IF(ISNUMBER(Комплектация!P142),Комплектация!P142,"")</f>
        <v/>
      </c>
      <c r="U140" s="103">
        <f>IF(ISNUMBER(Комплектация!N142),Комплектация!N142,"")</f>
        <v/>
      </c>
      <c r="V140" s="104">
        <f>IF(OR(U140="",T140="",U140=0),"",MAX(0,MIN(100,(U140-T140)/U140*100)))</f>
        <v/>
      </c>
      <c r="W140" s="104">
        <f>MAX(IF(S140="",0,S140),IF(V140="",0,V140))</f>
        <v/>
      </c>
      <c r="X140" s="105">
        <f>Параметры!$B$18*W140/100</f>
        <v/>
      </c>
      <c r="Y140" s="103">
        <f>IF(MIN(Комплектация!AA142,Комплектация!AB142)-Параметры!$B$15&lt;Параметры!$B$16,1,0)+IF(MIN(Комплектация!AK142,Комплектация!AL142)-Параметры!$B$15&lt;Параметры!$B$16,1,0)+IF(MIN(Комплектация!AU142,Комплектация!AV142)-Параметры!$B$15&lt;Параметры!$B$16,1,0)+IF(MIN(Комплектация!BE142,Комплектация!BF142)-Параметры!$B$15&lt;Параметры!$B$16,1,0)</f>
        <v/>
      </c>
      <c r="Z140" s="105">
        <f>Y140*Параметры!$B$19</f>
        <v/>
      </c>
      <c r="AA140" s="107">
        <f>MAX(0,P140-X140-Z140)</f>
        <v/>
      </c>
      <c r="AB140" s="108">
        <f>SUMIFS(Прайс!$D$3:$D$11,Прайс!$A$3:$A$11,B140,Прайс!$B$3:$B$11,C140)</f>
        <v/>
      </c>
      <c r="AC140" s="105">
        <f>IF(AB140="","",AB140-AA140)</f>
        <v/>
      </c>
      <c r="AD140" s="109" t="n">
        <v>3928692.636986302</v>
      </c>
    </row>
    <row r="141">
      <c r="A141" s="101">
        <f>Комплектация!A143</f>
        <v/>
      </c>
      <c r="B141" s="101">
        <f>Комплектация!C143</f>
        <v/>
      </c>
      <c r="C141" s="102">
        <f>Комплектация!E143</f>
        <v/>
      </c>
      <c r="D141" s="103" t="n">
        <v>2050</v>
      </c>
      <c r="E141" s="103">
        <f>IF(D141="",Параметры!$B$11,MAX(1,D141-C141))</f>
        <v/>
      </c>
      <c r="F141" s="103">
        <f>MAX(0,YEAR(Параметры!$B$2)-C141)</f>
        <v/>
      </c>
      <c r="G141" s="104">
        <f>MIN(100,F141/E141*100)</f>
        <v/>
      </c>
      <c r="H141" s="104">
        <f>100-G141</f>
        <v/>
      </c>
      <c r="I141" s="103">
        <f>AVERAGE(Комплектация!BJ143,Комплектация!BP143,Комплектация!BV143,Комплектация!CB143,Комплектация!CH143,Комплектация!CN143)</f>
        <v/>
      </c>
      <c r="J141" s="103">
        <f>MAX(0,YEAR(Параметры!$B$2)-I141)</f>
        <v/>
      </c>
      <c r="K141" s="104">
        <f>MIN(100,J141/Параметры!$B$12*100)</f>
        <v/>
      </c>
      <c r="L141" s="104">
        <f>100-K141</f>
        <v/>
      </c>
      <c r="M141" s="103">
        <f>MIN(Комплектация!AA143,Комплектация!AB143,Комплектация!AK143,Комплектация!AL143,Комплектация!AU143,Комплектация!AV143,Комплектация!BE143,Комплектация!BF143)</f>
        <v/>
      </c>
      <c r="N141" s="104">
        <f>AVERAGE((100-MAX(0,MIN(100,(Параметры!$B$13-MIN(Комплектация!AA143,Комплектация!AB143))/(Параметры!$B$13-Параметры!$B$14)*100))),(100-MAX(0,MIN(100,(Параметры!$B$13-MIN(Комплектация!AK143,Комплектация!AL143))/(Параметры!$B$13-Параметры!$B$14)*100))),(100-MAX(0,MIN(100,(Параметры!$B$13-MIN(Комплектация!AU143,Комплектация!AV143))/(Параметры!$B$13-Параметры!$B$14)*100))),(100-MAX(0,MIN(100,(Параметры!$B$13-MIN(Комплектация!BE143,Комплектация!BF143))/(Параметры!$B$13-Параметры!$B$14)*100))))</f>
        <v/>
      </c>
      <c r="O141" s="104">
        <f>AVERAGE(H141,L141)</f>
        <v/>
      </c>
      <c r="P141" s="105">
        <f>Параметры!$B$3*(Параметры!$B$5*H141+Параметры!$B$6*L141+Параметры!$B$7*N141+Параметры!$B$8*O141)/100</f>
        <v/>
      </c>
      <c r="Q141" s="106" t="n">
        <v>45959</v>
      </c>
      <c r="R141" s="106" t="n">
        <v>46689</v>
      </c>
      <c r="S141" s="104">
        <f>IF(OR(Q141="",R141="",R141=Q141),"",MAX(0,MIN(100,(Параметры!$B$2-Q141)/(R141-Q141)*100)))</f>
        <v/>
      </c>
      <c r="T141" s="103">
        <f>IF(ISNUMBER(Комплектация!P143),Комплектация!P143,"")</f>
        <v/>
      </c>
      <c r="U141" s="103">
        <f>IF(ISNUMBER(Комплектация!N143),Комплектация!N143,"")</f>
        <v/>
      </c>
      <c r="V141" s="104">
        <f>IF(OR(U141="",T141="",U141=0),"",MAX(0,MIN(100,(U141-T141)/U141*100)))</f>
        <v/>
      </c>
      <c r="W141" s="104">
        <f>MAX(IF(S141="",0,S141),IF(V141="",0,V141))</f>
        <v/>
      </c>
      <c r="X141" s="105">
        <f>Параметры!$B$18*W141/100</f>
        <v/>
      </c>
      <c r="Y141" s="103">
        <f>IF(MIN(Комплектация!AA143,Комплектация!AB143)-Параметры!$B$15&lt;Параметры!$B$16,1,0)+IF(MIN(Комплектация!AK143,Комплектация!AL143)-Параметры!$B$15&lt;Параметры!$B$16,1,0)+IF(MIN(Комплектация!AU143,Комплектация!AV143)-Параметры!$B$15&lt;Параметры!$B$16,1,0)+IF(MIN(Комплектация!BE143,Комплектация!BF143)-Параметры!$B$15&lt;Параметры!$B$16,1,0)</f>
        <v/>
      </c>
      <c r="Z141" s="105">
        <f>Y141*Параметры!$B$19</f>
        <v/>
      </c>
      <c r="AA141" s="107">
        <f>MAX(0,P141-X141-Z141)</f>
        <v/>
      </c>
      <c r="AB141" s="108">
        <f>SUMIFS(Прайс!$D$3:$D$11,Прайс!$A$3:$A$11,B141,Прайс!$B$3:$B$11,C141)</f>
        <v/>
      </c>
      <c r="AC141" s="105">
        <f>IF(AB141="","",AB141-AA141)</f>
        <v/>
      </c>
      <c r="AD141" s="109" t="n">
        <v>3896206.335616438</v>
      </c>
    </row>
    <row r="142">
      <c r="A142" s="101">
        <f>Комплектация!A144</f>
        <v/>
      </c>
      <c r="B142" s="101">
        <f>Комплектация!C144</f>
        <v/>
      </c>
      <c r="C142" s="102">
        <f>Комплектация!E144</f>
        <v/>
      </c>
      <c r="D142" s="103" t="n">
        <v>2050</v>
      </c>
      <c r="E142" s="103">
        <f>IF(D142="",Параметры!$B$11,MAX(1,D142-C142))</f>
        <v/>
      </c>
      <c r="F142" s="103">
        <f>MAX(0,YEAR(Параметры!$B$2)-C142)</f>
        <v/>
      </c>
      <c r="G142" s="104">
        <f>MIN(100,F142/E142*100)</f>
        <v/>
      </c>
      <c r="H142" s="104">
        <f>100-G142</f>
        <v/>
      </c>
      <c r="I142" s="103">
        <f>AVERAGE(Комплектация!BJ144,Комплектация!BP144,Комплектация!BV144,Комплектация!CB144,Комплектация!CH144,Комплектация!CN144)</f>
        <v/>
      </c>
      <c r="J142" s="103">
        <f>MAX(0,YEAR(Параметры!$B$2)-I142)</f>
        <v/>
      </c>
      <c r="K142" s="104">
        <f>MIN(100,J142/Параметры!$B$12*100)</f>
        <v/>
      </c>
      <c r="L142" s="104">
        <f>100-K142</f>
        <v/>
      </c>
      <c r="M142" s="103">
        <f>MIN(Комплектация!AA144,Комплектация!AB144,Комплектация!AK144,Комплектация!AL144,Комплектация!AU144,Комплектация!AV144,Комплектация!BE144,Комплектация!BF144)</f>
        <v/>
      </c>
      <c r="N142" s="104">
        <f>AVERAGE((100-MAX(0,MIN(100,(Параметры!$B$13-MIN(Комплектация!AA144,Комплектация!AB144))/(Параметры!$B$13-Параметры!$B$14)*100))),(100-MAX(0,MIN(100,(Параметры!$B$13-MIN(Комплектация!AK144,Комплектация!AL144))/(Параметры!$B$13-Параметры!$B$14)*100))),(100-MAX(0,MIN(100,(Параметры!$B$13-MIN(Комплектация!AU144,Комплектация!AV144))/(Параметры!$B$13-Параметры!$B$14)*100))),(100-MAX(0,MIN(100,(Параметры!$B$13-MIN(Комплектация!BE144,Комплектация!BF144))/(Параметры!$B$13-Параметры!$B$14)*100))))</f>
        <v/>
      </c>
      <c r="O142" s="104">
        <f>AVERAGE(H142,L142)</f>
        <v/>
      </c>
      <c r="P142" s="105">
        <f>Параметры!$B$3*(Параметры!$B$5*H142+Параметры!$B$6*L142+Параметры!$B$7*N142+Параметры!$B$8*O142)/100</f>
        <v/>
      </c>
      <c r="Q142" s="106" t="n">
        <v>45990</v>
      </c>
      <c r="R142" s="106" t="n">
        <v>46720</v>
      </c>
      <c r="S142" s="104">
        <f>IF(OR(Q142="",R142="",R142=Q142),"",MAX(0,MIN(100,(Параметры!$B$2-Q142)/(R142-Q142)*100)))</f>
        <v/>
      </c>
      <c r="T142" s="103">
        <f>IF(ISNUMBER(Комплектация!P144),Комплектация!P144,"")</f>
        <v/>
      </c>
      <c r="U142" s="103">
        <f>IF(ISNUMBER(Комплектация!N144),Комплектация!N144,"")</f>
        <v/>
      </c>
      <c r="V142" s="104">
        <f>IF(OR(U142="",T142="",U142=0),"",MAX(0,MIN(100,(U142-T142)/U142*100)))</f>
        <v/>
      </c>
      <c r="W142" s="104">
        <f>MAX(IF(S142="",0,S142),IF(V142="",0,V142))</f>
        <v/>
      </c>
      <c r="X142" s="105">
        <f>Параметры!$B$18*W142/100</f>
        <v/>
      </c>
      <c r="Y142" s="103">
        <f>IF(MIN(Комплектация!AA144,Комплектация!AB144)-Параметры!$B$15&lt;Параметры!$B$16,1,0)+IF(MIN(Комплектация!AK144,Комплектация!AL144)-Параметры!$B$15&lt;Параметры!$B$16,1,0)+IF(MIN(Комплектация!AU144,Комплектация!AV144)-Параметры!$B$15&lt;Параметры!$B$16,1,0)+IF(MIN(Комплектация!BE144,Комплектация!BF144)-Параметры!$B$15&lt;Параметры!$B$16,1,0)</f>
        <v/>
      </c>
      <c r="Z142" s="105">
        <f>Y142*Параметры!$B$19</f>
        <v/>
      </c>
      <c r="AA142" s="107">
        <f>MAX(0,P142-X142-Z142)</f>
        <v/>
      </c>
      <c r="AB142" s="108">
        <f>SUMIFS(Прайс!$D$3:$D$11,Прайс!$A$3:$A$11,B142,Прайс!$B$3:$B$11,C142)</f>
        <v/>
      </c>
      <c r="AC142" s="105">
        <f>IF(AB142="","",AB142-AA142)</f>
        <v/>
      </c>
      <c r="AD142" s="109" t="n">
        <v>3915952.910958904</v>
      </c>
    </row>
    <row r="143">
      <c r="A143" s="101">
        <f>Комплектация!A145</f>
        <v/>
      </c>
      <c r="B143" s="101">
        <f>Комплектация!C145</f>
        <v/>
      </c>
      <c r="C143" s="102">
        <f>Комплектация!E145</f>
        <v/>
      </c>
      <c r="D143" s="103" t="n">
        <v>2050</v>
      </c>
      <c r="E143" s="103">
        <f>IF(D143="",Параметры!$B$11,MAX(1,D143-C143))</f>
        <v/>
      </c>
      <c r="F143" s="103">
        <f>MAX(0,YEAR(Параметры!$B$2)-C143)</f>
        <v/>
      </c>
      <c r="G143" s="104">
        <f>MIN(100,F143/E143*100)</f>
        <v/>
      </c>
      <c r="H143" s="104">
        <f>100-G143</f>
        <v/>
      </c>
      <c r="I143" s="103">
        <f>AVERAGE(Комплектация!BJ145,Комплектация!BP145,Комплектация!BV145,Комплектация!CB145,Комплектация!CH145,Комплектация!CN145)</f>
        <v/>
      </c>
      <c r="J143" s="103">
        <f>MAX(0,YEAR(Параметры!$B$2)-I143)</f>
        <v/>
      </c>
      <c r="K143" s="104">
        <f>MIN(100,J143/Параметры!$B$12*100)</f>
        <v/>
      </c>
      <c r="L143" s="104">
        <f>100-K143</f>
        <v/>
      </c>
      <c r="M143" s="103">
        <f>MIN(Комплектация!AA145,Комплектация!AB145,Комплектация!AK145,Комплектация!AL145,Комплектация!AU145,Комплектация!AV145,Комплектация!BE145,Комплектация!BF145)</f>
        <v/>
      </c>
      <c r="N143" s="104">
        <f>AVERAGE((100-MAX(0,MIN(100,(Параметры!$B$13-MIN(Комплектация!AA145,Комплектация!AB145))/(Параметры!$B$13-Параметры!$B$14)*100))),(100-MAX(0,MIN(100,(Параметры!$B$13-MIN(Комплектация!AK145,Комплектация!AL145))/(Параметры!$B$13-Параметры!$B$14)*100))),(100-MAX(0,MIN(100,(Параметры!$B$13-MIN(Комплектация!AU145,Комплектация!AV145))/(Параметры!$B$13-Параметры!$B$14)*100))),(100-MAX(0,MIN(100,(Параметры!$B$13-MIN(Комплектация!BE145,Комплектация!BF145))/(Параметры!$B$13-Параметры!$B$14)*100))))</f>
        <v/>
      </c>
      <c r="O143" s="104">
        <f>AVERAGE(H143,L143)</f>
        <v/>
      </c>
      <c r="P143" s="105">
        <f>Параметры!$B$3*(Параметры!$B$5*H143+Параметры!$B$6*L143+Параметры!$B$7*N143+Параметры!$B$8*O143)/100</f>
        <v/>
      </c>
      <c r="Q143" s="106" t="n">
        <v>45944</v>
      </c>
      <c r="R143" s="106" t="n">
        <v>46674</v>
      </c>
      <c r="S143" s="104">
        <f>IF(OR(Q143="",R143="",R143=Q143),"",MAX(0,MIN(100,(Параметры!$B$2-Q143)/(R143-Q143)*100)))</f>
        <v/>
      </c>
      <c r="T143" s="103">
        <f>IF(ISNUMBER(Комплектация!P145),Комплектация!P145,"")</f>
        <v/>
      </c>
      <c r="U143" s="103">
        <f>IF(ISNUMBER(Комплектация!N145),Комплектация!N145,"")</f>
        <v/>
      </c>
      <c r="V143" s="104">
        <f>IF(OR(U143="",T143="",U143=0),"",MAX(0,MIN(100,(U143-T143)/U143*100)))</f>
        <v/>
      </c>
      <c r="W143" s="104">
        <f>MAX(IF(S143="",0,S143),IF(V143="",0,V143))</f>
        <v/>
      </c>
      <c r="X143" s="105">
        <f>Параметры!$B$18*W143/100</f>
        <v/>
      </c>
      <c r="Y143" s="103">
        <f>IF(MIN(Комплектация!AA145,Комплектация!AB145)-Параметры!$B$15&lt;Параметры!$B$16,1,0)+IF(MIN(Комплектация!AK145,Комплектация!AL145)-Параметры!$B$15&lt;Параметры!$B$16,1,0)+IF(MIN(Комплектация!AU145,Комплектация!AV145)-Параметры!$B$15&lt;Параметры!$B$16,1,0)+IF(MIN(Комплектация!BE145,Комплектация!BF145)-Параметры!$B$15&lt;Параметры!$B$16,1,0)</f>
        <v/>
      </c>
      <c r="Z143" s="105">
        <f>Y143*Параметры!$B$19</f>
        <v/>
      </c>
      <c r="AA143" s="107">
        <f>MAX(0,P143-X143-Z143)</f>
        <v/>
      </c>
      <c r="AB143" s="108">
        <f>SUMIFS(Прайс!$D$3:$D$11,Прайс!$A$3:$A$11,B143,Прайс!$B$3:$B$11,C143)</f>
        <v/>
      </c>
      <c r="AC143" s="105">
        <f>IF(AB143="","",AB143-AA143)</f>
        <v/>
      </c>
      <c r="AD143" s="109" t="n">
        <v>3886651.541095891</v>
      </c>
    </row>
    <row r="144">
      <c r="A144" s="101">
        <f>Комплектация!A146</f>
        <v/>
      </c>
      <c r="B144" s="101">
        <f>Комплектация!C146</f>
        <v/>
      </c>
      <c r="C144" s="102">
        <f>Комплектация!E146</f>
        <v/>
      </c>
      <c r="D144" s="103" t="n">
        <v>2050</v>
      </c>
      <c r="E144" s="103">
        <f>IF(D144="",Параметры!$B$11,MAX(1,D144-C144))</f>
        <v/>
      </c>
      <c r="F144" s="103">
        <f>MAX(0,YEAR(Параметры!$B$2)-C144)</f>
        <v/>
      </c>
      <c r="G144" s="104">
        <f>MIN(100,F144/E144*100)</f>
        <v/>
      </c>
      <c r="H144" s="104">
        <f>100-G144</f>
        <v/>
      </c>
      <c r="I144" s="103">
        <f>AVERAGE(Комплектация!BJ146,Комплектация!BP146,Комплектация!BV146,Комплектация!CB146,Комплектация!CH146,Комплектация!CN146)</f>
        <v/>
      </c>
      <c r="J144" s="103">
        <f>MAX(0,YEAR(Параметры!$B$2)-I144)</f>
        <v/>
      </c>
      <c r="K144" s="104">
        <f>MIN(100,J144/Параметры!$B$12*100)</f>
        <v/>
      </c>
      <c r="L144" s="104">
        <f>100-K144</f>
        <v/>
      </c>
      <c r="M144" s="103">
        <f>MIN(Комплектация!AA146,Комплектация!AB146,Комплектация!AK146,Комплектация!AL146,Комплектация!AU146,Комплектация!AV146,Комплектация!BE146,Комплектация!BF146)</f>
        <v/>
      </c>
      <c r="N144" s="104">
        <f>AVERAGE((100-MAX(0,MIN(100,(Параметры!$B$13-MIN(Комплектация!AA146,Комплектация!AB146))/(Параметры!$B$13-Параметры!$B$14)*100))),(100-MAX(0,MIN(100,(Параметры!$B$13-MIN(Комплектация!AK146,Комплектация!AL146))/(Параметры!$B$13-Параметры!$B$14)*100))),(100-MAX(0,MIN(100,(Параметры!$B$13-MIN(Комплектация!AU146,Комплектация!AV146))/(Параметры!$B$13-Параметры!$B$14)*100))),(100-MAX(0,MIN(100,(Параметры!$B$13-MIN(Комплектация!BE146,Комплектация!BF146))/(Параметры!$B$13-Параметры!$B$14)*100))))</f>
        <v/>
      </c>
      <c r="O144" s="104">
        <f>AVERAGE(H144,L144)</f>
        <v/>
      </c>
      <c r="P144" s="105">
        <f>Параметры!$B$3*(Параметры!$B$5*H144+Параметры!$B$6*L144+Параметры!$B$7*N144+Параметры!$B$8*O144)/100</f>
        <v/>
      </c>
      <c r="Q144" s="106" t="n">
        <v>46011</v>
      </c>
      <c r="R144" s="106" t="n">
        <v>46741</v>
      </c>
      <c r="S144" s="104">
        <f>IF(OR(Q144="",R144="",R144=Q144),"",MAX(0,MIN(100,(Параметры!$B$2-Q144)/(R144-Q144)*100)))</f>
        <v/>
      </c>
      <c r="T144" s="103">
        <f>IF(ISNUMBER(Комплектация!P146),Комплектация!P146,"")</f>
        <v/>
      </c>
      <c r="U144" s="103">
        <f>IF(ISNUMBER(Комплектация!N146),Комплектация!N146,"")</f>
        <v/>
      </c>
      <c r="V144" s="104">
        <f>IF(OR(U144="",T144="",U144=0),"",MAX(0,MIN(100,(U144-T144)/U144*100)))</f>
        <v/>
      </c>
      <c r="W144" s="104">
        <f>MAX(IF(S144="",0,S144),IF(V144="",0,V144))</f>
        <v/>
      </c>
      <c r="X144" s="105">
        <f>Параметры!$B$18*W144/100</f>
        <v/>
      </c>
      <c r="Y144" s="103">
        <f>IF(MIN(Комплектация!AA146,Комплектация!AB146)-Параметры!$B$15&lt;Параметры!$B$16,1,0)+IF(MIN(Комплектация!AK146,Комплектация!AL146)-Параметры!$B$15&lt;Параметры!$B$16,1,0)+IF(MIN(Комплектация!AU146,Комплектация!AV146)-Параметры!$B$15&lt;Параметры!$B$16,1,0)+IF(MIN(Комплектация!BE146,Комплектация!BF146)-Параметры!$B$15&lt;Параметры!$B$16,1,0)</f>
        <v/>
      </c>
      <c r="Z144" s="105">
        <f>Y144*Параметры!$B$19</f>
        <v/>
      </c>
      <c r="AA144" s="107">
        <f>MAX(0,P144-X144-Z144)</f>
        <v/>
      </c>
      <c r="AB144" s="108">
        <f>SUMIFS(Прайс!$D$3:$D$11,Прайс!$A$3:$A$11,B144,Прайс!$B$3:$B$11,C144)</f>
        <v/>
      </c>
      <c r="AC144" s="105">
        <f>IF(AB144="","",AB144-AA144)</f>
        <v/>
      </c>
      <c r="AD144" s="109" t="n">
        <v>3929329.623287671</v>
      </c>
    </row>
    <row r="145">
      <c r="A145" s="101">
        <f>Комплектация!A147</f>
        <v/>
      </c>
      <c r="B145" s="101">
        <f>Комплектация!C147</f>
        <v/>
      </c>
      <c r="C145" s="102">
        <f>Комплектация!E147</f>
        <v/>
      </c>
      <c r="D145" s="103" t="n">
        <v>2050</v>
      </c>
      <c r="E145" s="103">
        <f>IF(D145="",Параметры!$B$11,MAX(1,D145-C145))</f>
        <v/>
      </c>
      <c r="F145" s="103">
        <f>MAX(0,YEAR(Параметры!$B$2)-C145)</f>
        <v/>
      </c>
      <c r="G145" s="104">
        <f>MIN(100,F145/E145*100)</f>
        <v/>
      </c>
      <c r="H145" s="104">
        <f>100-G145</f>
        <v/>
      </c>
      <c r="I145" s="103">
        <f>AVERAGE(Комплектация!BJ147,Комплектация!BP147,Комплектация!BV147,Комплектация!CB147,Комплектация!CH147,Комплектация!CN147)</f>
        <v/>
      </c>
      <c r="J145" s="103">
        <f>MAX(0,YEAR(Параметры!$B$2)-I145)</f>
        <v/>
      </c>
      <c r="K145" s="104">
        <f>MIN(100,J145/Параметры!$B$12*100)</f>
        <v/>
      </c>
      <c r="L145" s="104">
        <f>100-K145</f>
        <v/>
      </c>
      <c r="M145" s="103">
        <f>MIN(Комплектация!AA147,Комплектация!AB147,Комплектация!AK147,Комплектация!AL147,Комплектация!AU147,Комплектация!AV147,Комплектация!BE147,Комплектация!BF147)</f>
        <v/>
      </c>
      <c r="N145" s="104">
        <f>AVERAGE((100-MAX(0,MIN(100,(Параметры!$B$13-MIN(Комплектация!AA147,Комплектация!AB147))/(Параметры!$B$13-Параметры!$B$14)*100))),(100-MAX(0,MIN(100,(Параметры!$B$13-MIN(Комплектация!AK147,Комплектация!AL147))/(Параметры!$B$13-Параметры!$B$14)*100))),(100-MAX(0,MIN(100,(Параметры!$B$13-MIN(Комплектация!AU147,Комплектация!AV147))/(Параметры!$B$13-Параметры!$B$14)*100))),(100-MAX(0,MIN(100,(Параметры!$B$13-MIN(Комплектация!BE147,Комплектация!BF147))/(Параметры!$B$13-Параметры!$B$14)*100))))</f>
        <v/>
      </c>
      <c r="O145" s="104">
        <f>AVERAGE(H145,L145)</f>
        <v/>
      </c>
      <c r="P145" s="105">
        <f>Параметры!$B$3*(Параметры!$B$5*H145+Параметры!$B$6*L145+Параметры!$B$7*N145+Параметры!$B$8*O145)/100</f>
        <v/>
      </c>
      <c r="Q145" s="106" t="n">
        <v>45901</v>
      </c>
      <c r="R145" s="106" t="n">
        <v>46631</v>
      </c>
      <c r="S145" s="104">
        <f>IF(OR(Q145="",R145="",R145=Q145),"",MAX(0,MIN(100,(Параметры!$B$2-Q145)/(R145-Q145)*100)))</f>
        <v/>
      </c>
      <c r="T145" s="103">
        <f>IF(ISNUMBER(Комплектация!P147),Комплектация!P147,"")</f>
        <v/>
      </c>
      <c r="U145" s="103">
        <f>IF(ISNUMBER(Комплектация!N147),Комплектация!N147,"")</f>
        <v/>
      </c>
      <c r="V145" s="104">
        <f>IF(OR(U145="",T145="",U145=0),"",MAX(0,MIN(100,(U145-T145)/U145*100)))</f>
        <v/>
      </c>
      <c r="W145" s="104">
        <f>MAX(IF(S145="",0,S145),IF(V145="",0,V145))</f>
        <v/>
      </c>
      <c r="X145" s="105">
        <f>Параметры!$B$18*W145/100</f>
        <v/>
      </c>
      <c r="Y145" s="103">
        <f>IF(MIN(Комплектация!AA147,Комплектация!AB147)-Параметры!$B$15&lt;Параметры!$B$16,1,0)+IF(MIN(Комплектация!AK147,Комплектация!AL147)-Параметры!$B$15&lt;Параметры!$B$16,1,0)+IF(MIN(Комплектация!AU147,Комплектация!AV147)-Параметры!$B$15&lt;Параметры!$B$16,1,0)+IF(MIN(Комплектация!BE147,Комплектация!BF147)-Параметры!$B$15&lt;Параметры!$B$16,1,0)</f>
        <v/>
      </c>
      <c r="Z145" s="105">
        <f>Y145*Параметры!$B$19</f>
        <v/>
      </c>
      <c r="AA145" s="107">
        <f>MAX(0,P145-X145-Z145)</f>
        <v/>
      </c>
      <c r="AB145" s="108">
        <f>SUMIFS(Прайс!$D$3:$D$11,Прайс!$A$3:$A$11,B145,Прайс!$B$3:$B$11,C145)</f>
        <v/>
      </c>
      <c r="AC145" s="105">
        <f>IF(AB145="","",AB145-AA145)</f>
        <v/>
      </c>
      <c r="AD145" s="109" t="n">
        <v>3859261.130136986</v>
      </c>
    </row>
    <row r="146">
      <c r="A146" s="101">
        <f>Комплектация!A148</f>
        <v/>
      </c>
      <c r="B146" s="101">
        <f>Комплектация!C148</f>
        <v/>
      </c>
      <c r="C146" s="102">
        <f>Комплектация!E148</f>
        <v/>
      </c>
      <c r="D146" s="103" t="n">
        <v>2050</v>
      </c>
      <c r="E146" s="103">
        <f>IF(D146="",Параметры!$B$11,MAX(1,D146-C146))</f>
        <v/>
      </c>
      <c r="F146" s="103">
        <f>MAX(0,YEAR(Параметры!$B$2)-C146)</f>
        <v/>
      </c>
      <c r="G146" s="104">
        <f>MIN(100,F146/E146*100)</f>
        <v/>
      </c>
      <c r="H146" s="104">
        <f>100-G146</f>
        <v/>
      </c>
      <c r="I146" s="103">
        <f>AVERAGE(Комплектация!BJ148,Комплектация!BP148,Комплектация!BV148,Комплектация!CB148,Комплектация!CH148,Комплектация!CN148)</f>
        <v/>
      </c>
      <c r="J146" s="103">
        <f>MAX(0,YEAR(Параметры!$B$2)-I146)</f>
        <v/>
      </c>
      <c r="K146" s="104">
        <f>MIN(100,J146/Параметры!$B$12*100)</f>
        <v/>
      </c>
      <c r="L146" s="104">
        <f>100-K146</f>
        <v/>
      </c>
      <c r="M146" s="103">
        <f>MIN(Комплектация!AA148,Комплектация!AB148,Комплектация!AK148,Комплектация!AL148,Комплектация!AU148,Комплектация!AV148,Комплектация!BE148,Комплектация!BF148)</f>
        <v/>
      </c>
      <c r="N146" s="104">
        <f>AVERAGE((100-MAX(0,MIN(100,(Параметры!$B$13-MIN(Комплектация!AA148,Комплектация!AB148))/(Параметры!$B$13-Параметры!$B$14)*100))),(100-MAX(0,MIN(100,(Параметры!$B$13-MIN(Комплектация!AK148,Комплектация!AL148))/(Параметры!$B$13-Параметры!$B$14)*100))),(100-MAX(0,MIN(100,(Параметры!$B$13-MIN(Комплектация!AU148,Комплектация!AV148))/(Параметры!$B$13-Параметры!$B$14)*100))),(100-MAX(0,MIN(100,(Параметры!$B$13-MIN(Комплектация!BE148,Комплектация!BF148))/(Параметры!$B$13-Параметры!$B$14)*100))))</f>
        <v/>
      </c>
      <c r="O146" s="104">
        <f>AVERAGE(H146,L146)</f>
        <v/>
      </c>
      <c r="P146" s="105">
        <f>Параметры!$B$3*(Параметры!$B$5*H146+Параметры!$B$6*L146+Параметры!$B$7*N146+Параметры!$B$8*O146)/100</f>
        <v/>
      </c>
      <c r="Q146" s="106" t="n">
        <v>45949</v>
      </c>
      <c r="R146" s="106" t="n">
        <v>46679</v>
      </c>
      <c r="S146" s="104">
        <f>IF(OR(Q146="",R146="",R146=Q146),"",MAX(0,MIN(100,(Параметры!$B$2-Q146)/(R146-Q146)*100)))</f>
        <v/>
      </c>
      <c r="T146" s="103">
        <f>IF(ISNUMBER(Комплектация!P148),Комплектация!P148,"")</f>
        <v/>
      </c>
      <c r="U146" s="103">
        <f>IF(ISNUMBER(Комплектация!N148),Комплектация!N148,"")</f>
        <v/>
      </c>
      <c r="V146" s="104">
        <f>IF(OR(U146="",T146="",U146=0),"",MAX(0,MIN(100,(U146-T146)/U146*100)))</f>
        <v/>
      </c>
      <c r="W146" s="104">
        <f>MAX(IF(S146="",0,S146),IF(V146="",0,V146))</f>
        <v/>
      </c>
      <c r="X146" s="105">
        <f>Параметры!$B$18*W146/100</f>
        <v/>
      </c>
      <c r="Y146" s="103">
        <f>IF(MIN(Комплектация!AA148,Комплектация!AB148)-Параметры!$B$15&lt;Параметры!$B$16,1,0)+IF(MIN(Комплектация!AK148,Комплектация!AL148)-Параметры!$B$15&lt;Параметры!$B$16,1,0)+IF(MIN(Комплектация!AU148,Комплектация!AV148)-Параметры!$B$15&lt;Параметры!$B$16,1,0)+IF(MIN(Комплектация!BE148,Комплектация!BF148)-Параметры!$B$15&lt;Параметры!$B$16,1,0)</f>
        <v/>
      </c>
      <c r="Z146" s="105">
        <f>Y146*Параметры!$B$19</f>
        <v/>
      </c>
      <c r="AA146" s="107">
        <f>MAX(0,P146-X146-Z146)</f>
        <v/>
      </c>
      <c r="AB146" s="108">
        <f>SUMIFS(Прайс!$D$3:$D$11,Прайс!$A$3:$A$11,B146,Прайс!$B$3:$B$11,C146)</f>
        <v/>
      </c>
      <c r="AC146" s="105">
        <f>IF(AB146="","",AB146-AA146)</f>
        <v/>
      </c>
      <c r="AD146" s="109" t="n">
        <v>3482961.47260274</v>
      </c>
    </row>
    <row r="147">
      <c r="A147" s="101">
        <f>Комплектация!A149</f>
        <v/>
      </c>
      <c r="B147" s="101">
        <f>Комплектация!C149</f>
        <v/>
      </c>
      <c r="C147" s="102">
        <f>Комплектация!E149</f>
        <v/>
      </c>
      <c r="D147" s="103" t="n">
        <v>2050</v>
      </c>
      <c r="E147" s="103">
        <f>IF(D147="",Параметры!$B$11,MAX(1,D147-C147))</f>
        <v/>
      </c>
      <c r="F147" s="103">
        <f>MAX(0,YEAR(Параметры!$B$2)-C147)</f>
        <v/>
      </c>
      <c r="G147" s="104">
        <f>MIN(100,F147/E147*100)</f>
        <v/>
      </c>
      <c r="H147" s="104">
        <f>100-G147</f>
        <v/>
      </c>
      <c r="I147" s="103">
        <f>AVERAGE(Комплектация!BJ149,Комплектация!BP149,Комплектация!BV149,Комплектация!CB149,Комплектация!CH149,Комплектация!CN149)</f>
        <v/>
      </c>
      <c r="J147" s="103">
        <f>MAX(0,YEAR(Параметры!$B$2)-I147)</f>
        <v/>
      </c>
      <c r="K147" s="104">
        <f>MIN(100,J147/Параметры!$B$12*100)</f>
        <v/>
      </c>
      <c r="L147" s="104">
        <f>100-K147</f>
        <v/>
      </c>
      <c r="M147" s="103">
        <f>MIN(Комплектация!AA149,Комплектация!AB149,Комплектация!AK149,Комплектация!AL149,Комплектация!AU149,Комплектация!AV149,Комплектация!BE149,Комплектация!BF149)</f>
        <v/>
      </c>
      <c r="N147" s="104">
        <f>AVERAGE((100-MAX(0,MIN(100,(Параметры!$B$13-MIN(Комплектация!AA149,Комплектация!AB149))/(Параметры!$B$13-Параметры!$B$14)*100))),(100-MAX(0,MIN(100,(Параметры!$B$13-MIN(Комплектация!AK149,Комплектация!AL149))/(Параметры!$B$13-Параметры!$B$14)*100))),(100-MAX(0,MIN(100,(Параметры!$B$13-MIN(Комплектация!AU149,Комплектация!AV149))/(Параметры!$B$13-Параметры!$B$14)*100))),(100-MAX(0,MIN(100,(Параметры!$B$13-MIN(Комплектация!BE149,Комплектация!BF149))/(Параметры!$B$13-Параметры!$B$14)*100))))</f>
        <v/>
      </c>
      <c r="O147" s="104">
        <f>AVERAGE(H147,L147)</f>
        <v/>
      </c>
      <c r="P147" s="105">
        <f>Параметры!$B$3*(Параметры!$B$5*H147+Параметры!$B$6*L147+Параметры!$B$7*N147+Параметры!$B$8*O147)/100</f>
        <v/>
      </c>
      <c r="Q147" s="106" t="n">
        <v>45987</v>
      </c>
      <c r="R147" s="106" t="n">
        <v>46717</v>
      </c>
      <c r="S147" s="104">
        <f>IF(OR(Q147="",R147="",R147=Q147),"",MAX(0,MIN(100,(Параметры!$B$2-Q147)/(R147-Q147)*100)))</f>
        <v/>
      </c>
      <c r="T147" s="103">
        <f>IF(ISNUMBER(Комплектация!P149),Комплектация!P149,"")</f>
        <v/>
      </c>
      <c r="U147" s="103">
        <f>IF(ISNUMBER(Комплектация!N149),Комплектация!N149,"")</f>
        <v/>
      </c>
      <c r="V147" s="104">
        <f>IF(OR(U147="",T147="",U147=0),"",MAX(0,MIN(100,(U147-T147)/U147*100)))</f>
        <v/>
      </c>
      <c r="W147" s="104">
        <f>MAX(IF(S147="",0,S147),IF(V147="",0,V147))</f>
        <v/>
      </c>
      <c r="X147" s="105">
        <f>Параметры!$B$18*W147/100</f>
        <v/>
      </c>
      <c r="Y147" s="103">
        <f>IF(MIN(Комплектация!AA149,Комплектация!AB149)-Параметры!$B$15&lt;Параметры!$B$16,1,0)+IF(MIN(Комплектация!AK149,Комплектация!AL149)-Параметры!$B$15&lt;Параметры!$B$16,1,0)+IF(MIN(Комплектация!AU149,Комплектация!AV149)-Параметры!$B$15&lt;Параметры!$B$16,1,0)+IF(MIN(Комплектация!BE149,Комплектация!BF149)-Параметры!$B$15&lt;Параметры!$B$16,1,0)</f>
        <v/>
      </c>
      <c r="Z147" s="105">
        <f>Y147*Параметры!$B$19</f>
        <v/>
      </c>
      <c r="AA147" s="107">
        <f>MAX(0,P147-X147-Z147)</f>
        <v/>
      </c>
      <c r="AB147" s="108">
        <f>SUMIFS(Прайс!$D$3:$D$11,Прайс!$A$3:$A$11,B147,Прайс!$B$3:$B$11,C147)</f>
        <v/>
      </c>
      <c r="AC147" s="105">
        <f>IF(AB147="","",AB147-AA147)</f>
        <v/>
      </c>
      <c r="AD147" s="109" t="n">
        <v>3418715.865098272</v>
      </c>
    </row>
    <row r="148">
      <c r="A148" s="101">
        <f>Комплектация!A150</f>
        <v/>
      </c>
      <c r="B148" s="101">
        <f>Комплектация!C150</f>
        <v/>
      </c>
      <c r="C148" s="102">
        <f>Комплектация!E150</f>
        <v/>
      </c>
      <c r="D148" s="103" t="n">
        <v>2043</v>
      </c>
      <c r="E148" s="103">
        <f>IF(D148="",Параметры!$B$11,MAX(1,D148-C148))</f>
        <v/>
      </c>
      <c r="F148" s="103">
        <f>MAX(0,YEAR(Параметры!$B$2)-C148)</f>
        <v/>
      </c>
      <c r="G148" s="104">
        <f>MIN(100,F148/E148*100)</f>
        <v/>
      </c>
      <c r="H148" s="104">
        <f>100-G148</f>
        <v/>
      </c>
      <c r="I148" s="103">
        <f>AVERAGE(Комплектация!BJ150,Комплектация!BP150,Комплектация!BV150,Комплектация!CB150,Комплектация!CH150,Комплектация!CN150)</f>
        <v/>
      </c>
      <c r="J148" s="103">
        <f>MAX(0,YEAR(Параметры!$B$2)-I148)</f>
        <v/>
      </c>
      <c r="K148" s="104">
        <f>MIN(100,J148/Параметры!$B$12*100)</f>
        <v/>
      </c>
      <c r="L148" s="104">
        <f>100-K148</f>
        <v/>
      </c>
      <c r="M148" s="103">
        <f>MIN(Комплектация!AA150,Комплектация!AB150,Комплектация!AK150,Комплектация!AL150,Комплектация!AU150,Комплектация!AV150,Комплектация!BE150,Комплектация!BF150)</f>
        <v/>
      </c>
      <c r="N148" s="104">
        <f>AVERAGE((100-MAX(0,MIN(100,(Параметры!$B$13-MIN(Комплектация!AA150,Комплектация!AB150))/(Параметры!$B$13-Параметры!$B$14)*100))),(100-MAX(0,MIN(100,(Параметры!$B$13-MIN(Комплектация!AK150,Комплектация!AL150))/(Параметры!$B$13-Параметры!$B$14)*100))),(100-MAX(0,MIN(100,(Параметры!$B$13-MIN(Комплектация!AU150,Комплектация!AV150))/(Параметры!$B$13-Параметры!$B$14)*100))),(100-MAX(0,MIN(100,(Параметры!$B$13-MIN(Комплектация!BE150,Комплектация!BF150))/(Параметры!$B$13-Параметры!$B$14)*100))))</f>
        <v/>
      </c>
      <c r="O148" s="104">
        <f>AVERAGE(H148,L148)</f>
        <v/>
      </c>
      <c r="P148" s="105">
        <f>Параметры!$B$3*(Параметры!$B$5*H148+Параметры!$B$6*L148+Параметры!$B$7*N148+Параметры!$B$8*O148)/100</f>
        <v/>
      </c>
      <c r="Q148" s="106" t="n">
        <v>46069</v>
      </c>
      <c r="R148" s="106" t="n">
        <v>46799</v>
      </c>
      <c r="S148" s="104">
        <f>IF(OR(Q148="",R148="",R148=Q148),"",MAX(0,MIN(100,(Параметры!$B$2-Q148)/(R148-Q148)*100)))</f>
        <v/>
      </c>
      <c r="T148" s="103">
        <f>IF(ISNUMBER(Комплектация!P150),Комплектация!P150,"")</f>
        <v/>
      </c>
      <c r="U148" s="103">
        <f>IF(ISNUMBER(Комплектация!N150),Комплектация!N150,"")</f>
        <v/>
      </c>
      <c r="V148" s="104">
        <f>IF(OR(U148="",T148="",U148=0),"",MAX(0,MIN(100,(U148-T148)/U148*100)))</f>
        <v/>
      </c>
      <c r="W148" s="104">
        <f>MAX(IF(S148="",0,S148),IF(V148="",0,V148))</f>
        <v/>
      </c>
      <c r="X148" s="105">
        <f>Параметры!$B$18*W148/100</f>
        <v/>
      </c>
      <c r="Y148" s="103">
        <f>IF(MIN(Комплектация!AA150,Комплектация!AB150)-Параметры!$B$15&lt;Параметры!$B$16,1,0)+IF(MIN(Комплектация!AK150,Комплектация!AL150)-Параметры!$B$15&lt;Параметры!$B$16,1,0)+IF(MIN(Комплектация!AU150,Комплектация!AV150)-Параметры!$B$15&lt;Параметры!$B$16,1,0)+IF(MIN(Комплектация!BE150,Комплектация!BF150)-Параметры!$B$15&lt;Параметры!$B$16,1,0)</f>
        <v/>
      </c>
      <c r="Z148" s="105">
        <f>Y148*Параметры!$B$19</f>
        <v/>
      </c>
      <c r="AA148" s="107">
        <f>MAX(0,P148-X148-Z148)</f>
        <v/>
      </c>
      <c r="AB148" s="108">
        <f>SUMIFS(Прайс!$D$3:$D$11,Прайс!$A$3:$A$11,B148,Прайс!$B$3:$B$11,C148)</f>
        <v/>
      </c>
      <c r="AC148" s="105">
        <f>IF(AB148="","",AB148-AA148)</f>
        <v/>
      </c>
      <c r="AD148" s="109" t="n">
        <v>3294931.078767124</v>
      </c>
    </row>
    <row r="149">
      <c r="A149" s="101">
        <f>Комплектация!A151</f>
        <v/>
      </c>
      <c r="B149" s="101">
        <f>Комплектация!C151</f>
        <v/>
      </c>
      <c r="C149" s="102">
        <f>Комплектация!E151</f>
        <v/>
      </c>
      <c r="D149" s="103" t="n">
        <v>2050</v>
      </c>
      <c r="E149" s="103">
        <f>IF(D149="",Параметры!$B$11,MAX(1,D149-C149))</f>
        <v/>
      </c>
      <c r="F149" s="103">
        <f>MAX(0,YEAR(Параметры!$B$2)-C149)</f>
        <v/>
      </c>
      <c r="G149" s="104">
        <f>MIN(100,F149/E149*100)</f>
        <v/>
      </c>
      <c r="H149" s="104">
        <f>100-G149</f>
        <v/>
      </c>
      <c r="I149" s="103">
        <f>AVERAGE(Комплектация!BJ151,Комплектация!BP151,Комплектация!BV151,Комплектация!CB151,Комплектация!CH151,Комплектация!CN151)</f>
        <v/>
      </c>
      <c r="J149" s="103">
        <f>MAX(0,YEAR(Параметры!$B$2)-I149)</f>
        <v/>
      </c>
      <c r="K149" s="104">
        <f>MIN(100,J149/Параметры!$B$12*100)</f>
        <v/>
      </c>
      <c r="L149" s="104">
        <f>100-K149</f>
        <v/>
      </c>
      <c r="M149" s="103">
        <f>MIN(Комплектация!AA151,Комплектация!AB151,Комплектация!AK151,Комплектация!AL151,Комплектация!AU151,Комплектация!AV151,Комплектация!BE151,Комплектация!BF151)</f>
        <v/>
      </c>
      <c r="N149" s="104">
        <f>AVERAGE((100-MAX(0,MIN(100,(Параметры!$B$13-MIN(Комплектация!AA151,Комплектация!AB151))/(Параметры!$B$13-Параметры!$B$14)*100))),(100-MAX(0,MIN(100,(Параметры!$B$13-MIN(Комплектация!AK151,Комплектация!AL151))/(Параметры!$B$13-Параметры!$B$14)*100))),(100-MAX(0,MIN(100,(Параметры!$B$13-MIN(Комплектация!AU151,Комплектация!AV151))/(Параметры!$B$13-Параметры!$B$14)*100))),(100-MAX(0,MIN(100,(Параметры!$B$13-MIN(Комплектация!BE151,Комплектация!BF151))/(Параметры!$B$13-Параметры!$B$14)*100))))</f>
        <v/>
      </c>
      <c r="O149" s="104">
        <f>AVERAGE(H149,L149)</f>
        <v/>
      </c>
      <c r="P149" s="105">
        <f>Параметры!$B$3*(Параметры!$B$5*H149+Параметры!$B$6*L149+Параметры!$B$7*N149+Параметры!$B$8*O149)/100</f>
        <v/>
      </c>
      <c r="Q149" s="106" t="n">
        <v>45936</v>
      </c>
      <c r="R149" s="106" t="n">
        <v>46666</v>
      </c>
      <c r="S149" s="104">
        <f>IF(OR(Q149="",R149="",R149=Q149),"",MAX(0,MIN(100,(Параметры!$B$2-Q149)/(R149-Q149)*100)))</f>
        <v/>
      </c>
      <c r="T149" s="103">
        <f>IF(ISNUMBER(Комплектация!P151),Комплектация!P151,"")</f>
        <v/>
      </c>
      <c r="U149" s="103">
        <f>IF(ISNUMBER(Комплектация!N151),Комплектация!N151,"")</f>
        <v/>
      </c>
      <c r="V149" s="104">
        <f>IF(OR(U149="",T149="",U149=0),"",MAX(0,MIN(100,(U149-T149)/U149*100)))</f>
        <v/>
      </c>
      <c r="W149" s="104">
        <f>MAX(IF(S149="",0,S149),IF(V149="",0,V149))</f>
        <v/>
      </c>
      <c r="X149" s="105">
        <f>Параметры!$B$18*W149/100</f>
        <v/>
      </c>
      <c r="Y149" s="103">
        <f>IF(MIN(Комплектация!AA151,Комплектация!AB151)-Параметры!$B$15&lt;Параметры!$B$16,1,0)+IF(MIN(Комплектация!AK151,Комплектация!AL151)-Параметры!$B$15&lt;Параметры!$B$16,1,0)+IF(MIN(Комплектация!AU151,Комплектация!AV151)-Параметры!$B$15&lt;Параметры!$B$16,1,0)+IF(MIN(Комплектация!BE151,Комплектация!BF151)-Параметры!$B$15&lt;Параметры!$B$16,1,0)</f>
        <v/>
      </c>
      <c r="Z149" s="105">
        <f>Y149*Параметры!$B$19</f>
        <v/>
      </c>
      <c r="AA149" s="107">
        <f>MAX(0,P149-X149-Z149)</f>
        <v/>
      </c>
      <c r="AB149" s="108">
        <f>SUMIFS(Прайс!$D$3:$D$11,Прайс!$A$3:$A$11,B149,Прайс!$B$3:$B$11,C149)</f>
        <v/>
      </c>
      <c r="AC149" s="105">
        <f>IF(AB149="","",AB149-AA149)</f>
        <v/>
      </c>
      <c r="AD149" s="109" t="n">
        <v>3881555.650684932</v>
      </c>
    </row>
    <row r="150">
      <c r="A150" s="101">
        <f>Комплектация!A152</f>
        <v/>
      </c>
      <c r="B150" s="101">
        <f>Комплектация!C152</f>
        <v/>
      </c>
      <c r="C150" s="102">
        <f>Комплектация!E152</f>
        <v/>
      </c>
      <c r="D150" s="103" t="n">
        <v>2050</v>
      </c>
      <c r="E150" s="103">
        <f>IF(D150="",Параметры!$B$11,MAX(1,D150-C150))</f>
        <v/>
      </c>
      <c r="F150" s="103">
        <f>MAX(0,YEAR(Параметры!$B$2)-C150)</f>
        <v/>
      </c>
      <c r="G150" s="104">
        <f>MIN(100,F150/E150*100)</f>
        <v/>
      </c>
      <c r="H150" s="104">
        <f>100-G150</f>
        <v/>
      </c>
      <c r="I150" s="103">
        <f>AVERAGE(Комплектация!BJ152,Комплектация!BP152,Комплектация!BV152,Комплектация!CB152,Комплектация!CH152,Комплектация!CN152)</f>
        <v/>
      </c>
      <c r="J150" s="103">
        <f>MAX(0,YEAR(Параметры!$B$2)-I150)</f>
        <v/>
      </c>
      <c r="K150" s="104">
        <f>MIN(100,J150/Параметры!$B$12*100)</f>
        <v/>
      </c>
      <c r="L150" s="104">
        <f>100-K150</f>
        <v/>
      </c>
      <c r="M150" s="103">
        <f>MIN(Комплектация!AA152,Комплектация!AB152,Комплектация!AK152,Комплектация!AL152,Комплектация!AU152,Комплектация!AV152,Комплектация!BE152,Комплектация!BF152)</f>
        <v/>
      </c>
      <c r="N150" s="104">
        <f>AVERAGE((100-MAX(0,MIN(100,(Параметры!$B$13-MIN(Комплектация!AA152,Комплектация!AB152))/(Параметры!$B$13-Параметры!$B$14)*100))),(100-MAX(0,MIN(100,(Параметры!$B$13-MIN(Комплектация!AK152,Комплектация!AL152))/(Параметры!$B$13-Параметры!$B$14)*100))),(100-MAX(0,MIN(100,(Параметры!$B$13-MIN(Комплектация!AU152,Комплектация!AV152))/(Параметры!$B$13-Параметры!$B$14)*100))),(100-MAX(0,MIN(100,(Параметры!$B$13-MIN(Комплектация!BE152,Комплектация!BF152))/(Параметры!$B$13-Параметры!$B$14)*100))))</f>
        <v/>
      </c>
      <c r="O150" s="104">
        <f>AVERAGE(H150,L150)</f>
        <v/>
      </c>
      <c r="P150" s="105">
        <f>Параметры!$B$3*(Параметры!$B$5*H150+Параметры!$B$6*L150+Параметры!$B$7*N150+Параметры!$B$8*O150)/100</f>
        <v/>
      </c>
      <c r="Q150" s="106" t="n">
        <v>45953</v>
      </c>
      <c r="R150" s="106" t="n">
        <v>46683</v>
      </c>
      <c r="S150" s="104">
        <f>IF(OR(Q150="",R150="",R150=Q150),"",MAX(0,MIN(100,(Параметры!$B$2-Q150)/(R150-Q150)*100)))</f>
        <v/>
      </c>
      <c r="T150" s="103">
        <f>IF(ISNUMBER(Комплектация!P152),Комплектация!P152,"")</f>
        <v/>
      </c>
      <c r="U150" s="103">
        <f>IF(ISNUMBER(Комплектация!N152),Комплектация!N152,"")</f>
        <v/>
      </c>
      <c r="V150" s="104">
        <f>IF(OR(U150="",T150="",U150=0),"",MAX(0,MIN(100,(U150-T150)/U150*100)))</f>
        <v/>
      </c>
      <c r="W150" s="104">
        <f>MAX(IF(S150="",0,S150),IF(V150="",0,V150))</f>
        <v/>
      </c>
      <c r="X150" s="105">
        <f>Параметры!$B$18*W150/100</f>
        <v/>
      </c>
      <c r="Y150" s="103">
        <f>IF(MIN(Комплектация!AA152,Комплектация!AB152)-Параметры!$B$15&lt;Параметры!$B$16,1,0)+IF(MIN(Комплектация!AK152,Комплектация!AL152)-Параметры!$B$15&lt;Параметры!$B$16,1,0)+IF(MIN(Комплектация!AU152,Комплектация!AV152)-Параметры!$B$15&lt;Параметры!$B$16,1,0)+IF(MIN(Комплектация!BE152,Комплектация!BF152)-Параметры!$B$15&lt;Параметры!$B$16,1,0)</f>
        <v/>
      </c>
      <c r="Z150" s="105">
        <f>Y150*Параметры!$B$19</f>
        <v/>
      </c>
      <c r="AA150" s="107">
        <f>MAX(0,P150-X150-Z150)</f>
        <v/>
      </c>
      <c r="AB150" s="108">
        <f>SUMIFS(Прайс!$D$3:$D$11,Прайс!$A$3:$A$11,B150,Прайс!$B$3:$B$11,C150)</f>
        <v/>
      </c>
      <c r="AC150" s="105">
        <f>IF(AB150="","",AB150-AA150)</f>
        <v/>
      </c>
      <c r="AD150" s="109" t="n">
        <v>3892384.417808219</v>
      </c>
    </row>
    <row r="151">
      <c r="A151" s="101">
        <f>Комплектация!A153</f>
        <v/>
      </c>
      <c r="B151" s="101">
        <f>Комплектация!C153</f>
        <v/>
      </c>
      <c r="C151" s="102">
        <f>Комплектация!E153</f>
        <v/>
      </c>
      <c r="D151" s="103" t="n">
        <v>2050</v>
      </c>
      <c r="E151" s="103">
        <f>IF(D151="",Параметры!$B$11,MAX(1,D151-C151))</f>
        <v/>
      </c>
      <c r="F151" s="103">
        <f>MAX(0,YEAR(Параметры!$B$2)-C151)</f>
        <v/>
      </c>
      <c r="G151" s="104">
        <f>MIN(100,F151/E151*100)</f>
        <v/>
      </c>
      <c r="H151" s="104">
        <f>100-G151</f>
        <v/>
      </c>
      <c r="I151" s="103">
        <f>AVERAGE(Комплектация!BJ153,Комплектация!BP153,Комплектация!BV153,Комплектация!CB153,Комплектация!CH153,Комплектация!CN153)</f>
        <v/>
      </c>
      <c r="J151" s="103">
        <f>MAX(0,YEAR(Параметры!$B$2)-I151)</f>
        <v/>
      </c>
      <c r="K151" s="104">
        <f>MIN(100,J151/Параметры!$B$12*100)</f>
        <v/>
      </c>
      <c r="L151" s="104">
        <f>100-K151</f>
        <v/>
      </c>
      <c r="M151" s="103">
        <f>MIN(Комплектация!AA153,Комплектация!AB153,Комплектация!AK153,Комплектация!AL153,Комплектация!AU153,Комплектация!AV153,Комплектация!BE153,Комплектация!BF153)</f>
        <v/>
      </c>
      <c r="N151" s="104">
        <f>AVERAGE((100-MAX(0,MIN(100,(Параметры!$B$13-MIN(Комплектация!AA153,Комплектация!AB153))/(Параметры!$B$13-Параметры!$B$14)*100))),(100-MAX(0,MIN(100,(Параметры!$B$13-MIN(Комплектация!AK153,Комплектация!AL153))/(Параметры!$B$13-Параметры!$B$14)*100))),(100-MAX(0,MIN(100,(Параметры!$B$13-MIN(Комплектация!AU153,Комплектация!AV153))/(Параметры!$B$13-Параметры!$B$14)*100))),(100-MAX(0,MIN(100,(Параметры!$B$13-MIN(Комплектация!BE153,Комплектация!BF153))/(Параметры!$B$13-Параметры!$B$14)*100))))</f>
        <v/>
      </c>
      <c r="O151" s="104">
        <f>AVERAGE(H151,L151)</f>
        <v/>
      </c>
      <c r="P151" s="105">
        <f>Параметры!$B$3*(Параметры!$B$5*H151+Параметры!$B$6*L151+Параметры!$B$7*N151+Параметры!$B$8*O151)/100</f>
        <v/>
      </c>
      <c r="Q151" s="106" t="n">
        <v>45916</v>
      </c>
      <c r="R151" s="106" t="n">
        <v>46646</v>
      </c>
      <c r="S151" s="104">
        <f>IF(OR(Q151="",R151="",R151=Q151),"",MAX(0,MIN(100,(Параметры!$B$2-Q151)/(R151-Q151)*100)))</f>
        <v/>
      </c>
      <c r="T151" s="103">
        <f>IF(ISNUMBER(Комплектация!P153),Комплектация!P153,"")</f>
        <v/>
      </c>
      <c r="U151" s="103">
        <f>IF(ISNUMBER(Комплектация!N153),Комплектация!N153,"")</f>
        <v/>
      </c>
      <c r="V151" s="104">
        <f>IF(OR(U151="",T151="",U151=0),"",MAX(0,MIN(100,(U151-T151)/U151*100)))</f>
        <v/>
      </c>
      <c r="W151" s="104">
        <f>MAX(IF(S151="",0,S151),IF(V151="",0,V151))</f>
        <v/>
      </c>
      <c r="X151" s="105">
        <f>Параметры!$B$18*W151/100</f>
        <v/>
      </c>
      <c r="Y151" s="103">
        <f>IF(MIN(Комплектация!AA153,Комплектация!AB153)-Параметры!$B$15&lt;Параметры!$B$16,1,0)+IF(MIN(Комплектация!AK153,Комплектация!AL153)-Параметры!$B$15&lt;Параметры!$B$16,1,0)+IF(MIN(Комплектация!AU153,Комплектация!AV153)-Параметры!$B$15&lt;Параметры!$B$16,1,0)+IF(MIN(Комплектация!BE153,Комплектация!BF153)-Параметры!$B$15&lt;Параметры!$B$16,1,0)</f>
        <v/>
      </c>
      <c r="Z151" s="105">
        <f>Y151*Параметры!$B$19</f>
        <v/>
      </c>
      <c r="AA151" s="107">
        <f>MAX(0,P151-X151-Z151)</f>
        <v/>
      </c>
      <c r="AB151" s="108">
        <f>SUMIFS(Прайс!$D$3:$D$11,Прайс!$A$3:$A$11,B151,Прайс!$B$3:$B$11,C151)</f>
        <v/>
      </c>
      <c r="AC151" s="105">
        <f>IF(AB151="","",AB151-AA151)</f>
        <v/>
      </c>
      <c r="AD151" s="109" t="n">
        <v>3868815.924657534</v>
      </c>
    </row>
    <row r="152">
      <c r="A152" s="101">
        <f>Комплектация!A154</f>
        <v/>
      </c>
      <c r="B152" s="101">
        <f>Комплектация!C154</f>
        <v/>
      </c>
      <c r="C152" s="102">
        <f>Комплектация!E154</f>
        <v/>
      </c>
      <c r="D152" s="103" t="n">
        <v>2050</v>
      </c>
      <c r="E152" s="103">
        <f>IF(D152="",Параметры!$B$11,MAX(1,D152-C152))</f>
        <v/>
      </c>
      <c r="F152" s="103">
        <f>MAX(0,YEAR(Параметры!$B$2)-C152)</f>
        <v/>
      </c>
      <c r="G152" s="104">
        <f>MIN(100,F152/E152*100)</f>
        <v/>
      </c>
      <c r="H152" s="104">
        <f>100-G152</f>
        <v/>
      </c>
      <c r="I152" s="103">
        <f>AVERAGE(Комплектация!BJ154,Комплектация!BP154,Комплектация!BV154,Комплектация!CB154,Комплектация!CH154,Комплектация!CN154)</f>
        <v/>
      </c>
      <c r="J152" s="103">
        <f>MAX(0,YEAR(Параметры!$B$2)-I152)</f>
        <v/>
      </c>
      <c r="K152" s="104">
        <f>MIN(100,J152/Параметры!$B$12*100)</f>
        <v/>
      </c>
      <c r="L152" s="104">
        <f>100-K152</f>
        <v/>
      </c>
      <c r="M152" s="103">
        <f>MIN(Комплектация!AA154,Комплектация!AB154,Комплектация!AK154,Комплектация!AL154,Комплектация!AU154,Комплектация!AV154,Комплектация!BE154,Комплектация!BF154)</f>
        <v/>
      </c>
      <c r="N152" s="104">
        <f>AVERAGE((100-MAX(0,MIN(100,(Параметры!$B$13-MIN(Комплектация!AA154,Комплектация!AB154))/(Параметры!$B$13-Параметры!$B$14)*100))),(100-MAX(0,MIN(100,(Параметры!$B$13-MIN(Комплектация!AK154,Комплектация!AL154))/(Параметры!$B$13-Параметры!$B$14)*100))),(100-MAX(0,MIN(100,(Параметры!$B$13-MIN(Комплектация!AU154,Комплектация!AV154))/(Параметры!$B$13-Параметры!$B$14)*100))),(100-MAX(0,MIN(100,(Параметры!$B$13-MIN(Комплектация!BE154,Комплектация!BF154))/(Параметры!$B$13-Параметры!$B$14)*100))))</f>
        <v/>
      </c>
      <c r="O152" s="104">
        <f>AVERAGE(H152,L152)</f>
        <v/>
      </c>
      <c r="P152" s="105">
        <f>Параметры!$B$3*(Параметры!$B$5*H152+Параметры!$B$6*L152+Параметры!$B$7*N152+Параметры!$B$8*O152)/100</f>
        <v/>
      </c>
      <c r="Q152" s="106" t="n">
        <v>45922</v>
      </c>
      <c r="R152" s="106" t="n">
        <v>46652</v>
      </c>
      <c r="S152" s="104">
        <f>IF(OR(Q152="",R152="",R152=Q152),"",MAX(0,MIN(100,(Параметры!$B$2-Q152)/(R152-Q152)*100)))</f>
        <v/>
      </c>
      <c r="T152" s="103">
        <f>IF(ISNUMBER(Комплектация!P154),Комплектация!P154,"")</f>
        <v/>
      </c>
      <c r="U152" s="103">
        <f>IF(ISNUMBER(Комплектация!N154),Комплектация!N154,"")</f>
        <v/>
      </c>
      <c r="V152" s="104">
        <f>IF(OR(U152="",T152="",U152=0),"",MAX(0,MIN(100,(U152-T152)/U152*100)))</f>
        <v/>
      </c>
      <c r="W152" s="104">
        <f>MAX(IF(S152="",0,S152),IF(V152="",0,V152))</f>
        <v/>
      </c>
      <c r="X152" s="105">
        <f>Параметры!$B$18*W152/100</f>
        <v/>
      </c>
      <c r="Y152" s="103">
        <f>IF(MIN(Комплектация!AA154,Комплектация!AB154)-Параметры!$B$15&lt;Параметры!$B$16,1,0)+IF(MIN(Комплектация!AK154,Комплектация!AL154)-Параметры!$B$15&lt;Параметры!$B$16,1,0)+IF(MIN(Комплектация!AU154,Комплектация!AV154)-Параметры!$B$15&lt;Параметры!$B$16,1,0)+IF(MIN(Комплектация!BE154,Комплектация!BF154)-Параметры!$B$15&lt;Параметры!$B$16,1,0)</f>
        <v/>
      </c>
      <c r="Z152" s="105">
        <f>Y152*Параметры!$B$19</f>
        <v/>
      </c>
      <c r="AA152" s="107">
        <f>MAX(0,P152-X152-Z152)</f>
        <v/>
      </c>
      <c r="AB152" s="108">
        <f>SUMIFS(Прайс!$D$3:$D$11,Прайс!$A$3:$A$11,B152,Прайс!$B$3:$B$11,C152)</f>
        <v/>
      </c>
      <c r="AC152" s="105">
        <f>IF(AB152="","",AB152-AA152)</f>
        <v/>
      </c>
      <c r="AD152" s="109" t="n">
        <v>3872637.842465753</v>
      </c>
    </row>
    <row r="153">
      <c r="A153" s="101">
        <f>Комплектация!A155</f>
        <v/>
      </c>
      <c r="B153" s="101">
        <f>Комплектация!C155</f>
        <v/>
      </c>
      <c r="C153" s="102">
        <f>Комплектация!E155</f>
        <v/>
      </c>
      <c r="D153" s="103" t="n">
        <v>2050</v>
      </c>
      <c r="E153" s="103">
        <f>IF(D153="",Параметры!$B$11,MAX(1,D153-C153))</f>
        <v/>
      </c>
      <c r="F153" s="103">
        <f>MAX(0,YEAR(Параметры!$B$2)-C153)</f>
        <v/>
      </c>
      <c r="G153" s="104">
        <f>MIN(100,F153/E153*100)</f>
        <v/>
      </c>
      <c r="H153" s="104">
        <f>100-G153</f>
        <v/>
      </c>
      <c r="I153" s="103">
        <f>AVERAGE(Комплектация!BJ155,Комплектация!BP155,Комплектация!BV155,Комплектация!CB155,Комплектация!CH155,Комплектация!CN155)</f>
        <v/>
      </c>
      <c r="J153" s="103">
        <f>MAX(0,YEAR(Параметры!$B$2)-I153)</f>
        <v/>
      </c>
      <c r="K153" s="104">
        <f>MIN(100,J153/Параметры!$B$12*100)</f>
        <v/>
      </c>
      <c r="L153" s="104">
        <f>100-K153</f>
        <v/>
      </c>
      <c r="M153" s="103">
        <f>MIN(Комплектация!AA155,Комплектация!AB155,Комплектация!AK155,Комплектация!AL155,Комплектация!AU155,Комплектация!AV155,Комплектация!BE155,Комплектация!BF155)</f>
        <v/>
      </c>
      <c r="N153" s="104">
        <f>AVERAGE((100-MAX(0,MIN(100,(Параметры!$B$13-MIN(Комплектация!AA155,Комплектация!AB155))/(Параметры!$B$13-Параметры!$B$14)*100))),(100-MAX(0,MIN(100,(Параметры!$B$13-MIN(Комплектация!AK155,Комплектация!AL155))/(Параметры!$B$13-Параметры!$B$14)*100))),(100-MAX(0,MIN(100,(Параметры!$B$13-MIN(Комплектация!AU155,Комплектация!AV155))/(Параметры!$B$13-Параметры!$B$14)*100))),(100-MAX(0,MIN(100,(Параметры!$B$13-MIN(Комплектация!BE155,Комплектация!BF155))/(Параметры!$B$13-Параметры!$B$14)*100))))</f>
        <v/>
      </c>
      <c r="O153" s="104">
        <f>AVERAGE(H153,L153)</f>
        <v/>
      </c>
      <c r="P153" s="105">
        <f>Параметры!$B$3*(Параметры!$B$5*H153+Параметры!$B$6*L153+Параметры!$B$7*N153+Параметры!$B$8*O153)/100</f>
        <v/>
      </c>
      <c r="Q153" s="106" t="n">
        <v>46060</v>
      </c>
      <c r="R153" s="106" t="n">
        <v>46790</v>
      </c>
      <c r="S153" s="104">
        <f>IF(OR(Q153="",R153="",R153=Q153),"",MAX(0,MIN(100,(Параметры!$B$2-Q153)/(R153-Q153)*100)))</f>
        <v/>
      </c>
      <c r="T153" s="103">
        <f>IF(ISNUMBER(Комплектация!P155),Комплектация!P155,"")</f>
        <v/>
      </c>
      <c r="U153" s="103">
        <f>IF(ISNUMBER(Комплектация!N155),Комплектация!N155,"")</f>
        <v/>
      </c>
      <c r="V153" s="104">
        <f>IF(OR(U153="",T153="",U153=0),"",MAX(0,MIN(100,(U153-T153)/U153*100)))</f>
        <v/>
      </c>
      <c r="W153" s="104">
        <f>MAX(IF(S153="",0,S153),IF(V153="",0,V153))</f>
        <v/>
      </c>
      <c r="X153" s="105">
        <f>Параметры!$B$18*W153/100</f>
        <v/>
      </c>
      <c r="Y153" s="103">
        <f>IF(MIN(Комплектация!AA155,Комплектация!AB155)-Параметры!$B$15&lt;Параметры!$B$16,1,0)+IF(MIN(Комплектация!AK155,Комплектация!AL155)-Параметры!$B$15&lt;Параметры!$B$16,1,0)+IF(MIN(Комплектация!AU155,Комплектация!AV155)-Параметры!$B$15&lt;Параметры!$B$16,1,0)+IF(MIN(Комплектация!BE155,Комплектация!BF155)-Параметры!$B$15&lt;Параметры!$B$16,1,0)</f>
        <v/>
      </c>
      <c r="Z153" s="105">
        <f>Y153*Параметры!$B$19</f>
        <v/>
      </c>
      <c r="AA153" s="107">
        <f>MAX(0,P153-X153-Z153)</f>
        <v/>
      </c>
      <c r="AB153" s="108">
        <f>SUMIFS(Прайс!$D$3:$D$11,Прайс!$A$3:$A$11,B153,Прайс!$B$3:$B$11,C153)</f>
        <v/>
      </c>
      <c r="AC153" s="105">
        <f>IF(AB153="","",AB153-AA153)</f>
        <v/>
      </c>
      <c r="AD153" s="109" t="n">
        <v>3960541.952054794</v>
      </c>
    </row>
    <row r="154">
      <c r="A154" s="101">
        <f>Комплектация!A156</f>
        <v/>
      </c>
      <c r="B154" s="101">
        <f>Комплектация!C156</f>
        <v/>
      </c>
      <c r="C154" s="102">
        <f>Комплектация!E156</f>
        <v/>
      </c>
      <c r="D154" s="103" t="n">
        <v>2043</v>
      </c>
      <c r="E154" s="103">
        <f>IF(D154="",Параметры!$B$11,MAX(1,D154-C154))</f>
        <v/>
      </c>
      <c r="F154" s="103">
        <f>MAX(0,YEAR(Параметры!$B$2)-C154)</f>
        <v/>
      </c>
      <c r="G154" s="104">
        <f>MIN(100,F154/E154*100)</f>
        <v/>
      </c>
      <c r="H154" s="104">
        <f>100-G154</f>
        <v/>
      </c>
      <c r="I154" s="103">
        <f>AVERAGE(Комплектация!BJ156,Комплектация!BP156,Комплектация!BV156,Комплектация!CB156,Комплектация!CH156,Комплектация!CN156)</f>
        <v/>
      </c>
      <c r="J154" s="103">
        <f>MAX(0,YEAR(Параметры!$B$2)-I154)</f>
        <v/>
      </c>
      <c r="K154" s="104">
        <f>MIN(100,J154/Параметры!$B$12*100)</f>
        <v/>
      </c>
      <c r="L154" s="104">
        <f>100-K154</f>
        <v/>
      </c>
      <c r="M154" s="103">
        <f>MIN(Комплектация!AA156,Комплектация!AB156,Комплектация!AK156,Комплектация!AL156,Комплектация!AU156,Комплектация!AV156,Комплектация!BE156,Комплектация!BF156)</f>
        <v/>
      </c>
      <c r="N154" s="104">
        <f>AVERAGE((100-MAX(0,MIN(100,(Параметры!$B$13-MIN(Комплектация!AA156,Комплектация!AB156))/(Параметры!$B$13-Параметры!$B$14)*100))),(100-MAX(0,MIN(100,(Параметры!$B$13-MIN(Комплектация!AK156,Комплектация!AL156))/(Параметры!$B$13-Параметры!$B$14)*100))),(100-MAX(0,MIN(100,(Параметры!$B$13-MIN(Комплектация!AU156,Комплектация!AV156))/(Параметры!$B$13-Параметры!$B$14)*100))),(100-MAX(0,MIN(100,(Параметры!$B$13-MIN(Комплектация!BE156,Комплектация!BF156))/(Параметры!$B$13-Параметры!$B$14)*100))))</f>
        <v/>
      </c>
      <c r="O154" s="104">
        <f>AVERAGE(H154,L154)</f>
        <v/>
      </c>
      <c r="P154" s="105">
        <f>Параметры!$B$3*(Параметры!$B$5*H154+Параметры!$B$6*L154+Параметры!$B$7*N154+Параметры!$B$8*O154)/100</f>
        <v/>
      </c>
      <c r="Q154" s="106" t="n">
        <v>46185</v>
      </c>
      <c r="R154" s="106" t="n">
        <v>47281</v>
      </c>
      <c r="S154" s="104">
        <f>IF(OR(Q154="",R154="",R154=Q154),"",MAX(0,MIN(100,(Параметры!$B$2-Q154)/(R154-Q154)*100)))</f>
        <v/>
      </c>
      <c r="T154" s="103">
        <f>IF(ISNUMBER(Комплектация!P156),Комплектация!P156,"")</f>
        <v/>
      </c>
      <c r="U154" s="103">
        <f>IF(ISNUMBER(Комплектация!N156),Комплектация!N156,"")</f>
        <v/>
      </c>
      <c r="V154" s="104">
        <f>IF(OR(U154="",T154="",U154=0),"",MAX(0,MIN(100,(U154-T154)/U154*100)))</f>
        <v/>
      </c>
      <c r="W154" s="104">
        <f>MAX(IF(S154="",0,S154),IF(V154="",0,V154))</f>
        <v/>
      </c>
      <c r="X154" s="105">
        <f>Параметры!$B$18*W154/100</f>
        <v/>
      </c>
      <c r="Y154" s="103">
        <f>IF(MIN(Комплектация!AA156,Комплектация!AB156)-Параметры!$B$15&lt;Параметры!$B$16,1,0)+IF(MIN(Комплектация!AK156,Комплектация!AL156)-Параметры!$B$15&lt;Параметры!$B$16,1,0)+IF(MIN(Комплектация!AU156,Комплектация!AV156)-Параметры!$B$15&lt;Параметры!$B$16,1,0)+IF(MIN(Комплектация!BE156,Комплектация!BF156)-Параметры!$B$15&lt;Параметры!$B$16,1,0)</f>
        <v/>
      </c>
      <c r="Z154" s="105">
        <f>Y154*Параметры!$B$19</f>
        <v/>
      </c>
      <c r="AA154" s="107">
        <f>MAX(0,P154-X154-Z154)</f>
        <v/>
      </c>
      <c r="AB154" s="108">
        <f>SUMIFS(Прайс!$D$3:$D$11,Прайс!$A$3:$A$11,B154,Прайс!$B$3:$B$11,C154)</f>
        <v/>
      </c>
      <c r="AC154" s="105">
        <f>IF(AB154="","",AB154-AA154)</f>
        <v/>
      </c>
      <c r="AD154" s="109" t="n">
        <v>2985058.166058394</v>
      </c>
    </row>
    <row r="155">
      <c r="A155" s="101">
        <f>Комплектация!A157</f>
        <v/>
      </c>
      <c r="B155" s="101">
        <f>Комплектация!C157</f>
        <v/>
      </c>
      <c r="C155" s="102">
        <f>Комплектация!E157</f>
        <v/>
      </c>
      <c r="D155" s="103" t="n">
        <v>2047</v>
      </c>
      <c r="E155" s="103">
        <f>IF(D155="",Параметры!$B$11,MAX(1,D155-C155))</f>
        <v/>
      </c>
      <c r="F155" s="103">
        <f>MAX(0,YEAR(Параметры!$B$2)-C155)</f>
        <v/>
      </c>
      <c r="G155" s="104">
        <f>MIN(100,F155/E155*100)</f>
        <v/>
      </c>
      <c r="H155" s="104">
        <f>100-G155</f>
        <v/>
      </c>
      <c r="I155" s="103">
        <f>AVERAGE(Комплектация!BJ157,Комплектация!BP157,Комплектация!BV157,Комплектация!CB157,Комплектация!CH157,Комплектация!CN157)</f>
        <v/>
      </c>
      <c r="J155" s="103">
        <f>MAX(0,YEAR(Параметры!$B$2)-I155)</f>
        <v/>
      </c>
      <c r="K155" s="104">
        <f>MIN(100,J155/Параметры!$B$12*100)</f>
        <v/>
      </c>
      <c r="L155" s="104">
        <f>100-K155</f>
        <v/>
      </c>
      <c r="M155" s="103">
        <f>MIN(Комплектация!AA157,Комплектация!AB157,Комплектация!AK157,Комплектация!AL157,Комплектация!AU157,Комплектация!AV157,Комплектация!BE157,Комплектация!BF157)</f>
        <v/>
      </c>
      <c r="N155" s="104">
        <f>AVERAGE((100-MAX(0,MIN(100,(Параметры!$B$13-MIN(Комплектация!AA157,Комплектация!AB157))/(Параметры!$B$13-Параметры!$B$14)*100))),(100-MAX(0,MIN(100,(Параметры!$B$13-MIN(Комплектация!AK157,Комплектация!AL157))/(Параметры!$B$13-Параметры!$B$14)*100))),(100-MAX(0,MIN(100,(Параметры!$B$13-MIN(Комплектация!AU157,Комплектация!AV157))/(Параметры!$B$13-Параметры!$B$14)*100))),(100-MAX(0,MIN(100,(Параметры!$B$13-MIN(Комплектация!BE157,Комплектация!BF157))/(Параметры!$B$13-Параметры!$B$14)*100))))</f>
        <v/>
      </c>
      <c r="O155" s="104">
        <f>AVERAGE(H155,L155)</f>
        <v/>
      </c>
      <c r="P155" s="105">
        <f>Параметры!$B$3*(Параметры!$B$5*H155+Параметры!$B$6*L155+Параметры!$B$7*N155+Параметры!$B$8*O155)/100</f>
        <v/>
      </c>
      <c r="Q155" s="106" t="n">
        <v>45889</v>
      </c>
      <c r="R155" s="106" t="n">
        <v>46985</v>
      </c>
      <c r="S155" s="104">
        <f>IF(OR(Q155="",R155="",R155=Q155),"",MAX(0,MIN(100,(Параметры!$B$2-Q155)/(R155-Q155)*100)))</f>
        <v/>
      </c>
      <c r="T155" s="103">
        <f>IF(ISNUMBER(Комплектация!P157),Комплектация!P157,"")</f>
        <v/>
      </c>
      <c r="U155" s="103">
        <f>IF(ISNUMBER(Комплектация!N157),Комплектация!N157,"")</f>
        <v/>
      </c>
      <c r="V155" s="104">
        <f>IF(OR(U155="",T155="",U155=0),"",MAX(0,MIN(100,(U155-T155)/U155*100)))</f>
        <v/>
      </c>
      <c r="W155" s="104">
        <f>MAX(IF(S155="",0,S155),IF(V155="",0,V155))</f>
        <v/>
      </c>
      <c r="X155" s="105">
        <f>Параметры!$B$18*W155/100</f>
        <v/>
      </c>
      <c r="Y155" s="103">
        <f>IF(MIN(Комплектация!AA157,Комплектация!AB157)-Параметры!$B$15&lt;Параметры!$B$16,1,0)+IF(MIN(Комплектация!AK157,Комплектация!AL157)-Параметры!$B$15&lt;Параметры!$B$16,1,0)+IF(MIN(Комплектация!AU157,Комплектация!AV157)-Параметры!$B$15&lt;Параметры!$B$16,1,0)+IF(MIN(Комплектация!BE157,Комплектация!BF157)-Параметры!$B$15&lt;Параметры!$B$16,1,0)</f>
        <v/>
      </c>
      <c r="Z155" s="105">
        <f>Y155*Параметры!$B$19</f>
        <v/>
      </c>
      <c r="AA155" s="107">
        <f>MAX(0,P155-X155-Z155)</f>
        <v/>
      </c>
      <c r="AB155" s="108">
        <f>SUMIFS(Прайс!$D$3:$D$11,Прайс!$A$3:$A$11,B155,Прайс!$B$3:$B$11,C155)</f>
        <v/>
      </c>
      <c r="AC155" s="105">
        <f>IF(AB155="","",AB155-AA155)</f>
        <v/>
      </c>
      <c r="AD155" s="109" t="n">
        <v>3434911.724452555</v>
      </c>
    </row>
    <row r="156">
      <c r="A156" s="101">
        <f>Комплектация!A158</f>
        <v/>
      </c>
      <c r="B156" s="101">
        <f>Комплектация!C158</f>
        <v/>
      </c>
      <c r="C156" s="102">
        <f>Комплектация!E158</f>
        <v/>
      </c>
      <c r="D156" s="103" t="n">
        <v>2043</v>
      </c>
      <c r="E156" s="103">
        <f>IF(D156="",Параметры!$B$11,MAX(1,D156-C156))</f>
        <v/>
      </c>
      <c r="F156" s="103">
        <f>MAX(0,YEAR(Параметры!$B$2)-C156)</f>
        <v/>
      </c>
      <c r="G156" s="104">
        <f>MIN(100,F156/E156*100)</f>
        <v/>
      </c>
      <c r="H156" s="104">
        <f>100-G156</f>
        <v/>
      </c>
      <c r="I156" s="103">
        <f>AVERAGE(Комплектация!BJ158,Комплектация!BP158,Комплектация!BV158,Комплектация!CB158,Комплектация!CH158,Комплектация!CN158)</f>
        <v/>
      </c>
      <c r="J156" s="103">
        <f>MAX(0,YEAR(Параметры!$B$2)-I156)</f>
        <v/>
      </c>
      <c r="K156" s="104">
        <f>MIN(100,J156/Параметры!$B$12*100)</f>
        <v/>
      </c>
      <c r="L156" s="104">
        <f>100-K156</f>
        <v/>
      </c>
      <c r="M156" s="103">
        <f>MIN(Комплектация!AA158,Комплектация!AB158,Комплектация!AK158,Комплектация!AL158,Комплектация!AU158,Комплектация!AV158,Комплектация!BE158,Комплектация!BF158)</f>
        <v/>
      </c>
      <c r="N156" s="104">
        <f>AVERAGE((100-MAX(0,MIN(100,(Параметры!$B$13-MIN(Комплектация!AA158,Комплектация!AB158))/(Параметры!$B$13-Параметры!$B$14)*100))),(100-MAX(0,MIN(100,(Параметры!$B$13-MIN(Комплектация!AK158,Комплектация!AL158))/(Параметры!$B$13-Параметры!$B$14)*100))),(100-MAX(0,MIN(100,(Параметры!$B$13-MIN(Комплектация!AU158,Комплектация!AV158))/(Параметры!$B$13-Параметры!$B$14)*100))),(100-MAX(0,MIN(100,(Параметры!$B$13-MIN(Комплектация!BE158,Комплектация!BF158))/(Параметры!$B$13-Параметры!$B$14)*100))))</f>
        <v/>
      </c>
      <c r="O156" s="104">
        <f>AVERAGE(H156,L156)</f>
        <v/>
      </c>
      <c r="P156" s="105">
        <f>Параметры!$B$3*(Параметры!$B$5*H156+Параметры!$B$6*L156+Параметры!$B$7*N156+Параметры!$B$8*O156)/100</f>
        <v/>
      </c>
      <c r="Q156" s="106" t="n">
        <v>45893</v>
      </c>
      <c r="R156" s="106" t="n">
        <v>46989</v>
      </c>
      <c r="S156" s="104">
        <f>IF(OR(Q156="",R156="",R156=Q156),"",MAX(0,MIN(100,(Параметры!$B$2-Q156)/(R156-Q156)*100)))</f>
        <v/>
      </c>
      <c r="T156" s="103">
        <f>IF(ISNUMBER(Комплектация!P158),Комплектация!P158,"")</f>
        <v/>
      </c>
      <c r="U156" s="103">
        <f>IF(ISNUMBER(Комплектация!N158),Комплектация!N158,"")</f>
        <v/>
      </c>
      <c r="V156" s="104">
        <f>IF(OR(U156="",T156="",U156=0),"",MAX(0,MIN(100,(U156-T156)/U156*100)))</f>
        <v/>
      </c>
      <c r="W156" s="104">
        <f>MAX(IF(S156="",0,S156),IF(V156="",0,V156))</f>
        <v/>
      </c>
      <c r="X156" s="105">
        <f>Параметры!$B$18*W156/100</f>
        <v/>
      </c>
      <c r="Y156" s="103">
        <f>IF(MIN(Комплектация!AA158,Комплектация!AB158)-Параметры!$B$15&lt;Параметры!$B$16,1,0)+IF(MIN(Комплектация!AK158,Комплектация!AL158)-Параметры!$B$15&lt;Параметры!$B$16,1,0)+IF(MIN(Комплектация!AU158,Комплектация!AV158)-Параметры!$B$15&lt;Параметры!$B$16,1,0)+IF(MIN(Комплектация!BE158,Комплектация!BF158)-Параметры!$B$15&lt;Параметры!$B$16,1,0)</f>
        <v/>
      </c>
      <c r="Z156" s="105">
        <f>Y156*Параметры!$B$19</f>
        <v/>
      </c>
      <c r="AA156" s="107">
        <f>MAX(0,P156-X156-Z156)</f>
        <v/>
      </c>
      <c r="AB156" s="108">
        <f>SUMIFS(Прайс!$D$3:$D$11,Прайс!$A$3:$A$11,B156,Прайс!$B$3:$B$11,C156)</f>
        <v/>
      </c>
      <c r="AC156" s="105">
        <f>IF(AB156="","",AB156-AA156)</f>
        <v/>
      </c>
      <c r="AD156" s="109" t="n">
        <v>3064608.804744525</v>
      </c>
    </row>
    <row r="157">
      <c r="A157" s="101">
        <f>Комплектация!A159</f>
        <v/>
      </c>
      <c r="B157" s="101">
        <f>Комплектация!C159</f>
        <v/>
      </c>
      <c r="C157" s="102">
        <f>Комплектация!E159</f>
        <v/>
      </c>
      <c r="D157" s="103" t="n">
        <v>2044</v>
      </c>
      <c r="E157" s="103">
        <f>IF(D157="",Параметры!$B$11,MAX(1,D157-C157))</f>
        <v/>
      </c>
      <c r="F157" s="103">
        <f>MAX(0,YEAR(Параметры!$B$2)-C157)</f>
        <v/>
      </c>
      <c r="G157" s="104">
        <f>MIN(100,F157/E157*100)</f>
        <v/>
      </c>
      <c r="H157" s="104">
        <f>100-G157</f>
        <v/>
      </c>
      <c r="I157" s="103">
        <f>AVERAGE(Комплектация!BJ159,Комплектация!BP159,Комплектация!BV159,Комплектация!CB159,Комплектация!CH159,Комплектация!CN159)</f>
        <v/>
      </c>
      <c r="J157" s="103">
        <f>MAX(0,YEAR(Параметры!$B$2)-I157)</f>
        <v/>
      </c>
      <c r="K157" s="104">
        <f>MIN(100,J157/Параметры!$B$12*100)</f>
        <v/>
      </c>
      <c r="L157" s="104">
        <f>100-K157</f>
        <v/>
      </c>
      <c r="M157" s="103">
        <f>MIN(Комплектация!AA159,Комплектация!AB159,Комплектация!AK159,Комплектация!AL159,Комплектация!AU159,Комплектация!AV159,Комплектация!BE159,Комплектация!BF159)</f>
        <v/>
      </c>
      <c r="N157" s="104">
        <f>AVERAGE((100-MAX(0,MIN(100,(Параметры!$B$13-MIN(Комплектация!AA159,Комплектация!AB159))/(Параметры!$B$13-Параметры!$B$14)*100))),(100-MAX(0,MIN(100,(Параметры!$B$13-MIN(Комплектация!AK159,Комплектация!AL159))/(Параметры!$B$13-Параметры!$B$14)*100))),(100-MAX(0,MIN(100,(Параметры!$B$13-MIN(Комплектация!AU159,Комплектация!AV159))/(Параметры!$B$13-Параметры!$B$14)*100))),(100-MAX(0,MIN(100,(Параметры!$B$13-MIN(Комплектация!BE159,Комплектация!BF159))/(Параметры!$B$13-Параметры!$B$14)*100))))</f>
        <v/>
      </c>
      <c r="O157" s="104">
        <f>AVERAGE(H157,L157)</f>
        <v/>
      </c>
      <c r="P157" s="105">
        <f>Параметры!$B$3*(Параметры!$B$5*H157+Параметры!$B$6*L157+Параметры!$B$7*N157+Параметры!$B$8*O157)/100</f>
        <v/>
      </c>
      <c r="Q157" s="106" t="n">
        <v>45892</v>
      </c>
      <c r="R157" s="106" t="n">
        <v>46988</v>
      </c>
      <c r="S157" s="104">
        <f>IF(OR(Q157="",R157="",R157=Q157),"",MAX(0,MIN(100,(Параметры!$B$2-Q157)/(R157-Q157)*100)))</f>
        <v/>
      </c>
      <c r="T157" s="103">
        <f>IF(ISNUMBER(Комплектация!P159),Комплектация!P159,"")</f>
        <v/>
      </c>
      <c r="U157" s="103">
        <f>IF(ISNUMBER(Комплектация!N159),Комплектация!N159,"")</f>
        <v/>
      </c>
      <c r="V157" s="104">
        <f>IF(OR(U157="",T157="",U157=0),"",MAX(0,MIN(100,(U157-T157)/U157*100)))</f>
        <v/>
      </c>
      <c r="W157" s="104">
        <f>MAX(IF(S157="",0,S157),IF(V157="",0,V157))</f>
        <v/>
      </c>
      <c r="X157" s="105">
        <f>Параметры!$B$18*W157/100</f>
        <v/>
      </c>
      <c r="Y157" s="103">
        <f>IF(MIN(Комплектация!AA159,Комплектация!AB159)-Параметры!$B$15&lt;Параметры!$B$16,1,0)+IF(MIN(Комплектация!AK159,Комплектация!AL159)-Параметры!$B$15&lt;Параметры!$B$16,1,0)+IF(MIN(Комплектация!AU159,Комплектация!AV159)-Параметры!$B$15&lt;Параметры!$B$16,1,0)+IF(MIN(Комплектация!BE159,Комплектация!BF159)-Параметры!$B$15&lt;Параметры!$B$16,1,0)</f>
        <v/>
      </c>
      <c r="Z157" s="105">
        <f>Y157*Параметры!$B$19</f>
        <v/>
      </c>
      <c r="AA157" s="107">
        <f>MAX(0,P157-X157-Z157)</f>
        <v/>
      </c>
      <c r="AB157" s="108">
        <f>SUMIFS(Прайс!$D$3:$D$11,Прайс!$A$3:$A$11,B157,Прайс!$B$3:$B$11,C157)</f>
        <v/>
      </c>
      <c r="AC157" s="105">
        <f>IF(AB157="","",AB157-AA157)</f>
        <v/>
      </c>
      <c r="AD157" s="109" t="n">
        <v>2788090.784671532</v>
      </c>
    </row>
    <row r="158">
      <c r="A158" s="101">
        <f>Комплектация!A160</f>
        <v/>
      </c>
      <c r="B158" s="101">
        <f>Комплектация!C160</f>
        <v/>
      </c>
      <c r="C158" s="102">
        <f>Комплектация!E160</f>
        <v/>
      </c>
      <c r="D158" s="103" t="n">
        <v>2047</v>
      </c>
      <c r="E158" s="103">
        <f>IF(D158="",Параметры!$B$11,MAX(1,D158-C158))</f>
        <v/>
      </c>
      <c r="F158" s="103">
        <f>MAX(0,YEAR(Параметры!$B$2)-C158)</f>
        <v/>
      </c>
      <c r="G158" s="104">
        <f>MIN(100,F158/E158*100)</f>
        <v/>
      </c>
      <c r="H158" s="104">
        <f>100-G158</f>
        <v/>
      </c>
      <c r="I158" s="103">
        <f>AVERAGE(Комплектация!BJ160,Комплектация!BP160,Комплектация!BV160,Комплектация!CB160,Комплектация!CH160,Комплектация!CN160)</f>
        <v/>
      </c>
      <c r="J158" s="103">
        <f>MAX(0,YEAR(Параметры!$B$2)-I158)</f>
        <v/>
      </c>
      <c r="K158" s="104">
        <f>MIN(100,J158/Параметры!$B$12*100)</f>
        <v/>
      </c>
      <c r="L158" s="104">
        <f>100-K158</f>
        <v/>
      </c>
      <c r="M158" s="103">
        <f>MIN(Комплектация!AA160,Комплектация!AB160,Комплектация!AK160,Комплектация!AL160,Комплектация!AU160,Комплектация!AV160,Комплектация!BE160,Комплектация!BF160)</f>
        <v/>
      </c>
      <c r="N158" s="104">
        <f>AVERAGE((100-MAX(0,MIN(100,(Параметры!$B$13-MIN(Комплектация!AA160,Комплектация!AB160))/(Параметры!$B$13-Параметры!$B$14)*100))),(100-MAX(0,MIN(100,(Параметры!$B$13-MIN(Комплектация!AK160,Комплектация!AL160))/(Параметры!$B$13-Параметры!$B$14)*100))),(100-MAX(0,MIN(100,(Параметры!$B$13-MIN(Комплектация!AU160,Комплектация!AV160))/(Параметры!$B$13-Параметры!$B$14)*100))),(100-MAX(0,MIN(100,(Параметры!$B$13-MIN(Комплектация!BE160,Комплектация!BF160))/(Параметры!$B$13-Параметры!$B$14)*100))))</f>
        <v/>
      </c>
      <c r="O158" s="104">
        <f>AVERAGE(H158,L158)</f>
        <v/>
      </c>
      <c r="P158" s="105">
        <f>Параметры!$B$3*(Параметры!$B$5*H158+Параметры!$B$6*L158+Параметры!$B$7*N158+Параметры!$B$8*O158)/100</f>
        <v/>
      </c>
      <c r="Q158" s="106" t="n">
        <v>45889</v>
      </c>
      <c r="R158" s="106" t="n">
        <v>46985</v>
      </c>
      <c r="S158" s="104">
        <f>IF(OR(Q158="",R158="",R158=Q158),"",MAX(0,MIN(100,(Параметры!$B$2-Q158)/(R158-Q158)*100)))</f>
        <v/>
      </c>
      <c r="T158" s="103">
        <f>IF(ISNUMBER(Комплектация!P160),Комплектация!P160,"")</f>
        <v/>
      </c>
      <c r="U158" s="103">
        <f>IF(ISNUMBER(Комплектация!N160),Комплектация!N160,"")</f>
        <v/>
      </c>
      <c r="V158" s="104">
        <f>IF(OR(U158="",T158="",U158=0),"",MAX(0,MIN(100,(U158-T158)/U158*100)))</f>
        <v/>
      </c>
      <c r="W158" s="104">
        <f>MAX(IF(S158="",0,S158),IF(V158="",0,V158))</f>
        <v/>
      </c>
      <c r="X158" s="105">
        <f>Параметры!$B$18*W158/100</f>
        <v/>
      </c>
      <c r="Y158" s="103">
        <f>IF(MIN(Комплектация!AA160,Комплектация!AB160)-Параметры!$B$15&lt;Параметры!$B$16,1,0)+IF(MIN(Комплектация!AK160,Комплектация!AL160)-Параметры!$B$15&lt;Параметры!$B$16,1,0)+IF(MIN(Комплектация!AU160,Комплектация!AV160)-Параметры!$B$15&lt;Параметры!$B$16,1,0)+IF(MIN(Комплектация!BE160,Комплектация!BF160)-Параметры!$B$15&lt;Параметры!$B$16,1,0)</f>
        <v/>
      </c>
      <c r="Z158" s="105">
        <f>Y158*Параметры!$B$19</f>
        <v/>
      </c>
      <c r="AA158" s="107">
        <f>MAX(0,P158-X158-Z158)</f>
        <v/>
      </c>
      <c r="AB158" s="108">
        <f>SUMIFS(Прайс!$D$3:$D$11,Прайс!$A$3:$A$11,B158,Прайс!$B$3:$B$11,C158)</f>
        <v/>
      </c>
      <c r="AC158" s="105">
        <f>IF(AB158="","",AB158-AA158)</f>
        <v/>
      </c>
      <c r="AD158" s="109" t="n">
        <v>3196599.224452555</v>
      </c>
    </row>
    <row r="159">
      <c r="A159" s="101">
        <f>Комплектация!A161</f>
        <v/>
      </c>
      <c r="B159" s="101">
        <f>Комплектация!C161</f>
        <v/>
      </c>
      <c r="C159" s="102">
        <f>Комплектация!E161</f>
        <v/>
      </c>
      <c r="D159" s="103" t="n">
        <v>2044</v>
      </c>
      <c r="E159" s="103">
        <f>IF(D159="",Параметры!$B$11,MAX(1,D159-C159))</f>
        <v/>
      </c>
      <c r="F159" s="103">
        <f>MAX(0,YEAR(Параметры!$B$2)-C159)</f>
        <v/>
      </c>
      <c r="G159" s="104">
        <f>MIN(100,F159/E159*100)</f>
        <v/>
      </c>
      <c r="H159" s="104">
        <f>100-G159</f>
        <v/>
      </c>
      <c r="I159" s="103">
        <f>AVERAGE(Комплектация!BJ161,Комплектация!BP161,Комплектация!BV161,Комплектация!CB161,Комплектация!CH161,Комплектация!CN161)</f>
        <v/>
      </c>
      <c r="J159" s="103">
        <f>MAX(0,YEAR(Параметры!$B$2)-I159)</f>
        <v/>
      </c>
      <c r="K159" s="104">
        <f>MIN(100,J159/Параметры!$B$12*100)</f>
        <v/>
      </c>
      <c r="L159" s="104">
        <f>100-K159</f>
        <v/>
      </c>
      <c r="M159" s="103">
        <f>MIN(Комплектация!AA161,Комплектация!AB161,Комплектация!AK161,Комплектация!AL161,Комплектация!AU161,Комплектация!AV161,Комплектация!BE161,Комплектация!BF161)</f>
        <v/>
      </c>
      <c r="N159" s="104">
        <f>AVERAGE((100-MAX(0,MIN(100,(Параметры!$B$13-MIN(Комплектация!AA161,Комплектация!AB161))/(Параметры!$B$13-Параметры!$B$14)*100))),(100-MAX(0,MIN(100,(Параметры!$B$13-MIN(Комплектация!AK161,Комплектация!AL161))/(Параметры!$B$13-Параметры!$B$14)*100))),(100-MAX(0,MIN(100,(Параметры!$B$13-MIN(Комплектация!AU161,Комплектация!AV161))/(Параметры!$B$13-Параметры!$B$14)*100))),(100-MAX(0,MIN(100,(Параметры!$B$13-MIN(Комплектация!BE161,Комплектация!BF161))/(Параметры!$B$13-Параметры!$B$14)*100))))</f>
        <v/>
      </c>
      <c r="O159" s="104">
        <f>AVERAGE(H159,L159)</f>
        <v/>
      </c>
      <c r="P159" s="105">
        <f>Параметры!$B$3*(Параметры!$B$5*H159+Параметры!$B$6*L159+Параметры!$B$7*N159+Параметры!$B$8*O159)/100</f>
        <v/>
      </c>
      <c r="Q159" s="106" t="n">
        <v>45893</v>
      </c>
      <c r="R159" s="106" t="n">
        <v>46989</v>
      </c>
      <c r="S159" s="104">
        <f>IF(OR(Q159="",R159="",R159=Q159),"",MAX(0,MIN(100,(Параметры!$B$2-Q159)/(R159-Q159)*100)))</f>
        <v/>
      </c>
      <c r="T159" s="103">
        <f>IF(ISNUMBER(Комплектация!P161),Комплектация!P161,"")</f>
        <v/>
      </c>
      <c r="U159" s="103">
        <f>IF(ISNUMBER(Комплектация!N161),Комплектация!N161,"")</f>
        <v/>
      </c>
      <c r="V159" s="104">
        <f>IF(OR(U159="",T159="",U159=0),"",MAX(0,MIN(100,(U159-T159)/U159*100)))</f>
        <v/>
      </c>
      <c r="W159" s="104">
        <f>MAX(IF(S159="",0,S159),IF(V159="",0,V159))</f>
        <v/>
      </c>
      <c r="X159" s="105">
        <f>Параметры!$B$18*W159/100</f>
        <v/>
      </c>
      <c r="Y159" s="103">
        <f>IF(MIN(Комплектация!AA161,Комплектация!AB161)-Параметры!$B$15&lt;Параметры!$B$16,1,0)+IF(MIN(Комплектация!AK161,Комплектация!AL161)-Параметры!$B$15&lt;Параметры!$B$16,1,0)+IF(MIN(Комплектация!AU161,Комплектация!AV161)-Параметры!$B$15&lt;Параметры!$B$16,1,0)+IF(MIN(Комплектация!BE161,Комплектация!BF161)-Параметры!$B$15&lt;Параметры!$B$16,1,0)</f>
        <v/>
      </c>
      <c r="Z159" s="105">
        <f>Y159*Параметры!$B$19</f>
        <v/>
      </c>
      <c r="AA159" s="107">
        <f>MAX(0,P159-X159-Z159)</f>
        <v/>
      </c>
      <c r="AB159" s="108">
        <f>SUMIFS(Прайс!$D$3:$D$11,Прайс!$A$3:$A$11,B159,Прайс!$B$3:$B$11,C159)</f>
        <v/>
      </c>
      <c r="AC159" s="105">
        <f>IF(AB159="","",AB159-AA159)</f>
        <v/>
      </c>
      <c r="AD159" s="109" t="n">
        <v>3183765.054744525</v>
      </c>
    </row>
    <row r="160">
      <c r="A160" s="101">
        <f>Комплектация!A162</f>
        <v/>
      </c>
      <c r="B160" s="101">
        <f>Комплектация!C162</f>
        <v/>
      </c>
      <c r="C160" s="102">
        <f>Комплектация!E162</f>
        <v/>
      </c>
      <c r="D160" s="103" t="n">
        <v>2043</v>
      </c>
      <c r="E160" s="103">
        <f>IF(D160="",Параметры!$B$11,MAX(1,D160-C160))</f>
        <v/>
      </c>
      <c r="F160" s="103">
        <f>MAX(0,YEAR(Параметры!$B$2)-C160)</f>
        <v/>
      </c>
      <c r="G160" s="104">
        <f>MIN(100,F160/E160*100)</f>
        <v/>
      </c>
      <c r="H160" s="104">
        <f>100-G160</f>
        <v/>
      </c>
      <c r="I160" s="103">
        <f>AVERAGE(Комплектация!BJ162,Комплектация!BP162,Комплектация!BV162,Комплектация!CB162,Комплектация!CH162,Комплектация!CN162)</f>
        <v/>
      </c>
      <c r="J160" s="103">
        <f>MAX(0,YEAR(Параметры!$B$2)-I160)</f>
        <v/>
      </c>
      <c r="K160" s="104">
        <f>MIN(100,J160/Параметры!$B$12*100)</f>
        <v/>
      </c>
      <c r="L160" s="104">
        <f>100-K160</f>
        <v/>
      </c>
      <c r="M160" s="103">
        <f>MIN(Комплектация!AA162,Комплектация!AB162,Комплектация!AK162,Комплектация!AL162,Комплектация!AU162,Комплектация!AV162,Комплектация!BE162,Комплектация!BF162)</f>
        <v/>
      </c>
      <c r="N160" s="104">
        <f>AVERAGE((100-MAX(0,MIN(100,(Параметры!$B$13-MIN(Комплектация!AA162,Комплектация!AB162))/(Параметры!$B$13-Параметры!$B$14)*100))),(100-MAX(0,MIN(100,(Параметры!$B$13-MIN(Комплектация!AK162,Комплектация!AL162))/(Параметры!$B$13-Параметры!$B$14)*100))),(100-MAX(0,MIN(100,(Параметры!$B$13-MIN(Комплектация!AU162,Комплектация!AV162))/(Параметры!$B$13-Параметры!$B$14)*100))),(100-MAX(0,MIN(100,(Параметры!$B$13-MIN(Комплектация!BE162,Комплектация!BF162))/(Параметры!$B$13-Параметры!$B$14)*100))))</f>
        <v/>
      </c>
      <c r="O160" s="104">
        <f>AVERAGE(H160,L160)</f>
        <v/>
      </c>
      <c r="P160" s="105">
        <f>Параметры!$B$3*(Параметры!$B$5*H160+Параметры!$B$6*L160+Параметры!$B$7*N160+Параметры!$B$8*O160)/100</f>
        <v/>
      </c>
      <c r="Q160" s="106" t="n">
        <v>45960</v>
      </c>
      <c r="R160" s="106" t="n">
        <v>47056</v>
      </c>
      <c r="S160" s="104">
        <f>IF(OR(Q160="",R160="",R160=Q160),"",MAX(0,MIN(100,(Параметры!$B$2-Q160)/(R160-Q160)*100)))</f>
        <v/>
      </c>
      <c r="T160" s="103">
        <f>IF(ISNUMBER(Комплектация!P162),Комплектация!P162,"")</f>
        <v/>
      </c>
      <c r="U160" s="103">
        <f>IF(ISNUMBER(Комплектация!N162),Комплектация!N162,"")</f>
        <v/>
      </c>
      <c r="V160" s="104">
        <f>IF(OR(U160="",T160="",U160=0),"",MAX(0,MIN(100,(U160-T160)/U160*100)))</f>
        <v/>
      </c>
      <c r="W160" s="104">
        <f>MAX(IF(S160="",0,S160),IF(V160="",0,V160))</f>
        <v/>
      </c>
      <c r="X160" s="105">
        <f>Параметры!$B$18*W160/100</f>
        <v/>
      </c>
      <c r="Y160" s="103">
        <f>IF(MIN(Комплектация!AA162,Комплектация!AB162)-Параметры!$B$15&lt;Параметры!$B$16,1,0)+IF(MIN(Комплектация!AK162,Комплектация!AL162)-Параметры!$B$15&lt;Параметры!$B$16,1,0)+IF(MIN(Комплектация!AU162,Комплектация!AV162)-Параметры!$B$15&lt;Параметры!$B$16,1,0)+IF(MIN(Комплектация!BE162,Комплектация!BF162)-Параметры!$B$15&lt;Параметры!$B$16,1,0)</f>
        <v/>
      </c>
      <c r="Z160" s="105">
        <f>Y160*Параметры!$B$19</f>
        <v/>
      </c>
      <c r="AA160" s="107">
        <f>MAX(0,P160-X160-Z160)</f>
        <v/>
      </c>
      <c r="AB160" s="108">
        <f>SUMIFS(Прайс!$D$3:$D$11,Прайс!$A$3:$A$11,B160,Прайс!$B$3:$B$11,C160)</f>
        <v/>
      </c>
      <c r="AC160" s="105">
        <f>IF(AB160="","",AB160-AA160)</f>
        <v/>
      </c>
      <c r="AD160" s="109" t="n">
        <v>3110472.399635036</v>
      </c>
    </row>
    <row r="161">
      <c r="A161" s="101">
        <f>Комплектация!A163</f>
        <v/>
      </c>
      <c r="B161" s="101">
        <f>Комплектация!C163</f>
        <v/>
      </c>
      <c r="C161" s="102">
        <f>Комплектация!E163</f>
        <v/>
      </c>
      <c r="D161" s="103" t="n">
        <v>2044</v>
      </c>
      <c r="E161" s="103">
        <f>IF(D161="",Параметры!$B$11,MAX(1,D161-C161))</f>
        <v/>
      </c>
      <c r="F161" s="103">
        <f>MAX(0,YEAR(Параметры!$B$2)-C161)</f>
        <v/>
      </c>
      <c r="G161" s="104">
        <f>MIN(100,F161/E161*100)</f>
        <v/>
      </c>
      <c r="H161" s="104">
        <f>100-G161</f>
        <v/>
      </c>
      <c r="I161" s="103">
        <f>AVERAGE(Комплектация!BJ163,Комплектация!BP163,Комплектация!BV163,Комплектация!CB163,Комплектация!CH163,Комплектация!CN163)</f>
        <v/>
      </c>
      <c r="J161" s="103">
        <f>MAX(0,YEAR(Параметры!$B$2)-I161)</f>
        <v/>
      </c>
      <c r="K161" s="104">
        <f>MIN(100,J161/Параметры!$B$12*100)</f>
        <v/>
      </c>
      <c r="L161" s="104">
        <f>100-K161</f>
        <v/>
      </c>
      <c r="M161" s="103">
        <f>MIN(Комплектация!AA163,Комплектация!AB163,Комплектация!AK163,Комплектация!AL163,Комплектация!AU163,Комплектация!AV163,Комплектация!BE163,Комплектация!BF163)</f>
        <v/>
      </c>
      <c r="N161" s="104">
        <f>AVERAGE((100-MAX(0,MIN(100,(Параметры!$B$13-MIN(Комплектация!AA163,Комплектация!AB163))/(Параметры!$B$13-Параметры!$B$14)*100))),(100-MAX(0,MIN(100,(Параметры!$B$13-MIN(Комплектация!AK163,Комплектация!AL163))/(Параметры!$B$13-Параметры!$B$14)*100))),(100-MAX(0,MIN(100,(Параметры!$B$13-MIN(Комплектация!AU163,Комплектация!AV163))/(Параметры!$B$13-Параметры!$B$14)*100))),(100-MAX(0,MIN(100,(Параметры!$B$13-MIN(Комплектация!BE163,Комплектация!BF163))/(Параметры!$B$13-Параметры!$B$14)*100))))</f>
        <v/>
      </c>
      <c r="O161" s="104">
        <f>AVERAGE(H161,L161)</f>
        <v/>
      </c>
      <c r="P161" s="105">
        <f>Параметры!$B$3*(Параметры!$B$5*H161+Параметры!$B$6*L161+Параметры!$B$7*N161+Параметры!$B$8*O161)/100</f>
        <v/>
      </c>
      <c r="Q161" s="106" t="n">
        <v>45522</v>
      </c>
      <c r="R161" s="106" t="n">
        <v>46617</v>
      </c>
      <c r="S161" s="104">
        <f>IF(OR(Q161="",R161="",R161=Q161),"",MAX(0,MIN(100,(Параметры!$B$2-Q161)/(R161-Q161)*100)))</f>
        <v/>
      </c>
      <c r="T161" s="103">
        <f>IF(ISNUMBER(Комплектация!P163),Комплектация!P163,"")</f>
        <v/>
      </c>
      <c r="U161" s="103">
        <f>IF(ISNUMBER(Комплектация!N163),Комплектация!N163,"")</f>
        <v/>
      </c>
      <c r="V161" s="104">
        <f>IF(OR(U161="",T161="",U161=0),"",MAX(0,MIN(100,(U161-T161)/U161*100)))</f>
        <v/>
      </c>
      <c r="W161" s="104">
        <f>MAX(IF(S161="",0,S161),IF(V161="",0,V161))</f>
        <v/>
      </c>
      <c r="X161" s="105">
        <f>Параметры!$B$18*W161/100</f>
        <v/>
      </c>
      <c r="Y161" s="103">
        <f>IF(MIN(Комплектация!AA163,Комплектация!AB163)-Параметры!$B$15&lt;Параметры!$B$16,1,0)+IF(MIN(Комплектация!AK163,Комплектация!AL163)-Параметры!$B$15&lt;Параметры!$B$16,1,0)+IF(MIN(Комплектация!AU163,Комплектация!AV163)-Параметры!$B$15&lt;Параметры!$B$16,1,0)+IF(MIN(Комплектация!BE163,Комплектация!BF163)-Параметры!$B$15&lt;Параметры!$B$16,1,0)</f>
        <v/>
      </c>
      <c r="Z161" s="105">
        <f>Y161*Параметры!$B$19</f>
        <v/>
      </c>
      <c r="AA161" s="107">
        <f>MAX(0,P161-X161-Z161)</f>
        <v/>
      </c>
      <c r="AB161" s="108">
        <f>SUMIFS(Прайс!$D$3:$D$11,Прайс!$A$3:$A$11,B161,Прайс!$B$3:$B$11,C161)</f>
        <v/>
      </c>
      <c r="AC161" s="105">
        <f>IF(AB161="","",AB161-AA161)</f>
        <v/>
      </c>
      <c r="AD161" s="109" t="n">
        <v>2869145.547945206</v>
      </c>
    </row>
    <row r="162">
      <c r="A162" s="101">
        <f>Комплектация!A164</f>
        <v/>
      </c>
      <c r="B162" s="101">
        <f>Комплектация!C164</f>
        <v/>
      </c>
      <c r="C162" s="102">
        <f>Комплектация!E164</f>
        <v/>
      </c>
      <c r="D162" s="103" t="n">
        <v>2043</v>
      </c>
      <c r="E162" s="103">
        <f>IF(D162="",Параметры!$B$11,MAX(1,D162-C162))</f>
        <v/>
      </c>
      <c r="F162" s="103">
        <f>MAX(0,YEAR(Параметры!$B$2)-C162)</f>
        <v/>
      </c>
      <c r="G162" s="104">
        <f>MIN(100,F162/E162*100)</f>
        <v/>
      </c>
      <c r="H162" s="104">
        <f>100-G162</f>
        <v/>
      </c>
      <c r="I162" s="103">
        <f>AVERAGE(Комплектация!BJ164,Комплектация!BP164,Комплектация!BV164,Комплектация!CB164,Комплектация!CH164,Комплектация!CN164)</f>
        <v/>
      </c>
      <c r="J162" s="103">
        <f>MAX(0,YEAR(Параметры!$B$2)-I162)</f>
        <v/>
      </c>
      <c r="K162" s="104">
        <f>MIN(100,J162/Параметры!$B$12*100)</f>
        <v/>
      </c>
      <c r="L162" s="104">
        <f>100-K162</f>
        <v/>
      </c>
      <c r="M162" s="103">
        <f>MIN(Комплектация!AA164,Комплектация!AB164,Комплектация!AK164,Комплектация!AL164,Комплектация!AU164,Комплектация!AV164,Комплектация!BE164,Комплектация!BF164)</f>
        <v/>
      </c>
      <c r="N162" s="104">
        <f>AVERAGE((100-MAX(0,MIN(100,(Параметры!$B$13-MIN(Комплектация!AA164,Комплектация!AB164))/(Параметры!$B$13-Параметры!$B$14)*100))),(100-MAX(0,MIN(100,(Параметры!$B$13-MIN(Комплектация!AK164,Комплектация!AL164))/(Параметры!$B$13-Параметры!$B$14)*100))),(100-MAX(0,MIN(100,(Параметры!$B$13-MIN(Комплектация!AU164,Комплектация!AV164))/(Параметры!$B$13-Параметры!$B$14)*100))),(100-MAX(0,MIN(100,(Параметры!$B$13-MIN(Комплектация!BE164,Комплектация!BF164))/(Параметры!$B$13-Параметры!$B$14)*100))))</f>
        <v/>
      </c>
      <c r="O162" s="104">
        <f>AVERAGE(H162,L162)</f>
        <v/>
      </c>
      <c r="P162" s="105">
        <f>Параметры!$B$3*(Параметры!$B$5*H162+Параметры!$B$6*L162+Параметры!$B$7*N162+Параметры!$B$8*O162)/100</f>
        <v/>
      </c>
      <c r="Q162" s="106" t="n">
        <v>46088</v>
      </c>
      <c r="R162" s="106" t="n">
        <v>47184</v>
      </c>
      <c r="S162" s="104">
        <f>IF(OR(Q162="",R162="",R162=Q162),"",MAX(0,MIN(100,(Параметры!$B$2-Q162)/(R162-Q162)*100)))</f>
        <v/>
      </c>
      <c r="T162" s="103">
        <f>IF(ISNUMBER(Комплектация!P164),Комплектация!P164,"")</f>
        <v/>
      </c>
      <c r="U162" s="103">
        <f>IF(ISNUMBER(Комплектация!N164),Комплектация!N164,"")</f>
        <v/>
      </c>
      <c r="V162" s="104">
        <f>IF(OR(U162="",T162="",U162=0),"",MAX(0,MIN(100,(U162-T162)/U162*100)))</f>
        <v/>
      </c>
      <c r="W162" s="104">
        <f>MAX(IF(S162="",0,S162),IF(V162="",0,V162))</f>
        <v/>
      </c>
      <c r="X162" s="105">
        <f>Параметры!$B$18*W162/100</f>
        <v/>
      </c>
      <c r="Y162" s="103">
        <f>IF(MIN(Комплектация!AA164,Комплектация!AB164)-Параметры!$B$15&lt;Параметры!$B$16,1,0)+IF(MIN(Комплектация!AK164,Комплектация!AL164)-Параметры!$B$15&lt;Параметры!$B$16,1,0)+IF(MIN(Комплектация!AU164,Комплектация!AV164)-Параметры!$B$15&lt;Параметры!$B$16,1,0)+IF(MIN(Комплектация!BE164,Комплектация!BF164)-Параметры!$B$15&lt;Параметры!$B$16,1,0)</f>
        <v/>
      </c>
      <c r="Z162" s="105">
        <f>Y162*Параметры!$B$19</f>
        <v/>
      </c>
      <c r="AA162" s="107">
        <f>MAX(0,P162-X162-Z162)</f>
        <v/>
      </c>
      <c r="AB162" s="108">
        <f>SUMIFS(Прайс!$D$3:$D$11,Прайс!$A$3:$A$11,B162,Прайс!$B$3:$B$11,C162)</f>
        <v/>
      </c>
      <c r="AC162" s="105">
        <f>IF(AB162="","",AB162-AA162)</f>
        <v/>
      </c>
      <c r="AD162" s="109" t="n">
        <v>3141528.968978102</v>
      </c>
    </row>
    <row r="163">
      <c r="A163" s="101">
        <f>Комплектация!A165</f>
        <v/>
      </c>
      <c r="B163" s="101">
        <f>Комплектация!C165</f>
        <v/>
      </c>
      <c r="C163" s="102">
        <f>Комплектация!E165</f>
        <v/>
      </c>
      <c r="D163" s="103" t="n">
        <v>2044</v>
      </c>
      <c r="E163" s="103">
        <f>IF(D163="",Параметры!$B$11,MAX(1,D163-C163))</f>
        <v/>
      </c>
      <c r="F163" s="103">
        <f>MAX(0,YEAR(Параметры!$B$2)-C163)</f>
        <v/>
      </c>
      <c r="G163" s="104">
        <f>MIN(100,F163/E163*100)</f>
        <v/>
      </c>
      <c r="H163" s="104">
        <f>100-G163</f>
        <v/>
      </c>
      <c r="I163" s="103">
        <f>AVERAGE(Комплектация!BJ165,Комплектация!BP165,Комплектация!BV165,Комплектация!CB165,Комплектация!CH165,Комплектация!CN165)</f>
        <v/>
      </c>
      <c r="J163" s="103">
        <f>MAX(0,YEAR(Параметры!$B$2)-I163)</f>
        <v/>
      </c>
      <c r="K163" s="104">
        <f>MIN(100,J163/Параметры!$B$12*100)</f>
        <v/>
      </c>
      <c r="L163" s="104">
        <f>100-K163</f>
        <v/>
      </c>
      <c r="M163" s="103">
        <f>MIN(Комплектация!AA165,Комплектация!AB165,Комплектация!AK165,Комплектация!AL165,Комплектация!AU165,Комплектация!AV165,Комплектация!BE165,Комплектация!BF165)</f>
        <v/>
      </c>
      <c r="N163" s="104">
        <f>AVERAGE((100-MAX(0,MIN(100,(Параметры!$B$13-MIN(Комплектация!AA165,Комплектация!AB165))/(Параметры!$B$13-Параметры!$B$14)*100))),(100-MAX(0,MIN(100,(Параметры!$B$13-MIN(Комплектация!AK165,Комплектация!AL165))/(Параметры!$B$13-Параметры!$B$14)*100))),(100-MAX(0,MIN(100,(Параметры!$B$13-MIN(Комплектация!AU165,Комплектация!AV165))/(Параметры!$B$13-Параметры!$B$14)*100))),(100-MAX(0,MIN(100,(Параметры!$B$13-MIN(Комплектация!BE165,Комплектация!BF165))/(Параметры!$B$13-Параметры!$B$14)*100))))</f>
        <v/>
      </c>
      <c r="O163" s="104">
        <f>AVERAGE(H163,L163)</f>
        <v/>
      </c>
      <c r="P163" s="105">
        <f>Параметры!$B$3*(Параметры!$B$5*H163+Параметры!$B$6*L163+Параметры!$B$7*N163+Параметры!$B$8*O163)/100</f>
        <v/>
      </c>
      <c r="Q163" s="106" t="n">
        <v>45246</v>
      </c>
      <c r="R163" s="106" t="n">
        <v>46342</v>
      </c>
      <c r="S163" s="104">
        <f>IF(OR(Q163="",R163="",R163=Q163),"",MAX(0,MIN(100,(Параметры!$B$2-Q163)/(R163-Q163)*100)))</f>
        <v/>
      </c>
      <c r="T163" s="103">
        <f>IF(ISNUMBER(Комплектация!P165),Комплектация!P165,"")</f>
        <v/>
      </c>
      <c r="U163" s="103">
        <f>IF(ISNUMBER(Комплектация!N165),Комплектация!N165,"")</f>
        <v/>
      </c>
      <c r="V163" s="104">
        <f>IF(OR(U163="",T163="",U163=0),"",MAX(0,MIN(100,(U163-T163)/U163*100)))</f>
        <v/>
      </c>
      <c r="W163" s="104">
        <f>MAX(IF(S163="",0,S163),IF(V163="",0,V163))</f>
        <v/>
      </c>
      <c r="X163" s="105">
        <f>Параметры!$B$18*W163/100</f>
        <v/>
      </c>
      <c r="Y163" s="103">
        <f>IF(MIN(Комплектация!AA165,Комплектация!AB165)-Параметры!$B$15&lt;Параметры!$B$16,1,0)+IF(MIN(Комплектация!AK165,Комплектация!AL165)-Параметры!$B$15&lt;Параметры!$B$16,1,0)+IF(MIN(Комплектация!AU165,Комплектация!AV165)-Параметры!$B$15&lt;Параметры!$B$16,1,0)+IF(MIN(Комплектация!BE165,Комплектация!BF165)-Параметры!$B$15&lt;Параметры!$B$16,1,0)</f>
        <v/>
      </c>
      <c r="Z163" s="105">
        <f>Y163*Параметры!$B$19</f>
        <v/>
      </c>
      <c r="AA163" s="107">
        <f>MAX(0,P163-X163-Z163)</f>
        <v/>
      </c>
      <c r="AB163" s="108">
        <f>SUMIFS(Прайс!$D$3:$D$11,Прайс!$A$3:$A$11,B163,Прайс!$B$3:$B$11,C163)</f>
        <v/>
      </c>
      <c r="AC163" s="105">
        <f>IF(AB163="","",AB163-AA163)</f>
        <v/>
      </c>
      <c r="AD163" s="109" t="n">
        <v>1165512.317518248</v>
      </c>
    </row>
    <row r="164">
      <c r="A164" s="101">
        <f>Комплектация!A166</f>
        <v/>
      </c>
      <c r="B164" s="101">
        <f>Комплектация!C166</f>
        <v/>
      </c>
      <c r="C164" s="102">
        <f>Комплектация!E166</f>
        <v/>
      </c>
      <c r="D164" s="103" t="n">
        <v>2043</v>
      </c>
      <c r="E164" s="103">
        <f>IF(D164="",Параметры!$B$11,MAX(1,D164-C164))</f>
        <v/>
      </c>
      <c r="F164" s="103">
        <f>MAX(0,YEAR(Параметры!$B$2)-C164)</f>
        <v/>
      </c>
      <c r="G164" s="104">
        <f>MIN(100,F164/E164*100)</f>
        <v/>
      </c>
      <c r="H164" s="104">
        <f>100-G164</f>
        <v/>
      </c>
      <c r="I164" s="103">
        <f>AVERAGE(Комплектация!BJ166,Комплектация!BP166,Комплектация!BV166,Комплектация!CB166,Комплектация!CH166,Комплектация!CN166)</f>
        <v/>
      </c>
      <c r="J164" s="103">
        <f>MAX(0,YEAR(Параметры!$B$2)-I164)</f>
        <v/>
      </c>
      <c r="K164" s="104">
        <f>MIN(100,J164/Параметры!$B$12*100)</f>
        <v/>
      </c>
      <c r="L164" s="104">
        <f>100-K164</f>
        <v/>
      </c>
      <c r="M164" s="103">
        <f>MIN(Комплектация!AA166,Комплектация!AB166,Комплектация!AK166,Комплектация!AL166,Комплектация!AU166,Комплектация!AV166,Комплектация!BE166,Комплектация!BF166)</f>
        <v/>
      </c>
      <c r="N164" s="104">
        <f>AVERAGE((100-MAX(0,MIN(100,(Параметры!$B$13-MIN(Комплектация!AA166,Комплектация!AB166))/(Параметры!$B$13-Параметры!$B$14)*100))),(100-MAX(0,MIN(100,(Параметры!$B$13-MIN(Комплектация!AK166,Комплектация!AL166))/(Параметры!$B$13-Параметры!$B$14)*100))),(100-MAX(0,MIN(100,(Параметры!$B$13-MIN(Комплектация!AU166,Комплектация!AV166))/(Параметры!$B$13-Параметры!$B$14)*100))),(100-MAX(0,MIN(100,(Параметры!$B$13-MIN(Комплектация!BE166,Комплектация!BF166))/(Параметры!$B$13-Параметры!$B$14)*100))))</f>
        <v/>
      </c>
      <c r="O164" s="104">
        <f>AVERAGE(H164,L164)</f>
        <v/>
      </c>
      <c r="P164" s="105">
        <f>Параметры!$B$3*(Параметры!$B$5*H164+Параметры!$B$6*L164+Параметры!$B$7*N164+Параметры!$B$8*O164)/100</f>
        <v/>
      </c>
      <c r="Q164" s="106" t="n">
        <v>45891</v>
      </c>
      <c r="R164" s="106" t="n">
        <v>46621</v>
      </c>
      <c r="S164" s="104">
        <f>IF(OR(Q164="",R164="",R164=Q164),"",MAX(0,MIN(100,(Параметры!$B$2-Q164)/(R164-Q164)*100)))</f>
        <v/>
      </c>
      <c r="T164" s="103">
        <f>IF(ISNUMBER(Комплектация!P166),Комплектация!P166,"")</f>
        <v/>
      </c>
      <c r="U164" s="103">
        <f>IF(ISNUMBER(Комплектация!N166),Комплектация!N166,"")</f>
        <v/>
      </c>
      <c r="V164" s="104">
        <f>IF(OR(U164="",T164="",U164=0),"",MAX(0,MIN(100,(U164-T164)/U164*100)))</f>
        <v/>
      </c>
      <c r="W164" s="104">
        <f>MAX(IF(S164="",0,S164),IF(V164="",0,V164))</f>
        <v/>
      </c>
      <c r="X164" s="105">
        <f>Параметры!$B$18*W164/100</f>
        <v/>
      </c>
      <c r="Y164" s="103">
        <f>IF(MIN(Комплектация!AA166,Комплектация!AB166)-Параметры!$B$15&lt;Параметры!$B$16,1,0)+IF(MIN(Комплектация!AK166,Комплектация!AL166)-Параметры!$B$15&lt;Параметры!$B$16,1,0)+IF(MIN(Комплектация!AU166,Комплектация!AV166)-Параметры!$B$15&lt;Параметры!$B$16,1,0)+IF(MIN(Комплектация!BE166,Комплектация!BF166)-Параметры!$B$15&lt;Параметры!$B$16,1,0)</f>
        <v/>
      </c>
      <c r="Z164" s="105">
        <f>Y164*Параметры!$B$19</f>
        <v/>
      </c>
      <c r="AA164" s="107">
        <f>MAX(0,P164-X164-Z164)</f>
        <v/>
      </c>
      <c r="AB164" s="108">
        <f>SUMIFS(Прайс!$D$3:$D$11,Прайс!$A$3:$A$11,B164,Прайс!$B$3:$B$11,C164)</f>
        <v/>
      </c>
      <c r="AC164" s="105">
        <f>IF(AB164="","",AB164-AA164)</f>
        <v/>
      </c>
      <c r="AD164" s="109" t="n">
        <v>3193172.517123288</v>
      </c>
    </row>
    <row r="165">
      <c r="A165" s="101">
        <f>Комплектация!A167</f>
        <v/>
      </c>
      <c r="B165" s="101">
        <f>Комплектация!C167</f>
        <v/>
      </c>
      <c r="C165" s="102">
        <f>Комплектация!E167</f>
        <v/>
      </c>
      <c r="D165" s="103" t="n">
        <v>2044</v>
      </c>
      <c r="E165" s="103">
        <f>IF(D165="",Параметры!$B$11,MAX(1,D165-C165))</f>
        <v/>
      </c>
      <c r="F165" s="103">
        <f>MAX(0,YEAR(Параметры!$B$2)-C165)</f>
        <v/>
      </c>
      <c r="G165" s="104">
        <f>MIN(100,F165/E165*100)</f>
        <v/>
      </c>
      <c r="H165" s="104">
        <f>100-G165</f>
        <v/>
      </c>
      <c r="I165" s="103">
        <f>AVERAGE(Комплектация!BJ167,Комплектация!BP167,Комплектация!BV167,Комплектация!CB167,Комплектация!CH167,Комплектация!CN167)</f>
        <v/>
      </c>
      <c r="J165" s="103">
        <f>MAX(0,YEAR(Параметры!$B$2)-I165)</f>
        <v/>
      </c>
      <c r="K165" s="104">
        <f>MIN(100,J165/Параметры!$B$12*100)</f>
        <v/>
      </c>
      <c r="L165" s="104">
        <f>100-K165</f>
        <v/>
      </c>
      <c r="M165" s="103">
        <f>MIN(Комплектация!AA167,Комплектация!AB167,Комплектация!AK167,Комплектация!AL167,Комплектация!AU167,Комплектация!AV167,Комплектация!BE167,Комплектация!BF167)</f>
        <v/>
      </c>
      <c r="N165" s="104">
        <f>AVERAGE((100-MAX(0,MIN(100,(Параметры!$B$13-MIN(Комплектация!AA167,Комплектация!AB167))/(Параметры!$B$13-Параметры!$B$14)*100))),(100-MAX(0,MIN(100,(Параметры!$B$13-MIN(Комплектация!AK167,Комплектация!AL167))/(Параметры!$B$13-Параметры!$B$14)*100))),(100-MAX(0,MIN(100,(Параметры!$B$13-MIN(Комплектация!AU167,Комплектация!AV167))/(Параметры!$B$13-Параметры!$B$14)*100))),(100-MAX(0,MIN(100,(Параметры!$B$13-MIN(Комплектация!BE167,Комплектация!BF167))/(Параметры!$B$13-Параметры!$B$14)*100))))</f>
        <v/>
      </c>
      <c r="O165" s="104">
        <f>AVERAGE(H165,L165)</f>
        <v/>
      </c>
      <c r="P165" s="105">
        <f>Параметры!$B$3*(Параметры!$B$5*H165+Параметры!$B$6*L165+Параметры!$B$7*N165+Параметры!$B$8*O165)/100</f>
        <v/>
      </c>
      <c r="Q165" s="106" t="n">
        <v>45891</v>
      </c>
      <c r="R165" s="106" t="n">
        <v>46987</v>
      </c>
      <c r="S165" s="104">
        <f>IF(OR(Q165="",R165="",R165=Q165),"",MAX(0,MIN(100,(Параметры!$B$2-Q165)/(R165-Q165)*100)))</f>
        <v/>
      </c>
      <c r="T165" s="103">
        <f>IF(ISNUMBER(Комплектация!P167),Комплектация!P167,"")</f>
        <v/>
      </c>
      <c r="U165" s="103">
        <f>IF(ISNUMBER(Комплектация!N167),Комплектация!N167,"")</f>
        <v/>
      </c>
      <c r="V165" s="104">
        <f>IF(OR(U165="",T165="",U165=0),"",MAX(0,MIN(100,(U165-T165)/U165*100)))</f>
        <v/>
      </c>
      <c r="W165" s="104">
        <f>MAX(IF(S165="",0,S165),IF(V165="",0,V165))</f>
        <v/>
      </c>
      <c r="X165" s="105">
        <f>Параметры!$B$18*W165/100</f>
        <v/>
      </c>
      <c r="Y165" s="103">
        <f>IF(MIN(Комплектация!AA167,Комплектация!AB167)-Параметры!$B$15&lt;Параметры!$B$16,1,0)+IF(MIN(Комплектация!AK167,Комплектация!AL167)-Параметры!$B$15&lt;Параметры!$B$16,1,0)+IF(MIN(Комплектация!AU167,Комплектация!AV167)-Параметры!$B$15&lt;Параметры!$B$16,1,0)+IF(MIN(Комплектация!BE167,Комплектация!BF167)-Параметры!$B$15&lt;Параметры!$B$16,1,0)</f>
        <v/>
      </c>
      <c r="Z165" s="105">
        <f>Y165*Параметры!$B$19</f>
        <v/>
      </c>
      <c r="AA165" s="107">
        <f>MAX(0,P165-X165-Z165)</f>
        <v/>
      </c>
      <c r="AB165" s="108">
        <f>SUMIFS(Прайс!$D$3:$D$11,Прайс!$A$3:$A$11,B165,Прайс!$B$3:$B$11,C165)</f>
        <v/>
      </c>
      <c r="AC165" s="105">
        <f>IF(AB165="","",AB165-AA165)</f>
        <v/>
      </c>
      <c r="AD165" s="109" t="n">
        <v>3153854.01459854</v>
      </c>
    </row>
    <row r="166">
      <c r="A166" s="101">
        <f>Комплектация!A168</f>
        <v/>
      </c>
      <c r="B166" s="101">
        <f>Комплектация!C168</f>
        <v/>
      </c>
      <c r="C166" s="102">
        <f>Комплектация!E168</f>
        <v/>
      </c>
      <c r="D166" s="103" t="n">
        <v>2043</v>
      </c>
      <c r="E166" s="103">
        <f>IF(D166="",Параметры!$B$11,MAX(1,D166-C166))</f>
        <v/>
      </c>
      <c r="F166" s="103">
        <f>MAX(0,YEAR(Параметры!$B$2)-C166)</f>
        <v/>
      </c>
      <c r="G166" s="104">
        <f>MIN(100,F166/E166*100)</f>
        <v/>
      </c>
      <c r="H166" s="104">
        <f>100-G166</f>
        <v/>
      </c>
      <c r="I166" s="103">
        <f>AVERAGE(Комплектация!BJ168,Комплектация!BP168,Комплектация!BV168,Комплектация!CB168,Комплектация!CH168,Комплектация!CN168)</f>
        <v/>
      </c>
      <c r="J166" s="103">
        <f>MAX(0,YEAR(Параметры!$B$2)-I166)</f>
        <v/>
      </c>
      <c r="K166" s="104">
        <f>MIN(100,J166/Параметры!$B$12*100)</f>
        <v/>
      </c>
      <c r="L166" s="104">
        <f>100-K166</f>
        <v/>
      </c>
      <c r="M166" s="103">
        <f>MIN(Комплектация!AA168,Комплектация!AB168,Комплектация!AK168,Комплектация!AL168,Комплектация!AU168,Комплектация!AV168,Комплектация!BE168,Комплектация!BF168)</f>
        <v/>
      </c>
      <c r="N166" s="104">
        <f>AVERAGE((100-MAX(0,MIN(100,(Параметры!$B$13-MIN(Комплектация!AA168,Комплектация!AB168))/(Параметры!$B$13-Параметры!$B$14)*100))),(100-MAX(0,MIN(100,(Параметры!$B$13-MIN(Комплектация!AK168,Комплектация!AL168))/(Параметры!$B$13-Параметры!$B$14)*100))),(100-MAX(0,MIN(100,(Параметры!$B$13-MIN(Комплектация!AU168,Комплектация!AV168))/(Параметры!$B$13-Параметры!$B$14)*100))),(100-MAX(0,MIN(100,(Параметры!$B$13-MIN(Комплектация!BE168,Комплектация!BF168))/(Параметры!$B$13-Параметры!$B$14)*100))))</f>
        <v/>
      </c>
      <c r="O166" s="104">
        <f>AVERAGE(H166,L166)</f>
        <v/>
      </c>
      <c r="P166" s="105">
        <f>Параметры!$B$3*(Параметры!$B$5*H166+Параметры!$B$6*L166+Параметры!$B$7*N166+Параметры!$B$8*O166)/100</f>
        <v/>
      </c>
      <c r="Q166" s="106" t="n">
        <v>45790</v>
      </c>
      <c r="R166" s="106" t="n">
        <v>46886</v>
      </c>
      <c r="S166" s="104">
        <f>IF(OR(Q166="",R166="",R166=Q166),"",MAX(0,MIN(100,(Параметры!$B$2-Q166)/(R166-Q166)*100)))</f>
        <v/>
      </c>
      <c r="T166" s="103">
        <f>IF(ISNUMBER(Комплектация!P168),Комплектация!P168,"")</f>
        <v/>
      </c>
      <c r="U166" s="103">
        <f>IF(ISNUMBER(Комплектация!N168),Комплектация!N168,"")</f>
        <v/>
      </c>
      <c r="V166" s="104">
        <f>IF(OR(U166="",T166="",U166=0),"",MAX(0,MIN(100,(U166-T166)/U166*100)))</f>
        <v/>
      </c>
      <c r="W166" s="104">
        <f>MAX(IF(S166="",0,S166),IF(V166="",0,V166))</f>
        <v/>
      </c>
      <c r="X166" s="105">
        <f>Параметры!$B$18*W166/100</f>
        <v/>
      </c>
      <c r="Y166" s="103">
        <f>IF(MIN(Комплектация!AA168,Комплектация!AB168)-Параметры!$B$15&lt;Параметры!$B$16,1,0)+IF(MIN(Комплектация!AK168,Комплектация!AL168)-Параметры!$B$15&lt;Параметры!$B$16,1,0)+IF(MIN(Комплектация!AU168,Комплектация!AV168)-Параметры!$B$15&lt;Параметры!$B$16,1,0)+IF(MIN(Комплектация!BE168,Комплектация!BF168)-Параметры!$B$15&lt;Параметры!$B$16,1,0)</f>
        <v/>
      </c>
      <c r="Z166" s="105">
        <f>Y166*Параметры!$B$19</f>
        <v/>
      </c>
      <c r="AA166" s="107">
        <f>MAX(0,P166-X166-Z166)</f>
        <v/>
      </c>
      <c r="AB166" s="108">
        <f>SUMIFS(Прайс!$D$3:$D$11,Прайс!$A$3:$A$11,B166,Прайс!$B$3:$B$11,C166)</f>
        <v/>
      </c>
      <c r="AC166" s="105">
        <f>IF(AB166="","",AB166-AA166)</f>
        <v/>
      </c>
      <c r="AD166" s="109" t="n">
        <v>3084846.487226277</v>
      </c>
    </row>
    <row r="167">
      <c r="A167" s="101">
        <f>Комплектация!A169</f>
        <v/>
      </c>
      <c r="B167" s="101">
        <f>Комплектация!C169</f>
        <v/>
      </c>
      <c r="C167" s="102">
        <f>Комплектация!E169</f>
        <v/>
      </c>
      <c r="D167" s="103" t="n">
        <v>2044</v>
      </c>
      <c r="E167" s="103">
        <f>IF(D167="",Параметры!$B$11,MAX(1,D167-C167))</f>
        <v/>
      </c>
      <c r="F167" s="103">
        <f>MAX(0,YEAR(Параметры!$B$2)-C167)</f>
        <v/>
      </c>
      <c r="G167" s="104">
        <f>MIN(100,F167/E167*100)</f>
        <v/>
      </c>
      <c r="H167" s="104">
        <f>100-G167</f>
        <v/>
      </c>
      <c r="I167" s="103">
        <f>AVERAGE(Комплектация!BJ169,Комплектация!BP169,Комплектация!BV169,Комплектация!CB169,Комплектация!CH169,Комплектация!CN169)</f>
        <v/>
      </c>
      <c r="J167" s="103">
        <f>MAX(0,YEAR(Параметры!$B$2)-I167)</f>
        <v/>
      </c>
      <c r="K167" s="104">
        <f>MIN(100,J167/Параметры!$B$12*100)</f>
        <v/>
      </c>
      <c r="L167" s="104">
        <f>100-K167</f>
        <v/>
      </c>
      <c r="M167" s="103">
        <f>MIN(Комплектация!AA169,Комплектация!AB169,Комплектация!AK169,Комплектация!AL169,Комплектация!AU169,Комплектация!AV169,Комплектация!BE169,Комплектация!BF169)</f>
        <v/>
      </c>
      <c r="N167" s="104">
        <f>AVERAGE((100-MAX(0,MIN(100,(Параметры!$B$13-MIN(Комплектация!AA169,Комплектация!AB169))/(Параметры!$B$13-Параметры!$B$14)*100))),(100-MAX(0,MIN(100,(Параметры!$B$13-MIN(Комплектация!AK169,Комплектация!AL169))/(Параметры!$B$13-Параметры!$B$14)*100))),(100-MAX(0,MIN(100,(Параметры!$B$13-MIN(Комплектация!AU169,Комплектация!AV169))/(Параметры!$B$13-Параметры!$B$14)*100))),(100-MAX(0,MIN(100,(Параметры!$B$13-MIN(Комплектация!BE169,Комплектация!BF169))/(Параметры!$B$13-Параметры!$B$14)*100))))</f>
        <v/>
      </c>
      <c r="O167" s="104">
        <f>AVERAGE(H167,L167)</f>
        <v/>
      </c>
      <c r="P167" s="105">
        <f>Параметры!$B$3*(Параметры!$B$5*H167+Параметры!$B$6*L167+Параметры!$B$7*N167+Параметры!$B$8*O167)/100</f>
        <v/>
      </c>
      <c r="Q167" s="106" t="n">
        <v>45654</v>
      </c>
      <c r="R167" s="106" t="n">
        <v>46384</v>
      </c>
      <c r="S167" s="104">
        <f>IF(OR(Q167="",R167="",R167=Q167),"",MAX(0,MIN(100,(Параметры!$B$2-Q167)/(R167-Q167)*100)))</f>
        <v/>
      </c>
      <c r="T167" s="103">
        <f>IF(ISNUMBER(Комплектация!P169),Комплектация!P169,"")</f>
        <v/>
      </c>
      <c r="U167" s="103">
        <f>IF(ISNUMBER(Комплектация!N169),Комплектация!N169,"")</f>
        <v/>
      </c>
      <c r="V167" s="104">
        <f>IF(OR(U167="",T167="",U167=0),"",MAX(0,MIN(100,(U167-T167)/U167*100)))</f>
        <v/>
      </c>
      <c r="W167" s="104">
        <f>MAX(IF(S167="",0,S167),IF(V167="",0,V167))</f>
        <v/>
      </c>
      <c r="X167" s="105">
        <f>Параметры!$B$18*W167/100</f>
        <v/>
      </c>
      <c r="Y167" s="103">
        <f>IF(MIN(Комплектация!AA169,Комплектация!AB169)-Параметры!$B$15&lt;Параметры!$B$16,1,0)+IF(MIN(Комплектация!AK169,Комплектация!AL169)-Параметры!$B$15&lt;Параметры!$B$16,1,0)+IF(MIN(Комплектация!AU169,Комплектация!AV169)-Параметры!$B$15&lt;Параметры!$B$16,1,0)+IF(MIN(Комплектация!BE169,Комплектация!BF169)-Параметры!$B$15&lt;Параметры!$B$16,1,0)</f>
        <v/>
      </c>
      <c r="Z167" s="105">
        <f>Y167*Параметры!$B$19</f>
        <v/>
      </c>
      <c r="AA167" s="107">
        <f>MAX(0,P167-X167-Z167)</f>
        <v/>
      </c>
      <c r="AB167" s="108">
        <f>SUMIFS(Прайс!$D$3:$D$11,Прайс!$A$3:$A$11,B167,Прайс!$B$3:$B$11,C167)</f>
        <v/>
      </c>
      <c r="AC167" s="105">
        <f>IF(AB167="","",AB167-AA167)</f>
        <v/>
      </c>
      <c r="AD167" s="109" t="n">
        <v>2766113.013698631</v>
      </c>
    </row>
    <row r="168">
      <c r="A168" s="101">
        <f>Комплектация!A170</f>
        <v/>
      </c>
      <c r="B168" s="101">
        <f>Комплектация!C170</f>
        <v/>
      </c>
      <c r="C168" s="102">
        <f>Комплектация!E170</f>
        <v/>
      </c>
      <c r="D168" s="103" t="n">
        <v>2043</v>
      </c>
      <c r="E168" s="103">
        <f>IF(D168="",Параметры!$B$11,MAX(1,D168-C168))</f>
        <v/>
      </c>
      <c r="F168" s="103">
        <f>MAX(0,YEAR(Параметры!$B$2)-C168)</f>
        <v/>
      </c>
      <c r="G168" s="104">
        <f>MIN(100,F168/E168*100)</f>
        <v/>
      </c>
      <c r="H168" s="104">
        <f>100-G168</f>
        <v/>
      </c>
      <c r="I168" s="103">
        <f>AVERAGE(Комплектация!BJ170,Комплектация!BP170,Комплектация!BV170,Комплектация!CB170,Комплектация!CH170,Комплектация!CN170)</f>
        <v/>
      </c>
      <c r="J168" s="103">
        <f>MAX(0,YEAR(Параметры!$B$2)-I168)</f>
        <v/>
      </c>
      <c r="K168" s="104">
        <f>MIN(100,J168/Параметры!$B$12*100)</f>
        <v/>
      </c>
      <c r="L168" s="104">
        <f>100-K168</f>
        <v/>
      </c>
      <c r="M168" s="103">
        <f>MIN(Комплектация!AA170,Комплектация!AB170,Комплектация!AK170,Комплектация!AL170,Комплектация!AU170,Комплектация!AV170,Комплектация!BE170,Комплектация!BF170)</f>
        <v/>
      </c>
      <c r="N168" s="104">
        <f>AVERAGE((100-MAX(0,MIN(100,(Параметры!$B$13-MIN(Комплектация!AA170,Комплектация!AB170))/(Параметры!$B$13-Параметры!$B$14)*100))),(100-MAX(0,MIN(100,(Параметры!$B$13-MIN(Комплектация!AK170,Комплектация!AL170))/(Параметры!$B$13-Параметры!$B$14)*100))),(100-MAX(0,MIN(100,(Параметры!$B$13-MIN(Комплектация!AU170,Комплектация!AV170))/(Параметры!$B$13-Параметры!$B$14)*100))),(100-MAX(0,MIN(100,(Параметры!$B$13-MIN(Комплектация!BE170,Комплектация!BF170))/(Параметры!$B$13-Параметры!$B$14)*100))))</f>
        <v/>
      </c>
      <c r="O168" s="104">
        <f>AVERAGE(H168,L168)</f>
        <v/>
      </c>
      <c r="P168" s="105">
        <f>Параметры!$B$3*(Параметры!$B$5*H168+Параметры!$B$6*L168+Параметры!$B$7*N168+Параметры!$B$8*O168)/100</f>
        <v/>
      </c>
      <c r="Q168" s="106" t="n">
        <v>45954</v>
      </c>
      <c r="R168" s="106" t="n">
        <v>46684</v>
      </c>
      <c r="S168" s="104">
        <f>IF(OR(Q168="",R168="",R168=Q168),"",MAX(0,MIN(100,(Параметры!$B$2-Q168)/(R168-Q168)*100)))</f>
        <v/>
      </c>
      <c r="T168" s="103">
        <f>IF(ISNUMBER(Комплектация!P170),Комплектация!P170,"")</f>
        <v/>
      </c>
      <c r="U168" s="103">
        <f>IF(ISNUMBER(Комплектация!N170),Комплектация!N170,"")</f>
        <v/>
      </c>
      <c r="V168" s="104">
        <f>IF(OR(U168="",T168="",U168=0),"",MAX(0,MIN(100,(U168-T168)/U168*100)))</f>
        <v/>
      </c>
      <c r="W168" s="104">
        <f>MAX(IF(S168="",0,S168),IF(V168="",0,V168))</f>
        <v/>
      </c>
      <c r="X168" s="105">
        <f>Параметры!$B$18*W168/100</f>
        <v/>
      </c>
      <c r="Y168" s="103">
        <f>IF(MIN(Комплектация!AA170,Комплектация!AB170)-Параметры!$B$15&lt;Параметры!$B$16,1,0)+IF(MIN(Комплектация!AK170,Комплектация!AL170)-Параметры!$B$15&lt;Параметры!$B$16,1,0)+IF(MIN(Комплектация!AU170,Комплектация!AV170)-Параметры!$B$15&lt;Параметры!$B$16,1,0)+IF(MIN(Комплектация!BE170,Комплектация!BF170)-Параметры!$B$15&lt;Параметры!$B$16,1,0)</f>
        <v/>
      </c>
      <c r="Z168" s="105">
        <f>Y168*Параметры!$B$19</f>
        <v/>
      </c>
      <c r="AA168" s="107">
        <f>MAX(0,P168-X168-Z168)</f>
        <v/>
      </c>
      <c r="AB168" s="108">
        <f>SUMIFS(Прайс!$D$3:$D$11,Прайс!$A$3:$A$11,B168,Прайс!$B$3:$B$11,C168)</f>
        <v/>
      </c>
      <c r="AC168" s="105">
        <f>IF(AB168="","",AB168-AA168)</f>
        <v/>
      </c>
      <c r="AD168" s="109" t="n">
        <v>3221677.654109589</v>
      </c>
    </row>
  </sheetData>
  <mergeCells count="1">
    <mergeCell ref="A1:A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selection activeCell="A1" sqref="A1"/>
    </sheetView>
  </sheetViews>
  <sheetFormatPr baseColWidth="8" defaultRowHeight="15"/>
  <cols>
    <col width="46" customWidth="1" style="74" min="1" max="1"/>
    <col width="18" customWidth="1" style="74" min="2" max="2"/>
    <col width="60" customWidth="1" style="74" min="3" max="3"/>
    <col width="18" customWidth="1" style="74" min="4" max="4"/>
    <col width="16" customWidth="1" style="74" min="5" max="5"/>
    <col width="9" customWidth="1" style="74" min="6" max="6"/>
  </cols>
  <sheetData>
    <row r="1">
      <c r="A1" s="80" t="inlineStr">
        <is>
          <t>Свод оценки — методика v2</t>
        </is>
      </c>
    </row>
    <row r="2">
      <c r="A2" s="110" t="inlineStr">
        <is>
          <t>Компонентный затратный подход: стоимость = Σ(доля компонента × остаточная %) − обязательства по ремонтам.</t>
        </is>
      </c>
    </row>
    <row r="4">
      <c r="A4" s="111" t="inlineStr">
        <is>
          <t>Показатель</t>
        </is>
      </c>
      <c r="B4" s="111" t="inlineStr">
        <is>
          <t>Значение</t>
        </is>
      </c>
      <c r="C4" s="111" t="inlineStr">
        <is>
          <t>Комментарий</t>
        </is>
      </c>
    </row>
    <row r="5">
      <c r="A5" s="81" t="inlineStr">
        <is>
          <t>Количество вагонов</t>
        </is>
      </c>
      <c r="B5" s="99">
        <f>COUNT(Оценка!$AA$3:$AA$168)</f>
        <v/>
      </c>
      <c r="C5" s="84" t="inlineStr">
        <is>
          <t>Оценённых по модели v2</t>
        </is>
      </c>
    </row>
    <row r="6">
      <c r="A6" s="81" t="inlineStr">
        <is>
          <t>Средняя стоимость v2, ₽</t>
        </is>
      </c>
      <c r="B6" s="99">
        <f>AVERAGE(Оценка!$AA$3:$AA$168)</f>
        <v/>
      </c>
      <c r="C6" s="84" t="inlineStr">
        <is>
          <t>Итоговая с учётом обязательств</t>
        </is>
      </c>
    </row>
    <row r="7">
      <c r="A7" s="81" t="inlineStr">
        <is>
          <t>Минимальная стоимость v2, ₽</t>
        </is>
      </c>
      <c r="B7" s="99">
        <f>MIN(Оценка!$AA$3:$AA$168)</f>
        <v/>
      </c>
      <c r="C7" s="84" t="inlineStr"/>
    </row>
    <row r="8">
      <c r="A8" s="81" t="inlineStr">
        <is>
          <t>Максимальная стоимость v2, ₽</t>
        </is>
      </c>
      <c r="B8" s="99">
        <f>MAX(Оценка!$AA$3:$AA$168)</f>
        <v/>
      </c>
      <c r="C8" s="84" t="inlineStr"/>
    </row>
    <row r="9">
      <c r="A9" s="81" t="inlineStr">
        <is>
          <t>Суммарная стоимость парка v2, ₽</t>
        </is>
      </c>
      <c r="B9" s="99">
        <f>SUM(Оценка!$AA$3:$AA$168)</f>
        <v/>
      </c>
      <c r="C9" s="84" t="inlineStr">
        <is>
          <t>Итог по 166 вагонам</t>
        </is>
      </c>
    </row>
    <row r="11">
      <c r="A11" s="81" t="inlineStr">
        <is>
          <t>Средняя оценка v1 (справочно), ₽</t>
        </is>
      </c>
      <c r="B11" s="99">
        <f>AVERAGE(Оценка!$AD$3:$AD$168)</f>
        <v/>
      </c>
      <c r="C11" s="84" t="inlineStr">
        <is>
          <t>Из исходной модели (возраст+обод, 50/50)</t>
        </is>
      </c>
    </row>
    <row r="12">
      <c r="A12" s="81" t="inlineStr">
        <is>
          <t>Разница средних v2 − v1, ₽</t>
        </is>
      </c>
      <c r="B12" s="99">
        <f>AVERAGE(Оценка!$AA$3:$AA$168)-AVERAGE(Оценка!$AD$3:$AD$168)</f>
        <v/>
      </c>
      <c r="C12" s="84" t="inlineStr">
        <is>
          <t>Влияние новой методики</t>
        </is>
      </c>
    </row>
    <row r="13">
      <c r="A13" s="81" t="inlineStr">
        <is>
          <t>Разница средних v2 − v1, %</t>
        </is>
      </c>
      <c r="B13" s="112">
        <f>(AVERAGE(Оценка!$AA$3:$AA$168)-AVERAGE(Оценка!$AD$3:$AD$168))/AVERAGE(Оценка!$AD$3:$AD$168)*100</f>
        <v/>
      </c>
      <c r="C13" s="84" t="inlineStr"/>
    </row>
    <row r="15">
      <c r="A15" s="111" t="inlineStr">
        <is>
          <t>Сравнение с ценой собственника</t>
        </is>
      </c>
      <c r="B15" s="111" t="inlineStr">
        <is>
          <t>Значение</t>
        </is>
      </c>
      <c r="C15" s="111" t="inlineStr">
        <is>
          <t>Комментарий</t>
        </is>
      </c>
    </row>
    <row r="16">
      <c r="A16" s="81" t="inlineStr">
        <is>
          <t>Итого прайс собственника, ₽</t>
        </is>
      </c>
      <c r="B16" s="99">
        <f>SUM(Оценка!$AB$3:$AB$168)</f>
        <v/>
      </c>
      <c r="C16" s="84" t="inlineStr">
        <is>
          <t>Сумма запрошенных цен (без НДС), лист «Прайс»</t>
        </is>
      </c>
    </row>
    <row r="17">
      <c r="A17" s="81" t="inlineStr">
        <is>
          <t>Итого оценка v2 (износ), ₽</t>
        </is>
      </c>
      <c r="B17" s="99">
        <f>SUM(Оценка!$AA$3:$AA$168)</f>
        <v/>
      </c>
      <c r="C17" s="84" t="inlineStr">
        <is>
          <t>Компонентная стоимость − обязательства</t>
        </is>
      </c>
    </row>
    <row r="18">
      <c r="A18" s="81" t="inlineStr">
        <is>
          <t>Переоценка прайса к v2, ₽</t>
        </is>
      </c>
      <c r="B18" s="99">
        <f>SUM(Оценка!$AB$3:$AB$168)-SUM(Оценка!$AA$3:$AA$168)</f>
        <v/>
      </c>
      <c r="C18" s="84" t="inlineStr">
        <is>
          <t>Насколько прайс выше стоимости по износу</t>
        </is>
      </c>
    </row>
    <row r="19">
      <c r="A19" s="81" t="inlineStr">
        <is>
          <t>Переоценка прайса к v2, %</t>
        </is>
      </c>
      <c r="B19" s="112">
        <f>(SUM(Оценка!$AB$3:$AB$168)-SUM(Оценка!$AA$3:$AA$168))/SUM(Оценка!$AA$3:$AA$168)*100</f>
        <v/>
      </c>
      <c r="C19" s="84" t="inlineStr">
        <is>
          <t>Прайс дороже оценки на столько</t>
        </is>
      </c>
    </row>
    <row r="20">
      <c r="A20" s="81" t="inlineStr">
        <is>
          <t>Итого оценка v1 (справочно), ₽</t>
        </is>
      </c>
      <c r="B20" s="99">
        <f>SUM(Оценка!$AD$3:$AD$168)</f>
        <v/>
      </c>
      <c r="C20" s="84" t="inlineStr">
        <is>
          <t>Почти равна прайсу — v1, как и прайс, ценит по возрасту</t>
        </is>
      </c>
    </row>
    <row r="21">
      <c r="A21" s="81" t="inlineStr">
        <is>
          <t>Вагонов: прайс ВЫШЕ оценки v2 (переоценены)</t>
        </is>
      </c>
      <c r="B21" s="99">
        <f>COUNTIF(Оценка!$AC$3:$AC$168,"&gt;0")</f>
        <v/>
      </c>
      <c r="C21" s="84" t="inlineStr">
        <is>
          <t>Есть основание торговаться вниз</t>
        </is>
      </c>
    </row>
    <row r="22">
      <c r="A22" s="81" t="inlineStr">
        <is>
          <t>Вагонов: прайс НИЖЕ оценки v2 (привлекательны)</t>
        </is>
      </c>
      <c r="B22" s="99">
        <f>COUNTIF(Оценка!$AC$3:$AC$168,"&lt;0")</f>
        <v/>
      </c>
      <c r="C22" s="84" t="inlineStr">
        <is>
          <t>Прайс уже ниже стоимости по состоянию</t>
        </is>
      </c>
    </row>
    <row r="24">
      <c r="A24" s="86" t="inlineStr">
        <is>
          <t>Что изменено в методике v2 против v1:</t>
        </is>
      </c>
      <c r="B24" s="87" t="n"/>
      <c r="C24" s="87" t="n"/>
    </row>
    <row r="25">
      <c r="A25" s="113" t="inlineStr">
        <is>
          <t>1. Компонентная декомпозиция</t>
        </is>
      </c>
      <c r="C25" s="84" t="inlineStr">
        <is>
          <t>Котёл+рама / тележки(литьё) / КП / прочее вместо 50-на-50</t>
        </is>
      </c>
    </row>
    <row r="26">
      <c r="A26" s="113" t="inlineStr">
        <is>
          <t>2. Индивидуальный срок службы</t>
        </is>
      </c>
      <c r="C26" s="84" t="inlineStr">
        <is>
          <t>Износ котла — по дате СС из данных, не общий 32 г.</t>
        </is>
      </c>
    </row>
    <row r="27">
      <c r="A27" s="113" t="inlineStr">
        <is>
          <t>3. Литьё тележек как компонент</t>
        </is>
      </c>
      <c r="C27" s="84" t="inlineStr">
        <is>
          <t>Использованы годы боковых рам и надрессорных балок</t>
        </is>
      </c>
    </row>
    <row r="28">
      <c r="A28" s="113" t="inlineStr">
        <is>
          <t>4. Обод по полному диапазону</t>
        </is>
      </c>
      <c r="C28" s="84" t="inlineStr">
        <is>
          <t>Износ обода от новой (70 мм) до предела, а не в полосе 50→27</t>
        </is>
      </c>
    </row>
    <row r="29">
      <c r="A29" s="113" t="inlineStr">
        <is>
          <t>5. Пробег как ресурс</t>
        </is>
      </c>
      <c r="C29" s="84" t="inlineStr">
        <is>
          <t>Остаточный пробег включён в позицию обслуживания</t>
        </is>
      </c>
    </row>
    <row r="30">
      <c r="A30" s="113" t="inlineStr">
        <is>
          <t>6. ДР как обязательство в ₽</t>
        </is>
      </c>
      <c r="C30" s="84" t="inlineStr">
        <is>
          <t>Стоимость предстоящего ремонта вычитается в рублях</t>
        </is>
      </c>
    </row>
    <row r="31">
      <c r="A31" s="113" t="inlineStr">
        <is>
          <t>7. Замена негодных КП в ₽</t>
        </is>
      </c>
      <c r="C31" s="84" t="inlineStr">
        <is>
          <t>Негодные к обточке КП — вычет стоимости замены</t>
        </is>
      </c>
    </row>
    <row r="32">
      <c r="A32" s="113" t="inlineStr">
        <is>
          <t>8. Рыночная сверка</t>
        </is>
      </c>
      <c r="C32" s="84" t="inlineStr">
        <is>
          <t>Колонка «Цена продавца» для сравнения (затратный↔рыночный)</t>
        </is>
      </c>
    </row>
    <row r="34">
      <c r="A34" s="86" t="inlineStr">
        <is>
          <t>Ограничения — требуют данных/уточнения:</t>
        </is>
      </c>
      <c r="B34" s="87" t="n"/>
      <c r="C34" s="87" t="n"/>
    </row>
    <row r="35">
      <c r="A35" s="81" t="inlineStr">
        <is>
          <t>• Толщина гребня</t>
        </is>
      </c>
      <c r="C35" s="84" t="inlineStr">
        <is>
          <t>В источнике = 0 (не собрана). Добавить в износ КП после замера.</t>
        </is>
      </c>
    </row>
    <row r="36">
      <c r="A36" s="81" t="inlineStr">
        <is>
          <t>• Доли компонентов и цены ремонтов</t>
        </is>
      </c>
      <c r="C36" s="84" t="inlineStr">
        <is>
          <t>Заданы как допущения на листе «Параметры» — заменить фактикой.</t>
        </is>
      </c>
    </row>
    <row r="37">
      <c r="A37" s="81" t="inlineStr">
        <is>
          <t>• Состояние котла (коррозия, толщина стенки)</t>
        </is>
      </c>
      <c r="C37" s="84" t="inlineStr">
        <is>
          <t>Нет в данных; износ тела аппроксимирован сроком службы.</t>
        </is>
      </c>
    </row>
    <row r="38">
      <c r="A38" s="81" t="inlineStr">
        <is>
          <t>• Единая цена новой для всех моделей</t>
        </is>
      </c>
      <c r="C38" s="84" t="inlineStr">
        <is>
          <t>2020 г. (15-1219-1П, 69 тн) — премиальная модель; при единой цене новой её оценка занижена, переоценка прайса по ней завышена.</t>
        </is>
      </c>
    </row>
    <row r="39">
      <c r="A39" s="81" t="inlineStr">
        <is>
          <t>• Функциональный / внешний износ</t>
        </is>
      </c>
      <c r="C39" s="84" t="inlineStr">
        <is>
          <t>Не учтён (тип цистерны, ставка аренды, регуляторные лимиты).</t>
        </is>
      </c>
    </row>
    <row r="41">
      <c r="A41" s="92" t="inlineStr">
        <is>
          <t>Модель / год</t>
        </is>
      </c>
      <c r="B41" s="92" t="inlineStr">
        <is>
          <t>Кол-во</t>
        </is>
      </c>
      <c r="C41" s="92" t="inlineStr">
        <is>
          <t>Прайс ед., ₽</t>
        </is>
      </c>
      <c r="D41" s="92" t="inlineStr">
        <is>
          <t>Оценка v2 ед., ₽</t>
        </is>
      </c>
      <c r="E41" s="92" t="inlineStr">
        <is>
          <t>Δ прайс−v2, ₽</t>
        </is>
      </c>
      <c r="F41" s="92" t="inlineStr">
        <is>
          <t>Δ, %</t>
        </is>
      </c>
    </row>
    <row r="42">
      <c r="A42" s="114" t="inlineStr">
        <is>
          <t>15-1219-1П · 2020</t>
        </is>
      </c>
      <c r="B42" s="115">
        <f>COUNTIFS(Оценка!$B$3:$B$168,"15-1219-1П",Оценка!$C$3:$C$168,2020)</f>
        <v/>
      </c>
      <c r="C42" s="116">
        <f>AVERAGEIFS(Оценка!$AB$3:$AB$168,Оценка!$B$3:$B$168,"15-1219-1П",Оценка!$C$3:$C$168,2020)</f>
        <v/>
      </c>
      <c r="D42" s="116">
        <f>AVERAGEIFS(Оценка!$AA$3:$AA$168,Оценка!$B$3:$B$168,"15-1219-1П",Оценка!$C$3:$C$168,2020)</f>
        <v/>
      </c>
      <c r="E42" s="116">
        <f>C42-D42</f>
        <v/>
      </c>
      <c r="F42" s="117">
        <f>IF(C42=0,0,(C42-D42)/C42*100)</f>
        <v/>
      </c>
    </row>
    <row r="43">
      <c r="A43" s="114" t="inlineStr">
        <is>
          <t>15-150-04П · 2011</t>
        </is>
      </c>
      <c r="B43" s="115">
        <f>COUNTIFS(Оценка!$B$3:$B$168,"15-150-04П",Оценка!$C$3:$C$168,2011)</f>
        <v/>
      </c>
      <c r="C43" s="116">
        <f>AVERAGEIFS(Оценка!$AB$3:$AB$168,Оценка!$B$3:$B$168,"15-150-04П",Оценка!$C$3:$C$168,2011)</f>
        <v/>
      </c>
      <c r="D43" s="116">
        <f>AVERAGEIFS(Оценка!$AA$3:$AA$168,Оценка!$B$3:$B$168,"15-150-04П",Оценка!$C$3:$C$168,2011)</f>
        <v/>
      </c>
      <c r="E43" s="116">
        <f>C43-D43</f>
        <v/>
      </c>
      <c r="F43" s="117">
        <f>IF(C43=0,0,(C43-D43)/C43*100)</f>
        <v/>
      </c>
    </row>
    <row r="44">
      <c r="A44" s="114" t="inlineStr">
        <is>
          <t>15-150-04П · 2012</t>
        </is>
      </c>
      <c r="B44" s="115">
        <f>COUNTIFS(Оценка!$B$3:$B$168,"15-150-04П",Оценка!$C$3:$C$168,2012)</f>
        <v/>
      </c>
      <c r="C44" s="116">
        <f>AVERAGEIFS(Оценка!$AB$3:$AB$168,Оценка!$B$3:$B$168,"15-150-04П",Оценка!$C$3:$C$168,2012)</f>
        <v/>
      </c>
      <c r="D44" s="116">
        <f>AVERAGEIFS(Оценка!$AA$3:$AA$168,Оценка!$B$3:$B$168,"15-150-04П",Оценка!$C$3:$C$168,2012)</f>
        <v/>
      </c>
      <c r="E44" s="116">
        <f>C44-D44</f>
        <v/>
      </c>
      <c r="F44" s="117">
        <f>IF(C44=0,0,(C44-D44)/C44*100)</f>
        <v/>
      </c>
    </row>
    <row r="45">
      <c r="A45" s="114" t="inlineStr">
        <is>
          <t>15-150-04П · 2015</t>
        </is>
      </c>
      <c r="B45" s="115">
        <f>COUNTIFS(Оценка!$B$3:$B$168,"15-150-04П",Оценка!$C$3:$C$168,2015)</f>
        <v/>
      </c>
      <c r="C45" s="116">
        <f>AVERAGEIFS(Оценка!$AB$3:$AB$168,Оценка!$B$3:$B$168,"15-150-04П",Оценка!$C$3:$C$168,2015)</f>
        <v/>
      </c>
      <c r="D45" s="116">
        <f>AVERAGEIFS(Оценка!$AA$3:$AA$168,Оценка!$B$3:$B$168,"15-150-04П",Оценка!$C$3:$C$168,2015)</f>
        <v/>
      </c>
      <c r="E45" s="116">
        <f>C45-D45</f>
        <v/>
      </c>
      <c r="F45" s="117">
        <f>IF(C45=0,0,(C45-D45)/C45*100)</f>
        <v/>
      </c>
    </row>
    <row r="46">
      <c r="A46" s="114" t="inlineStr">
        <is>
          <t>15-1755П · 2013</t>
        </is>
      </c>
      <c r="B46" s="115">
        <f>COUNTIFS(Оценка!$B$3:$B$168,"15-1755П",Оценка!$C$3:$C$168,2013)</f>
        <v/>
      </c>
      <c r="C46" s="116">
        <f>AVERAGEIFS(Оценка!$AB$3:$AB$168,Оценка!$B$3:$B$168,"15-1755П",Оценка!$C$3:$C$168,2013)</f>
        <v/>
      </c>
      <c r="D46" s="116">
        <f>AVERAGEIFS(Оценка!$AA$3:$AA$168,Оценка!$B$3:$B$168,"15-1755П",Оценка!$C$3:$C$168,2013)</f>
        <v/>
      </c>
      <c r="E46" s="116">
        <f>C46-D46</f>
        <v/>
      </c>
      <c r="F46" s="117">
        <f>IF(C46=0,0,(C46-D46)/C46*100)</f>
        <v/>
      </c>
    </row>
    <row r="47">
      <c r="A47" s="114" t="inlineStr">
        <is>
          <t>15-1755П · 2014</t>
        </is>
      </c>
      <c r="B47" s="115">
        <f>COUNTIFS(Оценка!$B$3:$B$168,"15-1755П",Оценка!$C$3:$C$168,2014)</f>
        <v/>
      </c>
      <c r="C47" s="116">
        <f>AVERAGEIFS(Оценка!$AB$3:$AB$168,Оценка!$B$3:$B$168,"15-1755П",Оценка!$C$3:$C$168,2014)</f>
        <v/>
      </c>
      <c r="D47" s="116">
        <f>AVERAGEIFS(Оценка!$AA$3:$AA$168,Оценка!$B$3:$B$168,"15-1755П",Оценка!$C$3:$C$168,2014)</f>
        <v/>
      </c>
      <c r="E47" s="116">
        <f>C47-D47</f>
        <v/>
      </c>
      <c r="F47" s="117">
        <f>IF(C47=0,0,(C47-D47)/C47*100)</f>
        <v/>
      </c>
    </row>
    <row r="48">
      <c r="A48" s="114" t="inlineStr">
        <is>
          <t>15-5103-7П · 2011</t>
        </is>
      </c>
      <c r="B48" s="115">
        <f>COUNTIFS(Оценка!$B$3:$B$168,"15-5103-7П",Оценка!$C$3:$C$168,2011)</f>
        <v/>
      </c>
      <c r="C48" s="116">
        <f>AVERAGEIFS(Оценка!$AB$3:$AB$168,Оценка!$B$3:$B$168,"15-5103-7П",Оценка!$C$3:$C$168,2011)</f>
        <v/>
      </c>
      <c r="D48" s="116">
        <f>AVERAGEIFS(Оценка!$AA$3:$AA$168,Оценка!$B$3:$B$168,"15-5103-7П",Оценка!$C$3:$C$168,2011)</f>
        <v/>
      </c>
      <c r="E48" s="116">
        <f>C48-D48</f>
        <v/>
      </c>
      <c r="F48" s="117">
        <f>IF(C48=0,0,(C48-D48)/C48*100)</f>
        <v/>
      </c>
    </row>
    <row r="49">
      <c r="A49" s="114" t="inlineStr">
        <is>
          <t>15-5103-7П · 2012</t>
        </is>
      </c>
      <c r="B49" s="115">
        <f>COUNTIFS(Оценка!$B$3:$B$168,"15-5103-7П",Оценка!$C$3:$C$168,2012)</f>
        <v/>
      </c>
      <c r="C49" s="116">
        <f>AVERAGEIFS(Оценка!$AB$3:$AB$168,Оценка!$B$3:$B$168,"15-5103-7П",Оценка!$C$3:$C$168,2012)</f>
        <v/>
      </c>
      <c r="D49" s="116">
        <f>AVERAGEIFS(Оценка!$AA$3:$AA$168,Оценка!$B$3:$B$168,"15-5103-7П",Оценка!$C$3:$C$168,2012)</f>
        <v/>
      </c>
      <c r="E49" s="116">
        <f>C49-D49</f>
        <v/>
      </c>
      <c r="F49" s="117">
        <f>IF(C49=0,0,(C49-D49)/C49*100)</f>
        <v/>
      </c>
    </row>
    <row r="50">
      <c r="A50" s="114" t="inlineStr">
        <is>
          <t>15-5103-7П · 2015</t>
        </is>
      </c>
      <c r="B50" s="115">
        <f>COUNTIFS(Оценка!$B$3:$B$168,"15-5103-7П",Оценка!$C$3:$C$168,2015)</f>
        <v/>
      </c>
      <c r="C50" s="116">
        <f>AVERAGEIFS(Оценка!$AB$3:$AB$168,Оценка!$B$3:$B$168,"15-5103-7П",Оценка!$C$3:$C$168,2015)</f>
        <v/>
      </c>
      <c r="D50" s="116">
        <f>AVERAGEIFS(Оценка!$AA$3:$AA$168,Оценка!$B$3:$B$168,"15-5103-7П",Оценка!$C$3:$C$168,2015)</f>
        <v/>
      </c>
      <c r="E50" s="116">
        <f>C50-D50</f>
        <v/>
      </c>
      <c r="F50" s="117">
        <f>IF(C50=0,0,(C50-D50)/C50*100)</f>
        <v/>
      </c>
    </row>
    <row r="51">
      <c r="A51" s="118" t="inlineStr">
        <is>
          <t>ИТОГО / среднее</t>
        </is>
      </c>
      <c r="B51" s="119">
        <f>SUM(B42:B50)</f>
        <v/>
      </c>
      <c r="C51" s="120">
        <f>SUM(Оценка!$AB$3:$AB$168)/166</f>
        <v/>
      </c>
      <c r="D51" s="120">
        <f>SUM(Оценка!$AA$3:$AA$168)/166</f>
        <v/>
      </c>
      <c r="E51" s="120">
        <f>C51-D51</f>
        <v/>
      </c>
      <c r="F51" s="121">
        <f>(C51-D51)/C51*100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P170"/>
  <sheetViews>
    <sheetView workbookViewId="0">
      <selection activeCell="A1" sqref="A1:A3"/>
    </sheetView>
  </sheetViews>
  <sheetFormatPr baseColWidth="8" defaultRowHeight="13.2"/>
  <cols>
    <col width="15" customWidth="1" style="74" min="1" max="1"/>
    <col width="14.5546875" customWidth="1" style="74" min="2" max="2"/>
    <col width="15.109375" customWidth="1" style="74" min="3" max="3"/>
    <col width="15" customWidth="1" style="74" min="4" max="4"/>
    <col width="11.109375" customWidth="1" style="74" min="5" max="5"/>
    <col width="13" customWidth="1" style="74" min="6" max="6"/>
    <col width="20" customWidth="1" style="74" min="7" max="8"/>
    <col width="13.33203125" customWidth="1" style="74" min="9" max="9"/>
    <col width="20" customWidth="1" style="74" min="10" max="10"/>
    <col width="14.44140625" customWidth="1" style="74" min="11" max="11"/>
    <col width="15.88671875" customWidth="1" style="74" min="12" max="12"/>
    <col width="20" customWidth="1" style="74" min="13" max="14"/>
    <col width="10.6640625" customWidth="1" style="74" min="15" max="15"/>
    <col width="12.33203125" customWidth="1" style="74" min="16" max="16"/>
    <col width="11.5546875" customWidth="1" style="74" min="17" max="17"/>
    <col width="20" customWidth="1" style="74" min="18" max="18"/>
    <col width="3" customWidth="1" style="74" min="19" max="19"/>
    <col width="9.109375" customWidth="1" style="74" min="20" max="23"/>
    <col width="15" customWidth="1" style="74" min="24" max="24"/>
    <col width="9.109375" customWidth="1" style="74" min="25" max="28"/>
    <col width="3" customWidth="1" style="74" min="29" max="29"/>
    <col width="9.109375" customWidth="1" style="74" min="30" max="33"/>
    <col width="15" customWidth="1" style="74" min="34" max="34"/>
    <col width="9.109375" customWidth="1" style="74" min="35" max="38"/>
    <col width="3" customWidth="1" style="74" min="39" max="39"/>
    <col width="9.109375" customWidth="1" style="74" min="40" max="43"/>
    <col width="15" customWidth="1" style="74" min="44" max="44"/>
    <col width="9.109375" customWidth="1" style="74" min="45" max="48"/>
    <col width="3" customWidth="1" style="74" min="49" max="49"/>
    <col width="9.109375" customWidth="1" style="74" min="50" max="53"/>
    <col width="15" customWidth="1" style="74" min="54" max="54"/>
    <col width="9.109375" customWidth="1" style="74" min="55" max="58"/>
    <col width="3" customWidth="1" style="74" min="59" max="59"/>
    <col width="9.109375" customWidth="1" style="74" min="60" max="63"/>
    <col width="15" customWidth="1" style="74" min="64" max="64"/>
    <col width="3" customWidth="1" style="74" min="65" max="65"/>
    <col width="9.109375" customWidth="1" style="74" min="66" max="69"/>
    <col width="15" customWidth="1" style="74" min="70" max="70"/>
    <col width="3" customWidth="1" style="74" min="71" max="71"/>
    <col width="9.109375" customWidth="1" style="74" min="72" max="75"/>
    <col width="15" customWidth="1" style="74" min="76" max="76"/>
    <col width="3" customWidth="1" style="74" min="77" max="77"/>
    <col width="9.109375" customWidth="1" style="74" min="78" max="81"/>
    <col width="15" customWidth="1" style="74" min="82" max="82"/>
    <col width="3" customWidth="1" style="74" min="83" max="83"/>
    <col width="9.109375" customWidth="1" style="74" min="84" max="87"/>
    <col width="15" customWidth="1" style="74" min="88" max="88"/>
    <col width="3" customWidth="1" style="74" min="89" max="89"/>
    <col width="9.109375" customWidth="1" style="74" min="90" max="93"/>
    <col width="15" customWidth="1" style="74" min="94" max="94"/>
  </cols>
  <sheetData>
    <row r="1" ht="10.2" customHeight="1" s="74">
      <c r="A1" s="73" t="inlineStr">
        <is>
          <t>Номер вагона / контейнера</t>
        </is>
      </c>
      <c r="B1" s="73" t="inlineStr">
        <is>
          <t>Род вагона</t>
        </is>
      </c>
      <c r="C1" s="73" t="inlineStr">
        <is>
          <t>Модель</t>
        </is>
      </c>
      <c r="D1" s="73" t="inlineStr">
        <is>
          <t>Дата постройки</t>
        </is>
      </c>
      <c r="E1" s="73" t="inlineStr">
        <is>
          <t>Год постройки</t>
        </is>
      </c>
      <c r="F1" s="73" t="inlineStr">
        <is>
          <t>Срок службы</t>
        </is>
      </c>
      <c r="G1" s="73" t="inlineStr">
        <is>
          <t>Дата последнего деповского ремонта</t>
        </is>
      </c>
      <c r="H1" s="73" t="inlineStr">
        <is>
          <t>Депопоследнего деповского ремонта</t>
        </is>
      </c>
      <c r="I1" s="73" t="inlineStr">
        <is>
          <t>Дата капитального</t>
        </is>
      </c>
      <c r="J1" s="73" t="inlineStr">
        <is>
          <t>Депо капитального</t>
        </is>
      </c>
      <c r="K1" s="73" t="inlineStr">
        <is>
          <t>Очередной вид ремонта</t>
        </is>
      </c>
      <c r="L1" s="73" t="inlineStr">
        <is>
          <t>Дата очередного плановго ремонта</t>
        </is>
      </c>
      <c r="M1" s="73" t="inlineStr">
        <is>
          <t>Собственник</t>
        </is>
      </c>
      <c r="N1" s="73" t="inlineStr">
        <is>
          <t>Норма пробега</t>
        </is>
      </c>
      <c r="O1" s="73" t="inlineStr">
        <is>
          <t>Пробег общий</t>
        </is>
      </c>
      <c r="P1" s="73" t="inlineStr">
        <is>
          <t>Остаточный пробег</t>
        </is>
      </c>
      <c r="Q1" s="73" t="inlineStr">
        <is>
          <t>Дата ремонта по пробегу</t>
        </is>
      </c>
      <c r="R1" s="73" t="inlineStr">
        <is>
          <t>Дата изменения комплектации</t>
        </is>
      </c>
      <c r="S1" s="71" t="n"/>
      <c r="T1" s="73" t="inlineStr">
        <is>
          <t>Колесная пара 1</t>
        </is>
      </c>
      <c r="U1" s="122" t="n"/>
      <c r="V1" s="122" t="n"/>
      <c r="W1" s="122" t="n"/>
      <c r="X1" s="122" t="n"/>
      <c r="Y1" s="122" t="n"/>
      <c r="Z1" s="122" t="n"/>
      <c r="AA1" s="122" t="n"/>
      <c r="AB1" s="123" t="n"/>
      <c r="AC1" s="71" t="n"/>
      <c r="AD1" s="73" t="inlineStr">
        <is>
          <t>Колесная пара 2</t>
        </is>
      </c>
      <c r="AE1" s="122" t="n"/>
      <c r="AF1" s="122" t="n"/>
      <c r="AG1" s="122" t="n"/>
      <c r="AH1" s="122" t="n"/>
      <c r="AI1" s="122" t="n"/>
      <c r="AJ1" s="122" t="n"/>
      <c r="AK1" s="122" t="n"/>
      <c r="AL1" s="123" t="n"/>
      <c r="AM1" s="71" t="n"/>
      <c r="AN1" s="73" t="inlineStr">
        <is>
          <t>Колесная пара 3</t>
        </is>
      </c>
      <c r="AO1" s="122" t="n"/>
      <c r="AP1" s="122" t="n"/>
      <c r="AQ1" s="122" t="n"/>
      <c r="AR1" s="122" t="n"/>
      <c r="AS1" s="122" t="n"/>
      <c r="AT1" s="122" t="n"/>
      <c r="AU1" s="122" t="n"/>
      <c r="AV1" s="123" t="n"/>
      <c r="AW1" s="71" t="n"/>
      <c r="AX1" s="73" t="inlineStr">
        <is>
          <t>Колесная пара 4</t>
        </is>
      </c>
      <c r="AY1" s="122" t="n"/>
      <c r="AZ1" s="122" t="n"/>
      <c r="BA1" s="122" t="n"/>
      <c r="BB1" s="122" t="n"/>
      <c r="BC1" s="122" t="n"/>
      <c r="BD1" s="122" t="n"/>
      <c r="BE1" s="122" t="n"/>
      <c r="BF1" s="123" t="n"/>
      <c r="BG1" s="71" t="n"/>
      <c r="BH1" s="73" t="inlineStr">
        <is>
          <t>Надрессорная балка 1</t>
        </is>
      </c>
      <c r="BI1" s="122" t="n"/>
      <c r="BJ1" s="122" t="n"/>
      <c r="BK1" s="122" t="n"/>
      <c r="BL1" s="123" t="n"/>
      <c r="BM1" s="71" t="n"/>
      <c r="BN1" s="73" t="inlineStr">
        <is>
          <t>Надрессорная балка 2</t>
        </is>
      </c>
      <c r="BO1" s="122" t="n"/>
      <c r="BP1" s="122" t="n"/>
      <c r="BQ1" s="122" t="n"/>
      <c r="BR1" s="123" t="n"/>
      <c r="BS1" s="71" t="n"/>
      <c r="BT1" s="73" t="inlineStr">
        <is>
          <t>Боковая рама 1</t>
        </is>
      </c>
      <c r="BU1" s="122" t="n"/>
      <c r="BV1" s="122" t="n"/>
      <c r="BW1" s="122" t="n"/>
      <c r="BX1" s="123" t="n"/>
      <c r="BY1" s="71" t="n"/>
      <c r="BZ1" s="73" t="inlineStr">
        <is>
          <t>Боковая рама 2</t>
        </is>
      </c>
      <c r="CA1" s="122" t="n"/>
      <c r="CB1" s="122" t="n"/>
      <c r="CC1" s="122" t="n"/>
      <c r="CD1" s="123" t="n"/>
      <c r="CE1" s="71" t="n"/>
      <c r="CF1" s="73" t="inlineStr">
        <is>
          <t>Боковая рама 3</t>
        </is>
      </c>
      <c r="CG1" s="122" t="n"/>
      <c r="CH1" s="122" t="n"/>
      <c r="CI1" s="122" t="n"/>
      <c r="CJ1" s="123" t="n"/>
      <c r="CK1" s="71" t="n"/>
      <c r="CL1" s="73" t="inlineStr">
        <is>
          <t>Боковая рама 4</t>
        </is>
      </c>
      <c r="CM1" s="122" t="n"/>
      <c r="CN1" s="122" t="n"/>
      <c r="CO1" s="122" t="n"/>
      <c r="CP1" s="123" t="n"/>
    </row>
    <row r="2">
      <c r="A2" s="124" t="n"/>
      <c r="B2" s="124" t="n"/>
      <c r="C2" s="124" t="n"/>
      <c r="D2" s="124" t="n"/>
      <c r="E2" s="124" t="n"/>
      <c r="F2" s="124" t="n"/>
      <c r="G2" s="124" t="n"/>
      <c r="H2" s="124" t="n"/>
      <c r="I2" s="124" t="n"/>
      <c r="J2" s="124" t="n"/>
      <c r="K2" s="124" t="n"/>
      <c r="L2" s="124" t="n"/>
      <c r="M2" s="124" t="n"/>
      <c r="N2" s="124" t="n"/>
      <c r="O2" s="124" t="n"/>
      <c r="P2" s="124" t="n"/>
      <c r="Q2" s="124" t="n"/>
      <c r="R2" s="124" t="n"/>
      <c r="S2" s="124" t="n"/>
      <c r="T2" s="73" t="inlineStr">
        <is>
          <t>Номер детали</t>
        </is>
      </c>
      <c r="U2" s="73" t="inlineStr">
        <is>
          <t>Клеймо</t>
        </is>
      </c>
      <c r="V2" s="73" t="inlineStr">
        <is>
          <t>Год постр</t>
        </is>
      </c>
      <c r="W2" s="73" t="inlineStr">
        <is>
          <t>Депо</t>
        </is>
      </c>
      <c r="X2" s="73" t="inlineStr">
        <is>
          <t>Дата</t>
        </is>
      </c>
      <c r="Y2" s="73" t="inlineStr">
        <is>
          <t>Толщина гребня</t>
        </is>
      </c>
      <c r="Z2" s="123" t="n"/>
      <c r="AA2" s="73" t="inlineStr">
        <is>
          <t>Толщина обода</t>
        </is>
      </c>
      <c r="AB2" s="123" t="n"/>
      <c r="AC2" s="124" t="n"/>
      <c r="AD2" s="73" t="inlineStr">
        <is>
          <t>Номер детали</t>
        </is>
      </c>
      <c r="AE2" s="73" t="inlineStr">
        <is>
          <t>Клеймо</t>
        </is>
      </c>
      <c r="AF2" s="73" t="inlineStr">
        <is>
          <t>Год постр</t>
        </is>
      </c>
      <c r="AG2" s="73" t="inlineStr">
        <is>
          <t>Депо</t>
        </is>
      </c>
      <c r="AH2" s="73" t="inlineStr">
        <is>
          <t>Дата</t>
        </is>
      </c>
      <c r="AI2" s="73" t="inlineStr">
        <is>
          <t>Толщина гребня</t>
        </is>
      </c>
      <c r="AJ2" s="123" t="n"/>
      <c r="AK2" s="73" t="inlineStr">
        <is>
          <t>Толщина обода</t>
        </is>
      </c>
      <c r="AL2" s="123" t="n"/>
      <c r="AM2" s="124" t="n"/>
      <c r="AN2" s="73" t="inlineStr">
        <is>
          <t>Номер детали</t>
        </is>
      </c>
      <c r="AO2" s="73" t="inlineStr">
        <is>
          <t>Клеймо</t>
        </is>
      </c>
      <c r="AP2" s="73" t="inlineStr">
        <is>
          <t>Год постр</t>
        </is>
      </c>
      <c r="AQ2" s="73" t="inlineStr">
        <is>
          <t>Депо</t>
        </is>
      </c>
      <c r="AR2" s="73" t="inlineStr">
        <is>
          <t>Дата</t>
        </is>
      </c>
      <c r="AS2" s="73" t="inlineStr">
        <is>
          <t>Толщина гребня</t>
        </is>
      </c>
      <c r="AT2" s="123" t="n"/>
      <c r="AU2" s="73" t="inlineStr">
        <is>
          <t>Толщина обода</t>
        </is>
      </c>
      <c r="AV2" s="123" t="n"/>
      <c r="AW2" s="124" t="n"/>
      <c r="AX2" s="73" t="inlineStr">
        <is>
          <t>Номер детали</t>
        </is>
      </c>
      <c r="AY2" s="73" t="inlineStr">
        <is>
          <t>Клеймо</t>
        </is>
      </c>
      <c r="AZ2" s="73" t="inlineStr">
        <is>
          <t>Год постр</t>
        </is>
      </c>
      <c r="BA2" s="73" t="inlineStr">
        <is>
          <t>Депо</t>
        </is>
      </c>
      <c r="BB2" s="73" t="inlineStr">
        <is>
          <t>Дата</t>
        </is>
      </c>
      <c r="BC2" s="73" t="inlineStr">
        <is>
          <t>Толщина гребня</t>
        </is>
      </c>
      <c r="BD2" s="123" t="n"/>
      <c r="BE2" s="73" t="inlineStr">
        <is>
          <t>Толщина обода</t>
        </is>
      </c>
      <c r="BF2" s="123" t="n"/>
      <c r="BG2" s="124" t="n"/>
      <c r="BH2" s="73" t="inlineStr">
        <is>
          <t>Номер детали</t>
        </is>
      </c>
      <c r="BI2" s="73" t="inlineStr">
        <is>
          <t>Клеймо</t>
        </is>
      </c>
      <c r="BJ2" s="73" t="inlineStr">
        <is>
          <t>Год постр</t>
        </is>
      </c>
      <c r="BK2" s="73" t="inlineStr">
        <is>
          <t>Депо</t>
        </is>
      </c>
      <c r="BL2" s="73" t="inlineStr">
        <is>
          <t>Дата</t>
        </is>
      </c>
      <c r="BM2" s="124" t="n"/>
      <c r="BN2" s="73" t="inlineStr">
        <is>
          <t>Номер детали</t>
        </is>
      </c>
      <c r="BO2" s="73" t="inlineStr">
        <is>
          <t>Клеймо</t>
        </is>
      </c>
      <c r="BP2" s="73" t="inlineStr">
        <is>
          <t>Год постр</t>
        </is>
      </c>
      <c r="BQ2" s="73" t="inlineStr">
        <is>
          <t>Депо</t>
        </is>
      </c>
      <c r="BR2" s="73" t="inlineStr">
        <is>
          <t>Дата</t>
        </is>
      </c>
      <c r="BS2" s="124" t="n"/>
      <c r="BT2" s="73" t="inlineStr">
        <is>
          <t>Номер детали</t>
        </is>
      </c>
      <c r="BU2" s="73" t="inlineStr">
        <is>
          <t>Клеймо</t>
        </is>
      </c>
      <c r="BV2" s="73" t="inlineStr">
        <is>
          <t>Год постр</t>
        </is>
      </c>
      <c r="BW2" s="73" t="inlineStr">
        <is>
          <t>Депо</t>
        </is>
      </c>
      <c r="BX2" s="73" t="inlineStr">
        <is>
          <t>Дата</t>
        </is>
      </c>
      <c r="BY2" s="124" t="n"/>
      <c r="BZ2" s="73" t="inlineStr">
        <is>
          <t>Номер детали</t>
        </is>
      </c>
      <c r="CA2" s="73" t="inlineStr">
        <is>
          <t>Клеймо</t>
        </is>
      </c>
      <c r="CB2" s="73" t="inlineStr">
        <is>
          <t>Год постр</t>
        </is>
      </c>
      <c r="CC2" s="73" t="inlineStr">
        <is>
          <t>Депо</t>
        </is>
      </c>
      <c r="CD2" s="73" t="inlineStr">
        <is>
          <t>Дата</t>
        </is>
      </c>
      <c r="CE2" s="124" t="n"/>
      <c r="CF2" s="73" t="inlineStr">
        <is>
          <t>Номер детали</t>
        </is>
      </c>
      <c r="CG2" s="73" t="inlineStr">
        <is>
          <t>Клеймо</t>
        </is>
      </c>
      <c r="CH2" s="73" t="inlineStr">
        <is>
          <t>Год постр</t>
        </is>
      </c>
      <c r="CI2" s="73" t="inlineStr">
        <is>
          <t>Депо</t>
        </is>
      </c>
      <c r="CJ2" s="73" t="inlineStr">
        <is>
          <t>Дата</t>
        </is>
      </c>
      <c r="CK2" s="124" t="n"/>
      <c r="CL2" s="73" t="inlineStr">
        <is>
          <t>Номер детали</t>
        </is>
      </c>
      <c r="CM2" s="73" t="inlineStr">
        <is>
          <t>Клеймо</t>
        </is>
      </c>
      <c r="CN2" s="73" t="inlineStr">
        <is>
          <t>Год постр</t>
        </is>
      </c>
      <c r="CO2" s="73" t="inlineStr">
        <is>
          <t>Депо</t>
        </is>
      </c>
      <c r="CP2" s="73" t="inlineStr">
        <is>
          <t>Дата</t>
        </is>
      </c>
    </row>
    <row r="3">
      <c r="A3" s="125" t="n"/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73" t="inlineStr">
        <is>
          <t>ЛЕВ.</t>
        </is>
      </c>
      <c r="Z3" s="73" t="inlineStr">
        <is>
          <t>ПРАВ.</t>
        </is>
      </c>
      <c r="AA3" s="73" t="inlineStr">
        <is>
          <t>ЛЕВ.</t>
        </is>
      </c>
      <c r="AB3" s="73" t="inlineStr">
        <is>
          <t>ПРАВ.</t>
        </is>
      </c>
      <c r="AC3" s="125" t="n"/>
      <c r="AD3" s="125" t="n"/>
      <c r="AE3" s="125" t="n"/>
      <c r="AF3" s="125" t="n"/>
      <c r="AG3" s="125" t="n"/>
      <c r="AH3" s="125" t="n"/>
      <c r="AI3" s="73" t="inlineStr">
        <is>
          <t>ЛЕВ.</t>
        </is>
      </c>
      <c r="AJ3" s="73" t="inlineStr">
        <is>
          <t>ПРАВ.</t>
        </is>
      </c>
      <c r="AK3" s="73" t="inlineStr">
        <is>
          <t>ЛЕВ.</t>
        </is>
      </c>
      <c r="AL3" s="73" t="inlineStr">
        <is>
          <t>ПРАВ.</t>
        </is>
      </c>
      <c r="AM3" s="125" t="n"/>
      <c r="AN3" s="125" t="n"/>
      <c r="AO3" s="125" t="n"/>
      <c r="AP3" s="125" t="n"/>
      <c r="AQ3" s="125" t="n"/>
      <c r="AR3" s="125" t="n"/>
      <c r="AS3" s="73" t="inlineStr">
        <is>
          <t>ЛЕВ.</t>
        </is>
      </c>
      <c r="AT3" s="73" t="inlineStr">
        <is>
          <t>ПРАВ.</t>
        </is>
      </c>
      <c r="AU3" s="73" t="inlineStr">
        <is>
          <t>ЛЕВ.</t>
        </is>
      </c>
      <c r="AV3" s="73" t="inlineStr">
        <is>
          <t>ПРАВ.</t>
        </is>
      </c>
      <c r="AW3" s="125" t="n"/>
      <c r="AX3" s="125" t="n"/>
      <c r="AY3" s="125" t="n"/>
      <c r="AZ3" s="125" t="n"/>
      <c r="BA3" s="125" t="n"/>
      <c r="BB3" s="125" t="n"/>
      <c r="BC3" s="73" t="inlineStr">
        <is>
          <t>ЛЕВ.</t>
        </is>
      </c>
      <c r="BD3" s="73" t="inlineStr">
        <is>
          <t>ПРАВ.</t>
        </is>
      </c>
      <c r="BE3" s="73" t="inlineStr">
        <is>
          <t>ЛЕВ.</t>
        </is>
      </c>
      <c r="BF3" s="73" t="inlineStr">
        <is>
          <t>ПРАВ.</t>
        </is>
      </c>
      <c r="BG3" s="125" t="n"/>
      <c r="BH3" s="125" t="n"/>
      <c r="BI3" s="125" t="n"/>
      <c r="BJ3" s="125" t="n"/>
      <c r="BK3" s="125" t="n"/>
      <c r="BL3" s="125" t="n"/>
      <c r="BM3" s="125" t="n"/>
      <c r="BN3" s="125" t="n"/>
      <c r="BO3" s="125" t="n"/>
      <c r="BP3" s="125" t="n"/>
      <c r="BQ3" s="125" t="n"/>
      <c r="BR3" s="125" t="n"/>
      <c r="BS3" s="125" t="n"/>
      <c r="BT3" s="125" t="n"/>
      <c r="BU3" s="125" t="n"/>
      <c r="BV3" s="125" t="n"/>
      <c r="BW3" s="125" t="n"/>
      <c r="BX3" s="125" t="n"/>
      <c r="BY3" s="125" t="n"/>
      <c r="BZ3" s="125" t="n"/>
      <c r="CA3" s="125" t="n"/>
      <c r="CB3" s="125" t="n"/>
      <c r="CC3" s="125" t="n"/>
      <c r="CD3" s="125" t="n"/>
      <c r="CE3" s="125" t="n"/>
      <c r="CF3" s="125" t="n"/>
      <c r="CG3" s="125" t="n"/>
      <c r="CH3" s="125" t="n"/>
      <c r="CI3" s="125" t="n"/>
      <c r="CJ3" s="125" t="n"/>
      <c r="CK3" s="125" t="n"/>
      <c r="CL3" s="125" t="n"/>
      <c r="CM3" s="125" t="n"/>
      <c r="CN3" s="125" t="n"/>
      <c r="CO3" s="125" t="n"/>
      <c r="CP3" s="125" t="n"/>
    </row>
    <row r="4">
      <c r="S4" s="72" t="n"/>
      <c r="AC4" s="72" t="n"/>
      <c r="AM4" s="72" t="n"/>
      <c r="AW4" s="72" t="n"/>
      <c r="BG4" s="72" t="n"/>
      <c r="BM4" s="72" t="n"/>
      <c r="BS4" s="72" t="n"/>
      <c r="BY4" s="72" t="n"/>
      <c r="CE4" s="72" t="n"/>
      <c r="CK4" s="72" t="n"/>
    </row>
    <row r="5">
      <c r="A5" t="n">
        <v>77223766</v>
      </c>
      <c r="B5" s="3" t="inlineStr">
        <is>
          <t>Цистерна для перевозки продуктов</t>
        </is>
      </c>
      <c r="C5" t="inlineStr">
        <is>
          <t>15-5103-7П</t>
        </is>
      </c>
      <c r="D5" t="inlineStr">
        <is>
          <t>12.09.2011</t>
        </is>
      </c>
      <c r="E5" t="n">
        <v>2011</v>
      </c>
      <c r="F5" t="inlineStr">
        <is>
          <t>12.09.2043</t>
        </is>
      </c>
      <c r="G5" t="inlineStr">
        <is>
          <t>31.03.2023</t>
        </is>
      </c>
      <c r="H5" t="inlineStr">
        <is>
          <t>ВРД Кочетовка – филиал ООО "НВК"</t>
        </is>
      </c>
      <c r="I5" t="inlineStr">
        <is>
          <t>18.03.2026</t>
        </is>
      </c>
      <c r="J5" t="inlineStr">
        <is>
          <t>Усть-Каменогорское ВРД</t>
        </is>
      </c>
      <c r="K5" t="inlineStr">
        <is>
          <t>Деповской</t>
        </is>
      </c>
      <c r="L5" t="inlineStr">
        <is>
          <t>18.03.2029</t>
        </is>
      </c>
      <c r="M5" t="inlineStr">
        <is>
          <t>ООО "ТрансАльянс Запад"</t>
        </is>
      </c>
      <c r="N5" t="n">
        <v>160000</v>
      </c>
      <c r="O5" t="n">
        <v>7663</v>
      </c>
      <c r="P5" t="n">
        <v>152337</v>
      </c>
      <c r="Q5" t="inlineStr">
        <is>
          <t>11.07.2033</t>
        </is>
      </c>
      <c r="R5" t="inlineStr">
        <is>
          <t>18.03.2026</t>
        </is>
      </c>
      <c r="S5" s="72" t="inlineStr">
        <is>
          <t> </t>
        </is>
      </c>
      <c r="T5" t="n">
        <v>107741</v>
      </c>
      <c r="U5" t="inlineStr">
        <is>
          <t>0005</t>
        </is>
      </c>
      <c r="V5" t="n">
        <v>2005</v>
      </c>
      <c r="W5" t="n">
        <v>745</v>
      </c>
      <c r="X5" t="inlineStr">
        <is>
          <t>мар.26</t>
        </is>
      </c>
      <c r="Y5" t="n">
        <v>0</v>
      </c>
      <c r="Z5" t="n">
        <v>0</v>
      </c>
      <c r="AA5" t="n">
        <v>73</v>
      </c>
      <c r="AB5" t="n">
        <v>73</v>
      </c>
      <c r="AC5" s="72" t="inlineStr">
        <is>
          <t> </t>
        </is>
      </c>
      <c r="AD5" t="n">
        <v>52282</v>
      </c>
      <c r="AE5" t="n">
        <v>1175</v>
      </c>
      <c r="AF5" t="n">
        <v>2012</v>
      </c>
      <c r="AG5" t="n">
        <v>745</v>
      </c>
      <c r="AH5" t="inlineStr">
        <is>
          <t>мар.26</t>
        </is>
      </c>
      <c r="AI5" t="n">
        <v>0</v>
      </c>
      <c r="AJ5" t="n">
        <v>0</v>
      </c>
      <c r="AK5" t="n">
        <v>71</v>
      </c>
      <c r="AL5" t="n">
        <v>71</v>
      </c>
      <c r="AM5" s="72" t="inlineStr">
        <is>
          <t> </t>
        </is>
      </c>
      <c r="AN5" t="n">
        <v>750688</v>
      </c>
      <c r="AO5" t="inlineStr">
        <is>
          <t>0005</t>
        </is>
      </c>
      <c r="AP5" t="n">
        <v>2017</v>
      </c>
      <c r="AQ5" t="n">
        <v>745</v>
      </c>
      <c r="AR5" t="inlineStr">
        <is>
          <t>мар.26</t>
        </is>
      </c>
      <c r="AS5" t="n">
        <v>0</v>
      </c>
      <c r="AT5" t="n">
        <v>0</v>
      </c>
      <c r="AU5" t="n">
        <v>73</v>
      </c>
      <c r="AV5" t="n">
        <v>73</v>
      </c>
      <c r="AW5" s="72" t="inlineStr">
        <is>
          <t> </t>
        </is>
      </c>
      <c r="AX5" t="n">
        <v>812280</v>
      </c>
      <c r="AY5" t="inlineStr">
        <is>
          <t>0005</t>
        </is>
      </c>
      <c r="AZ5" t="n">
        <v>2018</v>
      </c>
      <c r="BA5" t="n">
        <v>745</v>
      </c>
      <c r="BB5" t="inlineStr">
        <is>
          <t>мар.26</t>
        </is>
      </c>
      <c r="BC5" t="n">
        <v>0</v>
      </c>
      <c r="BD5" t="n">
        <v>0</v>
      </c>
      <c r="BE5" t="n">
        <v>74</v>
      </c>
      <c r="BF5" t="n">
        <v>74</v>
      </c>
      <c r="BG5" s="72" t="inlineStr">
        <is>
          <t> </t>
        </is>
      </c>
      <c r="BH5" t="n">
        <v>69894</v>
      </c>
      <c r="BI5" t="inlineStr">
        <is>
          <t>0014</t>
        </is>
      </c>
      <c r="BJ5" t="n">
        <v>2011</v>
      </c>
      <c r="BM5" s="72" t="inlineStr">
        <is>
          <t> </t>
        </is>
      </c>
      <c r="BN5" t="n">
        <v>66505</v>
      </c>
      <c r="BO5" t="inlineStr">
        <is>
          <t>0014</t>
        </is>
      </c>
      <c r="BP5" t="n">
        <v>2011</v>
      </c>
      <c r="BS5" s="72" t="inlineStr">
        <is>
          <t> </t>
        </is>
      </c>
      <c r="BT5" t="n">
        <v>117185</v>
      </c>
      <c r="BU5" t="inlineStr">
        <is>
          <t>0014</t>
        </is>
      </c>
      <c r="BV5" t="n">
        <v>2011</v>
      </c>
      <c r="BY5" s="72" t="inlineStr">
        <is>
          <t> </t>
        </is>
      </c>
      <c r="BZ5" t="n">
        <v>117258</v>
      </c>
      <c r="CA5" t="inlineStr">
        <is>
          <t>0014</t>
        </is>
      </c>
      <c r="CB5" t="n">
        <v>2011</v>
      </c>
      <c r="CE5" s="72" t="inlineStr">
        <is>
          <t> </t>
        </is>
      </c>
      <c r="CF5" t="n">
        <v>116917</v>
      </c>
      <c r="CG5" t="inlineStr">
        <is>
          <t>0014</t>
        </is>
      </c>
      <c r="CH5" t="n">
        <v>2011</v>
      </c>
      <c r="CK5" s="72" t="inlineStr">
        <is>
          <t> </t>
        </is>
      </c>
      <c r="CL5" t="n">
        <v>117136</v>
      </c>
      <c r="CM5" t="inlineStr">
        <is>
          <t>0014</t>
        </is>
      </c>
      <c r="CN5" t="n">
        <v>2011</v>
      </c>
    </row>
    <row r="6">
      <c r="A6" t="n">
        <v>77206126</v>
      </c>
      <c r="B6" s="3" t="inlineStr">
        <is>
          <t>Цистерна для перевозки продуктов</t>
        </is>
      </c>
      <c r="C6" t="inlineStr">
        <is>
          <t>15-1755П</t>
        </is>
      </c>
      <c r="D6" t="inlineStr">
        <is>
          <t>20.06.2013</t>
        </is>
      </c>
      <c r="E6" t="n">
        <v>2013</v>
      </c>
      <c r="F6" t="inlineStr">
        <is>
          <t>20.06.2043</t>
        </is>
      </c>
      <c r="G6" t="inlineStr">
        <is>
          <t>12.02.2026</t>
        </is>
      </c>
      <c r="H6" t="inlineStr">
        <is>
          <t>Усть-Каменогорское ВРД</t>
        </is>
      </c>
      <c r="I6" t="inlineStr">
        <is>
          <t>02.02.2024</t>
        </is>
      </c>
      <c r="J6" t="inlineStr">
        <is>
          <t>ВЧД Унеча-ООО "НВК"</t>
        </is>
      </c>
      <c r="K6" t="inlineStr">
        <is>
          <t>Деповской</t>
        </is>
      </c>
      <c r="L6" t="inlineStr">
        <is>
          <t>12.02.2028</t>
        </is>
      </c>
      <c r="M6" t="inlineStr">
        <is>
          <t>ООО "ТрансАльянс Запад"</t>
        </is>
      </c>
      <c r="N6" t="n">
        <v>160000</v>
      </c>
      <c r="O6" t="n">
        <v>20933</v>
      </c>
      <c r="P6" t="n">
        <v>139067</v>
      </c>
      <c r="Q6" t="inlineStr">
        <is>
          <t>04.07.2029</t>
        </is>
      </c>
      <c r="R6" t="inlineStr">
        <is>
          <t>12.02.2026</t>
        </is>
      </c>
      <c r="S6" s="72" t="inlineStr">
        <is>
          <t> </t>
        </is>
      </c>
      <c r="T6" t="n">
        <v>107656</v>
      </c>
      <c r="U6" t="inlineStr">
        <is>
          <t>0005</t>
        </is>
      </c>
      <c r="V6" t="n">
        <v>2014</v>
      </c>
      <c r="W6" t="n">
        <v>745</v>
      </c>
      <c r="X6" t="inlineStr">
        <is>
          <t>фев.26</t>
        </is>
      </c>
      <c r="Y6" t="n">
        <v>0</v>
      </c>
      <c r="Z6" t="n">
        <v>0</v>
      </c>
      <c r="AA6" t="n">
        <v>72</v>
      </c>
      <c r="AB6" t="n">
        <v>72</v>
      </c>
      <c r="AC6" s="72" t="inlineStr">
        <is>
          <t> </t>
        </is>
      </c>
      <c r="AD6" t="n">
        <v>227365</v>
      </c>
      <c r="AE6" t="inlineStr">
        <is>
          <t>0005</t>
        </is>
      </c>
      <c r="AF6" t="n">
        <v>2019</v>
      </c>
      <c r="AG6" t="n">
        <v>745</v>
      </c>
      <c r="AH6" t="inlineStr">
        <is>
          <t>фев.26</t>
        </is>
      </c>
      <c r="AI6" t="n">
        <v>0</v>
      </c>
      <c r="AJ6" t="n">
        <v>0</v>
      </c>
      <c r="AK6" t="n">
        <v>72</v>
      </c>
      <c r="AL6" t="n">
        <v>72</v>
      </c>
      <c r="AM6" s="72" t="inlineStr">
        <is>
          <t> </t>
        </is>
      </c>
      <c r="AN6" t="n">
        <v>16504</v>
      </c>
      <c r="AO6" t="n">
        <v>1175</v>
      </c>
      <c r="AP6" t="n">
        <v>2008</v>
      </c>
      <c r="AQ6" t="n">
        <v>745</v>
      </c>
      <c r="AR6" t="inlineStr">
        <is>
          <t>фев.26</t>
        </is>
      </c>
      <c r="AS6" t="n">
        <v>0</v>
      </c>
      <c r="AT6" t="n">
        <v>0</v>
      </c>
      <c r="AU6" t="n">
        <v>74</v>
      </c>
      <c r="AV6" t="n">
        <v>74</v>
      </c>
      <c r="AW6" s="72" t="inlineStr">
        <is>
          <t> </t>
        </is>
      </c>
      <c r="AX6" t="n">
        <v>844904</v>
      </c>
      <c r="AY6" t="inlineStr">
        <is>
          <t>0029</t>
        </is>
      </c>
      <c r="AZ6" t="n">
        <v>1990</v>
      </c>
      <c r="BA6" t="n">
        <v>745</v>
      </c>
      <c r="BB6" t="inlineStr">
        <is>
          <t>фев.26</t>
        </is>
      </c>
      <c r="BC6" t="n">
        <v>0</v>
      </c>
      <c r="BD6" t="n">
        <v>0</v>
      </c>
      <c r="BE6" t="n">
        <v>72</v>
      </c>
      <c r="BF6" t="n">
        <v>72</v>
      </c>
      <c r="BG6" s="72" t="inlineStr">
        <is>
          <t> </t>
        </is>
      </c>
      <c r="BH6" t="n">
        <v>15188</v>
      </c>
      <c r="BI6" t="n">
        <v>1291</v>
      </c>
      <c r="BJ6" t="n">
        <v>2013</v>
      </c>
      <c r="BM6" s="72" t="inlineStr">
        <is>
          <t> </t>
        </is>
      </c>
      <c r="BN6" t="n">
        <v>15246</v>
      </c>
      <c r="BO6" t="n">
        <v>1291</v>
      </c>
      <c r="BP6" t="n">
        <v>2013</v>
      </c>
      <c r="BS6" s="72" t="inlineStr">
        <is>
          <t> </t>
        </is>
      </c>
      <c r="BT6" t="n">
        <v>42930</v>
      </c>
      <c r="BU6" t="n">
        <v>1291</v>
      </c>
      <c r="BV6" t="n">
        <v>2013</v>
      </c>
      <c r="BY6" s="72" t="inlineStr">
        <is>
          <t> </t>
        </is>
      </c>
      <c r="BZ6" t="n">
        <v>42424</v>
      </c>
      <c r="CA6" t="n">
        <v>1291</v>
      </c>
      <c r="CB6" t="n">
        <v>2013</v>
      </c>
      <c r="CE6" s="72" t="inlineStr">
        <is>
          <t> </t>
        </is>
      </c>
      <c r="CF6" t="n">
        <v>38356</v>
      </c>
      <c r="CG6" t="n">
        <v>1291</v>
      </c>
      <c r="CH6" t="n">
        <v>2013</v>
      </c>
      <c r="CK6" s="72" t="inlineStr">
        <is>
          <t> </t>
        </is>
      </c>
      <c r="CL6" t="n">
        <v>43316</v>
      </c>
      <c r="CM6" t="n">
        <v>1291</v>
      </c>
      <c r="CN6" t="n">
        <v>2013</v>
      </c>
    </row>
    <row r="7">
      <c r="A7" t="n">
        <v>77205912</v>
      </c>
      <c r="B7" s="3" t="inlineStr">
        <is>
          <t>Цистерна для перевозки продуктов</t>
        </is>
      </c>
      <c r="C7" t="inlineStr">
        <is>
          <t>15-1755П</t>
        </is>
      </c>
      <c r="D7" t="inlineStr">
        <is>
          <t>20.06.2013</t>
        </is>
      </c>
      <c r="E7" t="n">
        <v>2013</v>
      </c>
      <c r="F7" t="inlineStr">
        <is>
          <t>20.06.2043</t>
        </is>
      </c>
      <c r="G7" t="inlineStr">
        <is>
          <t>12.02.2026</t>
        </is>
      </c>
      <c r="H7" t="inlineStr">
        <is>
          <t>Усть-Каменогорское ВРД</t>
        </is>
      </c>
      <c r="I7" t="inlineStr">
        <is>
          <t>08.02.2024</t>
        </is>
      </c>
      <c r="J7" t="inlineStr">
        <is>
          <t>ВРД Кочетовка – филиал ООО "НВК"</t>
        </is>
      </c>
      <c r="K7" t="inlineStr">
        <is>
          <t>Деповской</t>
        </is>
      </c>
      <c r="L7" t="inlineStr">
        <is>
          <t>12.02.2028</t>
        </is>
      </c>
      <c r="M7" t="inlineStr">
        <is>
          <t>ООО "ТрансАльянс Запад"</t>
        </is>
      </c>
      <c r="N7" t="n">
        <v>160000</v>
      </c>
      <c r="O7" t="n">
        <v>15958</v>
      </c>
      <c r="P7" t="n">
        <v>144042</v>
      </c>
      <c r="Q7" t="inlineStr">
        <is>
          <t>25.07.2030</t>
        </is>
      </c>
      <c r="R7" t="inlineStr">
        <is>
          <t>15.06.2026</t>
        </is>
      </c>
      <c r="S7" s="72" t="inlineStr">
        <is>
          <t> </t>
        </is>
      </c>
      <c r="T7" t="n">
        <v>392521</v>
      </c>
      <c r="U7" t="inlineStr">
        <is>
          <t>0029</t>
        </is>
      </c>
      <c r="V7" t="n">
        <v>2013</v>
      </c>
      <c r="W7" t="n">
        <v>4036</v>
      </c>
      <c r="X7" t="inlineStr">
        <is>
          <t>июнь.26</t>
        </is>
      </c>
      <c r="Y7" t="n">
        <v>0</v>
      </c>
      <c r="Z7" t="n">
        <v>0</v>
      </c>
      <c r="AA7" t="n">
        <v>38</v>
      </c>
      <c r="AB7" t="n">
        <v>38</v>
      </c>
      <c r="AC7" s="72" t="inlineStr">
        <is>
          <t> </t>
        </is>
      </c>
      <c r="AD7" t="n">
        <v>370222</v>
      </c>
      <c r="AE7" t="inlineStr">
        <is>
          <t>0029</t>
        </is>
      </c>
      <c r="AF7" t="n">
        <v>2012</v>
      </c>
      <c r="AG7" t="n">
        <v>4036</v>
      </c>
      <c r="AH7" t="inlineStr">
        <is>
          <t>июнь.26</t>
        </is>
      </c>
      <c r="AI7" t="n">
        <v>0</v>
      </c>
      <c r="AJ7" t="n">
        <v>0</v>
      </c>
      <c r="AK7" t="n">
        <v>38</v>
      </c>
      <c r="AL7" t="n">
        <v>38</v>
      </c>
      <c r="AM7" s="72" t="inlineStr">
        <is>
          <t> </t>
        </is>
      </c>
      <c r="AN7" t="n">
        <v>459384</v>
      </c>
      <c r="AO7" t="inlineStr">
        <is>
          <t>0029</t>
        </is>
      </c>
      <c r="AP7" t="n">
        <v>2013</v>
      </c>
      <c r="AQ7" t="n">
        <v>4036</v>
      </c>
      <c r="AR7" t="inlineStr">
        <is>
          <t>июнь.26</t>
        </is>
      </c>
      <c r="AS7" t="n">
        <v>0</v>
      </c>
      <c r="AT7" t="n">
        <v>0</v>
      </c>
      <c r="AU7" t="n">
        <v>32</v>
      </c>
      <c r="AV7" t="n">
        <v>32</v>
      </c>
      <c r="AW7" s="72" t="inlineStr">
        <is>
          <t> </t>
        </is>
      </c>
      <c r="AX7" t="n">
        <v>460013</v>
      </c>
      <c r="AY7" t="inlineStr">
        <is>
          <t>0029</t>
        </is>
      </c>
      <c r="AZ7" t="n">
        <v>2013</v>
      </c>
      <c r="BA7" t="n">
        <v>4036</v>
      </c>
      <c r="BB7" t="inlineStr">
        <is>
          <t>июнь.26</t>
        </is>
      </c>
      <c r="BC7" t="n">
        <v>0</v>
      </c>
      <c r="BD7" t="n">
        <v>0</v>
      </c>
      <c r="BE7" t="n">
        <v>37</v>
      </c>
      <c r="BF7" t="n">
        <v>37</v>
      </c>
      <c r="BG7" s="72" t="inlineStr">
        <is>
          <t> </t>
        </is>
      </c>
      <c r="BH7" t="n">
        <v>15648</v>
      </c>
      <c r="BI7" t="n">
        <v>1291</v>
      </c>
      <c r="BJ7" t="n">
        <v>2013</v>
      </c>
      <c r="BM7" s="72" t="inlineStr">
        <is>
          <t> </t>
        </is>
      </c>
      <c r="BN7" t="n">
        <v>15896</v>
      </c>
      <c r="BO7" t="n">
        <v>1291</v>
      </c>
      <c r="BP7" t="n">
        <v>2013</v>
      </c>
      <c r="BS7" s="72" t="inlineStr">
        <is>
          <t> </t>
        </is>
      </c>
      <c r="BT7" t="n">
        <v>46279</v>
      </c>
      <c r="BU7" t="n">
        <v>1291</v>
      </c>
      <c r="BV7" t="n">
        <v>2013</v>
      </c>
      <c r="BY7" s="72" t="inlineStr">
        <is>
          <t> </t>
        </is>
      </c>
      <c r="BZ7" t="n">
        <v>45962</v>
      </c>
      <c r="CA7" t="n">
        <v>1291</v>
      </c>
      <c r="CB7" t="n">
        <v>2013</v>
      </c>
      <c r="CE7" s="72" t="inlineStr">
        <is>
          <t> </t>
        </is>
      </c>
      <c r="CF7" t="n">
        <v>37854</v>
      </c>
      <c r="CG7" t="n">
        <v>1291</v>
      </c>
      <c r="CH7" t="n">
        <v>2013</v>
      </c>
      <c r="CK7" s="72" t="inlineStr">
        <is>
          <t> </t>
        </is>
      </c>
      <c r="CL7" t="n">
        <v>45456</v>
      </c>
      <c r="CM7" t="n">
        <v>1291</v>
      </c>
      <c r="CN7" t="n">
        <v>2013</v>
      </c>
    </row>
    <row r="8">
      <c r="A8" t="n">
        <v>77206159</v>
      </c>
      <c r="B8" s="3" t="inlineStr">
        <is>
          <t>Цистерна для перевозки продуктов</t>
        </is>
      </c>
      <c r="C8" t="inlineStr">
        <is>
          <t>15-1755П</t>
        </is>
      </c>
      <c r="D8" t="inlineStr">
        <is>
          <t>20.06.2013</t>
        </is>
      </c>
      <c r="E8" t="n">
        <v>2013</v>
      </c>
      <c r="F8" t="inlineStr">
        <is>
          <t>20.06.2043</t>
        </is>
      </c>
      <c r="G8" t="inlineStr">
        <is>
          <t>12.02.2026</t>
        </is>
      </c>
      <c r="H8" t="inlineStr">
        <is>
          <t>Усть-Каменогорское ВРД</t>
        </is>
      </c>
      <c r="I8" t="inlineStr">
        <is>
          <t>05.02.2024</t>
        </is>
      </c>
      <c r="J8" t="inlineStr">
        <is>
          <t>ТОО "Аждар и К"</t>
        </is>
      </c>
      <c r="K8" t="inlineStr">
        <is>
          <t>Деповской</t>
        </is>
      </c>
      <c r="L8" t="inlineStr">
        <is>
          <t>12.02.2028</t>
        </is>
      </c>
      <c r="M8" t="inlineStr">
        <is>
          <t>ООО "ТрансАльянс Запад"</t>
        </is>
      </c>
      <c r="N8" t="n">
        <v>160000</v>
      </c>
      <c r="O8" t="n">
        <v>15958</v>
      </c>
      <c r="P8" t="n">
        <v>144042</v>
      </c>
      <c r="Q8" t="inlineStr">
        <is>
          <t>25.07.2030</t>
        </is>
      </c>
      <c r="R8" t="inlineStr">
        <is>
          <t>15.06.2026</t>
        </is>
      </c>
      <c r="S8" s="72" t="inlineStr">
        <is>
          <t> </t>
        </is>
      </c>
      <c r="T8" t="n">
        <v>3029</v>
      </c>
      <c r="U8" t="n">
        <v>1175</v>
      </c>
      <c r="V8" t="n">
        <v>2011</v>
      </c>
      <c r="W8" t="n">
        <v>4036</v>
      </c>
      <c r="X8" t="inlineStr">
        <is>
          <t>июнь.26</t>
        </is>
      </c>
      <c r="Y8" t="n">
        <v>0</v>
      </c>
      <c r="Z8" t="n">
        <v>0</v>
      </c>
      <c r="AA8" t="n">
        <v>75</v>
      </c>
      <c r="AB8" t="n">
        <v>75</v>
      </c>
      <c r="AC8" s="72" t="inlineStr">
        <is>
          <t> </t>
        </is>
      </c>
      <c r="AD8" t="n">
        <v>884003</v>
      </c>
      <c r="AE8" t="inlineStr">
        <is>
          <t>0029</t>
        </is>
      </c>
      <c r="AF8" t="n">
        <v>2010</v>
      </c>
      <c r="AG8" t="n">
        <v>4036</v>
      </c>
      <c r="AH8" t="inlineStr">
        <is>
          <t>июнь.26</t>
        </is>
      </c>
      <c r="AI8" t="n">
        <v>0</v>
      </c>
      <c r="AJ8" t="n">
        <v>0</v>
      </c>
      <c r="AK8" t="n">
        <v>75</v>
      </c>
      <c r="AL8" t="n">
        <v>75</v>
      </c>
      <c r="AM8" s="72" t="inlineStr">
        <is>
          <t> </t>
        </is>
      </c>
      <c r="AN8" t="n">
        <v>134498</v>
      </c>
      <c r="AO8" t="inlineStr">
        <is>
          <t>0005</t>
        </is>
      </c>
      <c r="AP8" t="n">
        <v>2010</v>
      </c>
      <c r="AQ8" t="n">
        <v>4036</v>
      </c>
      <c r="AR8" t="inlineStr">
        <is>
          <t>июнь.26</t>
        </is>
      </c>
      <c r="AS8" t="n">
        <v>0</v>
      </c>
      <c r="AT8" t="n">
        <v>0</v>
      </c>
      <c r="AU8" t="n">
        <v>66</v>
      </c>
      <c r="AV8" t="n">
        <v>66</v>
      </c>
      <c r="AW8" s="72" t="inlineStr">
        <is>
          <t> </t>
        </is>
      </c>
      <c r="AX8" t="n">
        <v>696276</v>
      </c>
      <c r="AY8" t="inlineStr">
        <is>
          <t>0029</t>
        </is>
      </c>
      <c r="AZ8" t="n">
        <v>2008</v>
      </c>
      <c r="BA8" t="n">
        <v>4036</v>
      </c>
      <c r="BB8" t="inlineStr">
        <is>
          <t>июнь.26</t>
        </is>
      </c>
      <c r="BC8" t="n">
        <v>0</v>
      </c>
      <c r="BD8" t="n">
        <v>0</v>
      </c>
      <c r="BE8" t="n">
        <v>75</v>
      </c>
      <c r="BF8" t="n">
        <v>75</v>
      </c>
      <c r="BG8" s="72" t="inlineStr">
        <is>
          <t> </t>
        </is>
      </c>
      <c r="BH8" t="n">
        <v>15682</v>
      </c>
      <c r="BI8" t="n">
        <v>1291</v>
      </c>
      <c r="BJ8" t="n">
        <v>2013</v>
      </c>
      <c r="BM8" s="72" t="inlineStr">
        <is>
          <t> </t>
        </is>
      </c>
      <c r="BN8" t="n">
        <v>52443</v>
      </c>
      <c r="BO8" t="n">
        <v>1291</v>
      </c>
      <c r="BP8" t="n">
        <v>2013</v>
      </c>
      <c r="BS8" s="72" t="inlineStr">
        <is>
          <t> </t>
        </is>
      </c>
      <c r="BT8" t="n">
        <v>42733</v>
      </c>
      <c r="BU8" t="n">
        <v>1291</v>
      </c>
      <c r="BV8" t="n">
        <v>2013</v>
      </c>
      <c r="BY8" s="72" t="inlineStr">
        <is>
          <t> </t>
        </is>
      </c>
      <c r="BZ8" t="n">
        <v>45183</v>
      </c>
      <c r="CA8" t="n">
        <v>1291</v>
      </c>
      <c r="CB8" t="n">
        <v>2013</v>
      </c>
      <c r="CE8" s="72" t="inlineStr">
        <is>
          <t> </t>
        </is>
      </c>
      <c r="CF8" t="n">
        <v>42604</v>
      </c>
      <c r="CG8" t="n">
        <v>1291</v>
      </c>
      <c r="CH8" t="n">
        <v>2013</v>
      </c>
      <c r="CK8" s="72" t="inlineStr">
        <is>
          <t> </t>
        </is>
      </c>
      <c r="CL8" t="n">
        <v>46047</v>
      </c>
      <c r="CM8" t="n">
        <v>1291</v>
      </c>
      <c r="CN8" t="n">
        <v>2013</v>
      </c>
    </row>
    <row r="9">
      <c r="A9" t="n">
        <v>77222149</v>
      </c>
      <c r="B9" s="3" t="inlineStr">
        <is>
          <t>Цистерна для перевозки продуктов</t>
        </is>
      </c>
      <c r="C9" t="inlineStr">
        <is>
          <t>15-1755П</t>
        </is>
      </c>
      <c r="D9" t="inlineStr">
        <is>
          <t>16.04.2014</t>
        </is>
      </c>
      <c r="E9" t="n">
        <v>2014</v>
      </c>
      <c r="F9" t="inlineStr">
        <is>
          <t>16.04.2044</t>
        </is>
      </c>
      <c r="G9" t="inlineStr">
        <is>
          <t>16.04.2023</t>
        </is>
      </c>
      <c r="H9" t="inlineStr">
        <is>
          <t>ТОО "Аждар и К"</t>
        </is>
      </c>
      <c r="I9" t="inlineStr">
        <is>
          <t>15.03.2025</t>
        </is>
      </c>
      <c r="J9" t="inlineStr">
        <is>
          <t>ВРД Кочетовка – филиал ООО "НВК"</t>
        </is>
      </c>
      <c r="K9" t="inlineStr">
        <is>
          <t>Деповской</t>
        </is>
      </c>
      <c r="L9" t="inlineStr">
        <is>
          <t>15.03.2027</t>
        </is>
      </c>
      <c r="M9" t="inlineStr">
        <is>
          <t>ООО "ТрансАльянс Запад"</t>
        </is>
      </c>
      <c r="N9" t="n">
        <v>160000</v>
      </c>
      <c r="O9" t="n">
        <v>45837</v>
      </c>
      <c r="P9" t="n">
        <v>114163</v>
      </c>
      <c r="Q9" t="inlineStr">
        <is>
          <t>10.12.2029</t>
        </is>
      </c>
      <c r="R9" t="inlineStr">
        <is>
          <t>15.03.2025</t>
        </is>
      </c>
      <c r="S9" s="72" t="inlineStr">
        <is>
          <t> </t>
        </is>
      </c>
      <c r="T9" t="n">
        <v>444025</v>
      </c>
      <c r="U9" t="inlineStr">
        <is>
          <t>0029</t>
        </is>
      </c>
      <c r="V9" t="n">
        <v>2013</v>
      </c>
      <c r="W9" t="n">
        <v>301</v>
      </c>
      <c r="X9" t="inlineStr">
        <is>
          <t>мар.25</t>
        </is>
      </c>
      <c r="Y9" t="n">
        <v>33</v>
      </c>
      <c r="Z9" t="n">
        <v>33</v>
      </c>
      <c r="AA9" t="n">
        <v>75</v>
      </c>
      <c r="AB9" t="n">
        <v>75</v>
      </c>
      <c r="AC9" s="72" t="inlineStr">
        <is>
          <t> </t>
        </is>
      </c>
      <c r="AD9" t="n">
        <v>458607</v>
      </c>
      <c r="AE9" t="inlineStr">
        <is>
          <t>0029</t>
        </is>
      </c>
      <c r="AF9" t="n">
        <v>2013</v>
      </c>
      <c r="AG9" t="n">
        <v>301</v>
      </c>
      <c r="AH9" t="inlineStr">
        <is>
          <t>мар.25</t>
        </is>
      </c>
      <c r="AI9" t="n">
        <v>33</v>
      </c>
      <c r="AJ9" t="n">
        <v>33</v>
      </c>
      <c r="AK9" t="n">
        <v>75</v>
      </c>
      <c r="AL9" t="n">
        <v>75</v>
      </c>
      <c r="AM9" s="72" t="inlineStr">
        <is>
          <t> </t>
        </is>
      </c>
      <c r="AN9" t="n">
        <v>523344</v>
      </c>
      <c r="AO9" t="inlineStr">
        <is>
          <t>0029</t>
        </is>
      </c>
      <c r="AP9" t="n">
        <v>2014</v>
      </c>
      <c r="AQ9" t="n">
        <v>301</v>
      </c>
      <c r="AR9" t="inlineStr">
        <is>
          <t>мар.25</t>
        </is>
      </c>
      <c r="AS9" t="n">
        <v>33</v>
      </c>
      <c r="AT9" t="n">
        <v>33</v>
      </c>
      <c r="AU9" t="n">
        <v>75</v>
      </c>
      <c r="AV9" t="n">
        <v>75</v>
      </c>
      <c r="AW9" s="72" t="inlineStr">
        <is>
          <t> </t>
        </is>
      </c>
      <c r="AX9" t="n">
        <v>523382</v>
      </c>
      <c r="AY9" t="inlineStr">
        <is>
          <t>0029</t>
        </is>
      </c>
      <c r="AZ9" t="n">
        <v>2014</v>
      </c>
      <c r="BA9" t="n">
        <v>301</v>
      </c>
      <c r="BB9" t="inlineStr">
        <is>
          <t>мар.25</t>
        </is>
      </c>
      <c r="BC9" t="n">
        <v>33</v>
      </c>
      <c r="BD9" t="n">
        <v>33</v>
      </c>
      <c r="BE9" t="n">
        <v>75</v>
      </c>
      <c r="BF9" t="n">
        <v>75</v>
      </c>
      <c r="BG9" s="72" t="inlineStr">
        <is>
          <t> </t>
        </is>
      </c>
      <c r="BH9" t="n">
        <v>50753</v>
      </c>
      <c r="BI9" t="n">
        <v>1291</v>
      </c>
      <c r="BJ9" t="n">
        <v>2014</v>
      </c>
      <c r="BM9" s="72" t="inlineStr">
        <is>
          <t> </t>
        </is>
      </c>
      <c r="BN9" t="n">
        <v>50876</v>
      </c>
      <c r="BO9" t="n">
        <v>1291</v>
      </c>
      <c r="BP9" t="n">
        <v>2014</v>
      </c>
      <c r="BS9" s="72" t="inlineStr">
        <is>
          <t> </t>
        </is>
      </c>
      <c r="BT9" t="n">
        <v>3954</v>
      </c>
      <c r="BU9" t="n">
        <v>1291</v>
      </c>
      <c r="BV9" t="n">
        <v>2014</v>
      </c>
      <c r="BY9" s="72" t="inlineStr">
        <is>
          <t> </t>
        </is>
      </c>
      <c r="BZ9" t="n">
        <v>3946</v>
      </c>
      <c r="CA9" t="n">
        <v>1291</v>
      </c>
      <c r="CB9" t="n">
        <v>2014</v>
      </c>
      <c r="CE9" s="72" t="inlineStr">
        <is>
          <t> </t>
        </is>
      </c>
      <c r="CF9" t="n">
        <v>4551</v>
      </c>
      <c r="CG9" t="n">
        <v>1291</v>
      </c>
      <c r="CH9" t="n">
        <v>2014</v>
      </c>
      <c r="CK9" s="72" t="inlineStr">
        <is>
          <t> </t>
        </is>
      </c>
      <c r="CL9" t="n">
        <v>3969</v>
      </c>
      <c r="CM9" t="n">
        <v>1291</v>
      </c>
      <c r="CN9" t="n">
        <v>2014</v>
      </c>
    </row>
    <row r="10">
      <c r="A10" t="n">
        <v>77222214</v>
      </c>
      <c r="B10" s="3" t="inlineStr">
        <is>
          <t>Цистерна для перевозки продуктов</t>
        </is>
      </c>
      <c r="C10" t="inlineStr">
        <is>
          <t>15-1755П</t>
        </is>
      </c>
      <c r="D10" t="inlineStr">
        <is>
          <t>16.04.2014</t>
        </is>
      </c>
      <c r="E10" t="n">
        <v>2014</v>
      </c>
      <c r="F10" t="inlineStr">
        <is>
          <t>16.04.2044</t>
        </is>
      </c>
      <c r="G10" t="inlineStr">
        <is>
          <t>22.03.2023</t>
        </is>
      </c>
      <c r="H10" t="inlineStr">
        <is>
          <t>ВРД Кочетовка – филиал ООО "НВК"</t>
        </is>
      </c>
      <c r="I10" t="inlineStr">
        <is>
          <t>03.04.2025</t>
        </is>
      </c>
      <c r="J10" t="inlineStr">
        <is>
          <t>ВРД Кочетовка – филиал ООО "НВК"</t>
        </is>
      </c>
      <c r="K10" t="inlineStr">
        <is>
          <t>Деповской</t>
        </is>
      </c>
      <c r="L10" t="inlineStr">
        <is>
          <t>03.04.2027</t>
        </is>
      </c>
      <c r="M10" t="inlineStr">
        <is>
          <t>ООО "ТрансАльянс Запад"</t>
        </is>
      </c>
      <c r="N10" t="n">
        <v>160000</v>
      </c>
      <c r="O10" t="n">
        <v>48240</v>
      </c>
      <c r="P10" t="n">
        <v>111760</v>
      </c>
      <c r="Q10" t="inlineStr">
        <is>
          <t>02.08.2029</t>
        </is>
      </c>
      <c r="R10" t="inlineStr">
        <is>
          <t>16.03.2026</t>
        </is>
      </c>
      <c r="S10" s="72" t="inlineStr">
        <is>
          <t> </t>
        </is>
      </c>
      <c r="T10" t="n">
        <v>516474</v>
      </c>
      <c r="U10" t="inlineStr">
        <is>
          <t>0029</t>
        </is>
      </c>
      <c r="V10" t="n">
        <v>2013</v>
      </c>
      <c r="W10" t="n">
        <v>4046</v>
      </c>
      <c r="X10" t="inlineStr">
        <is>
          <t>мар.26</t>
        </is>
      </c>
      <c r="Y10" t="n">
        <v>0</v>
      </c>
      <c r="Z10" t="n">
        <v>0</v>
      </c>
      <c r="AA10" t="n">
        <v>75</v>
      </c>
      <c r="AB10" t="n">
        <v>75</v>
      </c>
      <c r="AC10" s="72" t="inlineStr">
        <is>
          <t> </t>
        </is>
      </c>
      <c r="AD10" t="n">
        <v>516476</v>
      </c>
      <c r="AE10" t="inlineStr">
        <is>
          <t>0029</t>
        </is>
      </c>
      <c r="AF10" t="n">
        <v>2013</v>
      </c>
      <c r="AG10" t="n">
        <v>4046</v>
      </c>
      <c r="AH10" t="inlineStr">
        <is>
          <t>мар.26</t>
        </is>
      </c>
      <c r="AI10" t="n">
        <v>0</v>
      </c>
      <c r="AJ10" t="n">
        <v>0</v>
      </c>
      <c r="AK10" t="n">
        <v>75</v>
      </c>
      <c r="AL10" t="n">
        <v>75</v>
      </c>
      <c r="AM10" s="72" t="inlineStr">
        <is>
          <t> </t>
        </is>
      </c>
      <c r="AN10" t="n">
        <v>523018</v>
      </c>
      <c r="AO10" t="inlineStr">
        <is>
          <t>0029</t>
        </is>
      </c>
      <c r="AP10" t="n">
        <v>2014</v>
      </c>
      <c r="AQ10" t="n">
        <v>4046</v>
      </c>
      <c r="AR10" t="inlineStr">
        <is>
          <t>мар.26</t>
        </is>
      </c>
      <c r="AS10" t="n">
        <v>0</v>
      </c>
      <c r="AT10" t="n">
        <v>0</v>
      </c>
      <c r="AU10" t="n">
        <v>75</v>
      </c>
      <c r="AV10" t="n">
        <v>75</v>
      </c>
      <c r="AW10" s="72" t="inlineStr">
        <is>
          <t> </t>
        </is>
      </c>
      <c r="AX10" t="n">
        <v>522934</v>
      </c>
      <c r="AY10" t="inlineStr">
        <is>
          <t>0029</t>
        </is>
      </c>
      <c r="AZ10" t="n">
        <v>2014</v>
      </c>
      <c r="BA10" t="n">
        <v>4046</v>
      </c>
      <c r="BB10" t="inlineStr">
        <is>
          <t>мар.26</t>
        </is>
      </c>
      <c r="BC10" t="n">
        <v>0</v>
      </c>
      <c r="BD10" t="n">
        <v>0</v>
      </c>
      <c r="BE10" t="n">
        <v>75</v>
      </c>
      <c r="BF10" t="n">
        <v>75</v>
      </c>
      <c r="BG10" s="72" t="inlineStr">
        <is>
          <t> </t>
        </is>
      </c>
      <c r="BH10" t="n">
        <v>51520</v>
      </c>
      <c r="BI10" t="n">
        <v>1291</v>
      </c>
      <c r="BJ10" t="n">
        <v>2014</v>
      </c>
      <c r="BM10" s="72" t="inlineStr">
        <is>
          <t> </t>
        </is>
      </c>
      <c r="BN10" t="n">
        <v>51484</v>
      </c>
      <c r="BO10" t="n">
        <v>1291</v>
      </c>
      <c r="BP10" t="n">
        <v>2014</v>
      </c>
      <c r="BS10" s="72" t="inlineStr">
        <is>
          <t> </t>
        </is>
      </c>
      <c r="BT10" t="n">
        <v>3898</v>
      </c>
      <c r="BU10" t="n">
        <v>1291</v>
      </c>
      <c r="BV10" t="n">
        <v>2014</v>
      </c>
      <c r="BY10" s="72" t="inlineStr">
        <is>
          <t> </t>
        </is>
      </c>
      <c r="BZ10" t="n">
        <v>3949</v>
      </c>
      <c r="CA10" t="n">
        <v>1291</v>
      </c>
      <c r="CB10" t="n">
        <v>2014</v>
      </c>
      <c r="CE10" s="72" t="inlineStr">
        <is>
          <t> </t>
        </is>
      </c>
      <c r="CF10" t="n">
        <v>403</v>
      </c>
      <c r="CG10" t="n">
        <v>1291</v>
      </c>
      <c r="CH10" t="n">
        <v>2014</v>
      </c>
      <c r="CK10" s="72" t="inlineStr">
        <is>
          <t> </t>
        </is>
      </c>
      <c r="CL10" t="n">
        <v>2470</v>
      </c>
      <c r="CM10" t="n">
        <v>1291</v>
      </c>
      <c r="CN10" t="n">
        <v>2014</v>
      </c>
    </row>
    <row r="11">
      <c r="A11" t="n">
        <v>77206076</v>
      </c>
      <c r="B11" s="3" t="inlineStr">
        <is>
          <t>Цистерна для перевозки продуктов</t>
        </is>
      </c>
      <c r="C11" t="inlineStr">
        <is>
          <t>15-1755П</t>
        </is>
      </c>
      <c r="D11" t="inlineStr">
        <is>
          <t>20.06.2013</t>
        </is>
      </c>
      <c r="E11" t="n">
        <v>2013</v>
      </c>
      <c r="F11" t="inlineStr">
        <is>
          <t>20.06.2043</t>
        </is>
      </c>
      <c r="G11" t="inlineStr">
        <is>
          <t>14.02.2026</t>
        </is>
      </c>
      <c r="H11" t="inlineStr">
        <is>
          <t>Усть-Каменогорское ВРД</t>
        </is>
      </c>
      <c r="I11" t="inlineStr">
        <is>
          <t>04.02.2024</t>
        </is>
      </c>
      <c r="J11" t="inlineStr">
        <is>
          <t>ТОО "Аждар и К"</t>
        </is>
      </c>
      <c r="K11" t="inlineStr">
        <is>
          <t>Деповской</t>
        </is>
      </c>
      <c r="L11" t="inlineStr">
        <is>
          <t>14.02.2028</t>
        </is>
      </c>
      <c r="M11" t="inlineStr">
        <is>
          <t>ООО "ТрансАльянс Запад"</t>
        </is>
      </c>
      <c r="N11" t="n">
        <v>160000</v>
      </c>
      <c r="O11" t="n">
        <v>15959</v>
      </c>
      <c r="P11" t="n">
        <v>144041</v>
      </c>
      <c r="Q11" t="inlineStr">
        <is>
          <t>07.07.2030</t>
        </is>
      </c>
      <c r="R11" t="inlineStr">
        <is>
          <t>14.02.2026</t>
        </is>
      </c>
      <c r="S11" s="72" t="inlineStr">
        <is>
          <t> </t>
        </is>
      </c>
      <c r="T11" t="n">
        <v>17411</v>
      </c>
      <c r="U11" t="inlineStr">
        <is>
          <t>0039</t>
        </is>
      </c>
      <c r="V11" t="n">
        <v>2005</v>
      </c>
      <c r="W11" t="n">
        <v>745</v>
      </c>
      <c r="X11" t="inlineStr">
        <is>
          <t>фев.26</t>
        </is>
      </c>
      <c r="Y11" t="n">
        <v>0</v>
      </c>
      <c r="Z11" t="n">
        <v>0</v>
      </c>
      <c r="AA11" t="n">
        <v>75</v>
      </c>
      <c r="AB11" t="n">
        <v>75</v>
      </c>
      <c r="AC11" s="72" t="inlineStr">
        <is>
          <t> </t>
        </is>
      </c>
      <c r="AD11" t="n">
        <v>61059</v>
      </c>
      <c r="AE11" t="n">
        <v>1175</v>
      </c>
      <c r="AF11" t="n">
        <v>2013</v>
      </c>
      <c r="AG11" t="n">
        <v>745</v>
      </c>
      <c r="AH11" t="inlineStr">
        <is>
          <t>фев.26</t>
        </is>
      </c>
      <c r="AI11" t="n">
        <v>0</v>
      </c>
      <c r="AJ11" t="n">
        <v>0</v>
      </c>
      <c r="AK11" t="n">
        <v>72</v>
      </c>
      <c r="AL11" t="n">
        <v>72</v>
      </c>
      <c r="AM11" s="72" t="inlineStr">
        <is>
          <t> </t>
        </is>
      </c>
      <c r="AN11" t="n">
        <v>27784</v>
      </c>
      <c r="AO11" t="n">
        <v>1175</v>
      </c>
      <c r="AP11" t="n">
        <v>2007</v>
      </c>
      <c r="AQ11" t="n">
        <v>745</v>
      </c>
      <c r="AR11" t="inlineStr">
        <is>
          <t>фев.26</t>
        </is>
      </c>
      <c r="AS11" t="n">
        <v>0</v>
      </c>
      <c r="AT11" t="n">
        <v>0</v>
      </c>
      <c r="AU11" t="n">
        <v>71</v>
      </c>
      <c r="AV11" t="n">
        <v>71</v>
      </c>
      <c r="AW11" s="72" t="inlineStr">
        <is>
          <t> </t>
        </is>
      </c>
      <c r="AX11" t="n">
        <v>61686</v>
      </c>
      <c r="AY11" t="inlineStr">
        <is>
          <t>0039</t>
        </is>
      </c>
      <c r="AZ11" t="n">
        <v>2010</v>
      </c>
      <c r="BA11" t="n">
        <v>745</v>
      </c>
      <c r="BB11" t="inlineStr">
        <is>
          <t>фев.26</t>
        </is>
      </c>
      <c r="BC11" t="n">
        <v>0</v>
      </c>
      <c r="BD11" t="n">
        <v>0</v>
      </c>
      <c r="BE11" t="n">
        <v>70</v>
      </c>
      <c r="BF11" t="n">
        <v>70</v>
      </c>
      <c r="BG11" s="72" t="inlineStr">
        <is>
          <t> </t>
        </is>
      </c>
      <c r="BH11" t="n">
        <v>14096</v>
      </c>
      <c r="BI11" t="n">
        <v>1291</v>
      </c>
      <c r="BJ11" t="n">
        <v>2013</v>
      </c>
      <c r="BM11" s="72" t="inlineStr">
        <is>
          <t> </t>
        </is>
      </c>
      <c r="BN11" t="n">
        <v>13922</v>
      </c>
      <c r="BO11" t="n">
        <v>1291</v>
      </c>
      <c r="BP11" t="n">
        <v>2013</v>
      </c>
      <c r="BS11" s="72" t="inlineStr">
        <is>
          <t> </t>
        </is>
      </c>
      <c r="BT11" t="n">
        <v>41746</v>
      </c>
      <c r="BU11" t="n">
        <v>1291</v>
      </c>
      <c r="BV11" t="n">
        <v>2013</v>
      </c>
      <c r="BY11" s="72" t="inlineStr">
        <is>
          <t> </t>
        </is>
      </c>
      <c r="BZ11" t="n">
        <v>41214</v>
      </c>
      <c r="CA11" t="n">
        <v>1291</v>
      </c>
      <c r="CB11" t="n">
        <v>2013</v>
      </c>
      <c r="CE11" s="72" t="inlineStr">
        <is>
          <t> </t>
        </is>
      </c>
      <c r="CF11" t="n">
        <v>42087</v>
      </c>
      <c r="CG11" t="n">
        <v>1291</v>
      </c>
      <c r="CH11" t="n">
        <v>2013</v>
      </c>
      <c r="CK11" s="72" t="inlineStr">
        <is>
          <t> </t>
        </is>
      </c>
      <c r="CL11" t="n">
        <v>41710</v>
      </c>
      <c r="CM11" t="n">
        <v>1291</v>
      </c>
      <c r="CN11" t="n">
        <v>2013</v>
      </c>
    </row>
    <row r="12">
      <c r="A12" t="n">
        <v>77228781</v>
      </c>
      <c r="B12" s="3" t="inlineStr">
        <is>
          <t>Цистерна для перевозки продуктов</t>
        </is>
      </c>
      <c r="C12" t="inlineStr">
        <is>
          <t>15-5103-7П</t>
        </is>
      </c>
      <c r="D12" t="inlineStr">
        <is>
          <t>19.01.2015</t>
        </is>
      </c>
      <c r="E12" t="n">
        <v>2015</v>
      </c>
      <c r="F12" t="inlineStr">
        <is>
          <t>19.01.2047</t>
        </is>
      </c>
      <c r="G12" t="inlineStr">
        <is>
          <t>20.08.2025</t>
        </is>
      </c>
      <c r="H12" t="inlineStr">
        <is>
          <t>Орский ВРЗ-филиал ООО "НВК"</t>
        </is>
      </c>
      <c r="K12" t="inlineStr">
        <is>
          <t>Капитальный</t>
        </is>
      </c>
      <c r="L12" t="inlineStr">
        <is>
          <t>20.08.2028</t>
        </is>
      </c>
      <c r="M12" t="inlineStr">
        <is>
          <t>ООО "ТрансАльянс Запад"</t>
        </is>
      </c>
      <c r="N12" t="n">
        <v>160000</v>
      </c>
      <c r="O12" t="n">
        <v>45251</v>
      </c>
      <c r="P12" t="n">
        <v>114749</v>
      </c>
      <c r="Q12" t="inlineStr">
        <is>
          <t>27.11.2028</t>
        </is>
      </c>
      <c r="R12" t="inlineStr">
        <is>
          <t>20.08.2025</t>
        </is>
      </c>
      <c r="S12" s="72" t="inlineStr">
        <is>
          <t> </t>
        </is>
      </c>
      <c r="T12" t="n">
        <v>881967</v>
      </c>
      <c r="U12" t="inlineStr">
        <is>
          <t>0029</t>
        </is>
      </c>
      <c r="V12" t="n">
        <v>2010</v>
      </c>
      <c r="W12" t="n">
        <v>2348</v>
      </c>
      <c r="X12" t="inlineStr">
        <is>
          <t>авг.25</t>
        </is>
      </c>
      <c r="Y12" t="n">
        <v>30</v>
      </c>
      <c r="Z12" t="n">
        <v>30</v>
      </c>
      <c r="AA12" t="n">
        <v>60</v>
      </c>
      <c r="AB12" t="n">
        <v>60</v>
      </c>
      <c r="AC12" s="72" t="inlineStr">
        <is>
          <t> </t>
        </is>
      </c>
      <c r="AD12" t="n">
        <v>133082</v>
      </c>
      <c r="AE12" t="inlineStr">
        <is>
          <t>0005</t>
        </is>
      </c>
      <c r="AF12" t="n">
        <v>2014</v>
      </c>
      <c r="AG12" t="n">
        <v>2348</v>
      </c>
      <c r="AH12" t="inlineStr">
        <is>
          <t>авг.25</t>
        </is>
      </c>
      <c r="AI12" t="n">
        <v>30</v>
      </c>
      <c r="AJ12" t="n">
        <v>30</v>
      </c>
      <c r="AK12" t="n">
        <v>60</v>
      </c>
      <c r="AL12" t="n">
        <v>60</v>
      </c>
      <c r="AM12" s="72" t="inlineStr">
        <is>
          <t> </t>
        </is>
      </c>
      <c r="AN12" t="n">
        <v>132197</v>
      </c>
      <c r="AO12" t="inlineStr">
        <is>
          <t>0005</t>
        </is>
      </c>
      <c r="AP12" t="n">
        <v>2014</v>
      </c>
      <c r="AQ12" t="n">
        <v>2348</v>
      </c>
      <c r="AR12" t="inlineStr">
        <is>
          <t>авг.25</t>
        </is>
      </c>
      <c r="AS12" t="n">
        <v>30</v>
      </c>
      <c r="AT12" t="n">
        <v>30</v>
      </c>
      <c r="AU12" t="n">
        <v>58</v>
      </c>
      <c r="AV12" t="n">
        <v>58</v>
      </c>
      <c r="AW12" s="72" t="inlineStr">
        <is>
          <t> </t>
        </is>
      </c>
      <c r="AX12" t="n">
        <v>389220</v>
      </c>
      <c r="AY12" t="inlineStr">
        <is>
          <t>0005</t>
        </is>
      </c>
      <c r="AZ12" t="n">
        <v>2013</v>
      </c>
      <c r="BA12" t="n">
        <v>2348</v>
      </c>
      <c r="BB12" t="inlineStr">
        <is>
          <t>авг.25</t>
        </is>
      </c>
      <c r="BC12" t="n">
        <v>30</v>
      </c>
      <c r="BD12" t="n">
        <v>30</v>
      </c>
      <c r="BE12" t="n">
        <v>59</v>
      </c>
      <c r="BF12" t="n">
        <v>58</v>
      </c>
      <c r="BG12" s="72" t="inlineStr">
        <is>
          <t> </t>
        </is>
      </c>
      <c r="BH12" t="n">
        <v>34861</v>
      </c>
      <c r="BI12" t="inlineStr">
        <is>
          <t>0005</t>
        </is>
      </c>
      <c r="BJ12" t="n">
        <v>2014</v>
      </c>
      <c r="BM12" s="72" t="inlineStr">
        <is>
          <t> </t>
        </is>
      </c>
      <c r="BN12" t="n">
        <v>35626</v>
      </c>
      <c r="BO12" t="inlineStr">
        <is>
          <t>0005</t>
        </is>
      </c>
      <c r="BP12" t="n">
        <v>2014</v>
      </c>
      <c r="BS12" s="72" t="inlineStr">
        <is>
          <t> </t>
        </is>
      </c>
      <c r="BT12" t="n">
        <v>920</v>
      </c>
      <c r="BU12" t="inlineStr">
        <is>
          <t>0005</t>
        </is>
      </c>
      <c r="BV12" t="n">
        <v>2015</v>
      </c>
      <c r="BY12" s="72" t="inlineStr">
        <is>
          <t> </t>
        </is>
      </c>
      <c r="BZ12" t="n">
        <v>1398</v>
      </c>
      <c r="CA12" t="inlineStr">
        <is>
          <t>0005</t>
        </is>
      </c>
      <c r="CB12" t="n">
        <v>2015</v>
      </c>
      <c r="CE12" s="72" t="inlineStr">
        <is>
          <t> </t>
        </is>
      </c>
      <c r="CF12" t="n">
        <v>1466</v>
      </c>
      <c r="CG12" t="inlineStr">
        <is>
          <t>0005</t>
        </is>
      </c>
      <c r="CH12" t="n">
        <v>2015</v>
      </c>
      <c r="CK12" s="72" t="inlineStr">
        <is>
          <t> </t>
        </is>
      </c>
      <c r="CL12" t="n">
        <v>1898</v>
      </c>
      <c r="CM12" t="inlineStr">
        <is>
          <t>0005</t>
        </is>
      </c>
      <c r="CN12" t="n">
        <v>2015</v>
      </c>
    </row>
    <row r="13">
      <c r="A13" t="n">
        <v>77221810</v>
      </c>
      <c r="B13" s="3" t="inlineStr">
        <is>
          <t>Цистерна для перевозки продуктов</t>
        </is>
      </c>
      <c r="C13" t="inlineStr">
        <is>
          <t>15-5103-7П</t>
        </is>
      </c>
      <c r="D13" t="inlineStr">
        <is>
          <t>06.09.2011</t>
        </is>
      </c>
      <c r="E13" t="n">
        <v>2011</v>
      </c>
      <c r="F13" t="inlineStr">
        <is>
          <t>06.09.2043</t>
        </is>
      </c>
      <c r="G13" t="inlineStr">
        <is>
          <t>21.12.2022</t>
        </is>
      </c>
      <c r="H13" t="inlineStr">
        <is>
          <t>ВЧДР Ульяновск – ОСП АО "ОМК Стальной путь"</t>
        </is>
      </c>
      <c r="I13" t="inlineStr">
        <is>
          <t>21.08.2025</t>
        </is>
      </c>
      <c r="J13" t="inlineStr">
        <is>
          <t>ВРЗ Челябинск – филиал ООО "НВК"</t>
        </is>
      </c>
      <c r="K13" t="inlineStr">
        <is>
          <t>Деповской</t>
        </is>
      </c>
      <c r="L13" t="inlineStr">
        <is>
          <t>21.08.2028</t>
        </is>
      </c>
      <c r="M13" t="inlineStr">
        <is>
          <t>ООО "ТрансАльянс Запад"</t>
        </is>
      </c>
      <c r="N13" t="n">
        <v>160000</v>
      </c>
      <c r="O13" t="n">
        <v>36954</v>
      </c>
      <c r="P13" t="n">
        <v>123046</v>
      </c>
      <c r="Q13" t="inlineStr">
        <is>
          <t>19.08.2029</t>
        </is>
      </c>
      <c r="R13" t="inlineStr">
        <is>
          <t>21.08.2025</t>
        </is>
      </c>
      <c r="S13" s="72" t="inlineStr">
        <is>
          <t> </t>
        </is>
      </c>
      <c r="T13" t="n">
        <v>387818</v>
      </c>
      <c r="U13" t="inlineStr">
        <is>
          <t>0005</t>
        </is>
      </c>
      <c r="V13" t="n">
        <v>2013</v>
      </c>
      <c r="W13" t="n">
        <v>600</v>
      </c>
      <c r="X13" t="inlineStr">
        <is>
          <t>авг.25</t>
        </is>
      </c>
      <c r="Y13" t="n">
        <v>33</v>
      </c>
      <c r="Z13" t="n">
        <v>33</v>
      </c>
      <c r="AA13" t="n">
        <v>71</v>
      </c>
      <c r="AB13" t="n">
        <v>70</v>
      </c>
      <c r="AC13" s="72" t="inlineStr">
        <is>
          <t> </t>
        </is>
      </c>
      <c r="AD13" t="n">
        <v>285936</v>
      </c>
      <c r="AE13" t="inlineStr">
        <is>
          <t>0005</t>
        </is>
      </c>
      <c r="AF13" t="n">
        <v>2011</v>
      </c>
      <c r="AG13" t="n">
        <v>600</v>
      </c>
      <c r="AH13" t="inlineStr">
        <is>
          <t>авг.25</t>
        </is>
      </c>
      <c r="AI13" t="n">
        <v>33</v>
      </c>
      <c r="AJ13" t="n">
        <v>33</v>
      </c>
      <c r="AK13" t="n">
        <v>74</v>
      </c>
      <c r="AL13" t="n">
        <v>74</v>
      </c>
      <c r="AM13" s="72" t="inlineStr">
        <is>
          <t> </t>
        </is>
      </c>
      <c r="AN13" t="n">
        <v>144857</v>
      </c>
      <c r="AO13" t="inlineStr">
        <is>
          <t>0005</t>
        </is>
      </c>
      <c r="AP13" t="n">
        <v>2014</v>
      </c>
      <c r="AQ13" t="n">
        <v>600</v>
      </c>
      <c r="AR13" t="inlineStr">
        <is>
          <t>авг.25</t>
        </is>
      </c>
      <c r="AS13" t="n">
        <v>33</v>
      </c>
      <c r="AT13" t="n">
        <v>33</v>
      </c>
      <c r="AU13" t="n">
        <v>71</v>
      </c>
      <c r="AV13" t="n">
        <v>71</v>
      </c>
      <c r="AW13" s="72" t="inlineStr">
        <is>
          <t> </t>
        </is>
      </c>
      <c r="AX13" t="n">
        <v>285133</v>
      </c>
      <c r="AY13" t="inlineStr">
        <is>
          <t>0005</t>
        </is>
      </c>
      <c r="AZ13" t="n">
        <v>2011</v>
      </c>
      <c r="BA13" t="n">
        <v>600</v>
      </c>
      <c r="BB13" t="inlineStr">
        <is>
          <t>авг.25</t>
        </is>
      </c>
      <c r="BC13" t="n">
        <v>33</v>
      </c>
      <c r="BD13" t="n">
        <v>33</v>
      </c>
      <c r="BE13" t="n">
        <v>73</v>
      </c>
      <c r="BF13" t="n">
        <v>73</v>
      </c>
      <c r="BG13" s="72" t="inlineStr">
        <is>
          <t> </t>
        </is>
      </c>
      <c r="BH13" t="n">
        <v>38533</v>
      </c>
      <c r="BI13" t="inlineStr">
        <is>
          <t>0005</t>
        </is>
      </c>
      <c r="BJ13" t="n">
        <v>2011</v>
      </c>
      <c r="BM13" s="72" t="inlineStr">
        <is>
          <t> </t>
        </is>
      </c>
      <c r="BN13" t="n">
        <v>38400</v>
      </c>
      <c r="BO13" t="inlineStr">
        <is>
          <t>0005</t>
        </is>
      </c>
      <c r="BP13" t="n">
        <v>2011</v>
      </c>
      <c r="BS13" s="72" t="inlineStr">
        <is>
          <t> </t>
        </is>
      </c>
      <c r="BT13" t="n">
        <v>64559</v>
      </c>
      <c r="BU13" t="inlineStr">
        <is>
          <t>0005</t>
        </is>
      </c>
      <c r="BV13" t="n">
        <v>2011</v>
      </c>
      <c r="BY13" s="72" t="inlineStr">
        <is>
          <t> </t>
        </is>
      </c>
      <c r="BZ13" t="n">
        <v>67459</v>
      </c>
      <c r="CA13" t="inlineStr">
        <is>
          <t>0005</t>
        </is>
      </c>
      <c r="CB13" t="n">
        <v>2011</v>
      </c>
      <c r="CE13" s="72" t="inlineStr">
        <is>
          <t> </t>
        </is>
      </c>
      <c r="CF13" t="n">
        <v>67635</v>
      </c>
      <c r="CG13" t="inlineStr">
        <is>
          <t>0005</t>
        </is>
      </c>
      <c r="CH13" t="n">
        <v>2011</v>
      </c>
      <c r="CK13" s="72" t="inlineStr">
        <is>
          <t> </t>
        </is>
      </c>
      <c r="CL13" t="n">
        <v>66238</v>
      </c>
      <c r="CM13" t="inlineStr">
        <is>
          <t>0005</t>
        </is>
      </c>
      <c r="CN13" t="n">
        <v>2011</v>
      </c>
    </row>
    <row r="14">
      <c r="A14" t="n">
        <v>77228724</v>
      </c>
      <c r="B14" s="3" t="inlineStr">
        <is>
          <t>Цистерна для перевозки продуктов</t>
        </is>
      </c>
      <c r="C14" t="inlineStr">
        <is>
          <t>15-5103-7П</t>
        </is>
      </c>
      <c r="D14" t="inlineStr">
        <is>
          <t>19.01.2015</t>
        </is>
      </c>
      <c r="E14" t="n">
        <v>2015</v>
      </c>
      <c r="F14" t="inlineStr">
        <is>
          <t>19.01.2047</t>
        </is>
      </c>
      <c r="G14" t="inlineStr">
        <is>
          <t>20.08.2025</t>
        </is>
      </c>
      <c r="H14" t="inlineStr">
        <is>
          <t>Орский ВРЗ-филиал ООО "НВК"</t>
        </is>
      </c>
      <c r="K14" t="inlineStr">
        <is>
          <t>Капитальный</t>
        </is>
      </c>
      <c r="L14" t="inlineStr">
        <is>
          <t>20.08.2028</t>
        </is>
      </c>
      <c r="M14" t="inlineStr">
        <is>
          <t>ООО "ТрансАльянс Запад"</t>
        </is>
      </c>
      <c r="N14" t="n">
        <v>160000</v>
      </c>
      <c r="O14" t="n">
        <v>36244</v>
      </c>
      <c r="P14" t="n">
        <v>123756</v>
      </c>
      <c r="Q14" t="inlineStr">
        <is>
          <t>20.09.2029</t>
        </is>
      </c>
      <c r="R14" t="inlineStr">
        <is>
          <t>20.08.2025</t>
        </is>
      </c>
      <c r="S14" s="72" t="inlineStr">
        <is>
          <t> </t>
        </is>
      </c>
      <c r="T14" t="n">
        <v>300837</v>
      </c>
      <c r="U14" t="inlineStr">
        <is>
          <t>0005</t>
        </is>
      </c>
      <c r="V14" t="n">
        <v>2015</v>
      </c>
      <c r="W14" t="n">
        <v>2348</v>
      </c>
      <c r="X14" t="inlineStr">
        <is>
          <t>авг.25</t>
        </is>
      </c>
      <c r="Y14" t="n">
        <v>30</v>
      </c>
      <c r="Z14" t="n">
        <v>30</v>
      </c>
      <c r="AA14" t="n">
        <v>47</v>
      </c>
      <c r="AB14" t="n">
        <v>47</v>
      </c>
      <c r="AC14" s="72" t="inlineStr">
        <is>
          <t> </t>
        </is>
      </c>
      <c r="AD14" t="n">
        <v>303165</v>
      </c>
      <c r="AE14" t="inlineStr">
        <is>
          <t>0005</t>
        </is>
      </c>
      <c r="AF14" t="n">
        <v>2015</v>
      </c>
      <c r="AG14" t="n">
        <v>2348</v>
      </c>
      <c r="AH14" t="inlineStr">
        <is>
          <t>авг.25</t>
        </is>
      </c>
      <c r="AI14" t="n">
        <v>30</v>
      </c>
      <c r="AJ14" t="n">
        <v>30</v>
      </c>
      <c r="AK14" t="n">
        <v>43</v>
      </c>
      <c r="AL14" t="n">
        <v>43</v>
      </c>
      <c r="AM14" s="72" t="inlineStr">
        <is>
          <t> </t>
        </is>
      </c>
      <c r="AN14" t="n">
        <v>301420</v>
      </c>
      <c r="AO14" t="inlineStr">
        <is>
          <t>0005</t>
        </is>
      </c>
      <c r="AP14" t="n">
        <v>2015</v>
      </c>
      <c r="AQ14" t="n">
        <v>2348</v>
      </c>
      <c r="AR14" t="inlineStr">
        <is>
          <t>авг.25</t>
        </is>
      </c>
      <c r="AS14" t="n">
        <v>30</v>
      </c>
      <c r="AT14" t="n">
        <v>30</v>
      </c>
      <c r="AU14" t="n">
        <v>41</v>
      </c>
      <c r="AV14" t="n">
        <v>41</v>
      </c>
      <c r="AW14" s="72" t="inlineStr">
        <is>
          <t> </t>
        </is>
      </c>
      <c r="AX14" t="n">
        <v>207759</v>
      </c>
      <c r="AY14" t="inlineStr">
        <is>
          <t>0005</t>
        </is>
      </c>
      <c r="AZ14" t="n">
        <v>2014</v>
      </c>
      <c r="BA14" t="n">
        <v>2348</v>
      </c>
      <c r="BB14" t="inlineStr">
        <is>
          <t>авг.25</t>
        </is>
      </c>
      <c r="BC14" t="n">
        <v>30</v>
      </c>
      <c r="BD14" t="n">
        <v>30</v>
      </c>
      <c r="BE14" t="n">
        <v>42</v>
      </c>
      <c r="BF14" t="n">
        <v>42</v>
      </c>
      <c r="BG14" s="72" t="inlineStr">
        <is>
          <t> </t>
        </is>
      </c>
      <c r="BH14" t="n">
        <v>35428</v>
      </c>
      <c r="BI14" t="inlineStr">
        <is>
          <t>0005</t>
        </is>
      </c>
      <c r="BJ14" t="n">
        <v>2014</v>
      </c>
      <c r="BM14" s="72" t="inlineStr">
        <is>
          <t> </t>
        </is>
      </c>
      <c r="BN14" t="n">
        <v>35655</v>
      </c>
      <c r="BO14" t="inlineStr">
        <is>
          <t>0005</t>
        </is>
      </c>
      <c r="BP14" t="n">
        <v>2014</v>
      </c>
      <c r="BS14" s="72" t="inlineStr">
        <is>
          <t> </t>
        </is>
      </c>
      <c r="BT14" t="n">
        <v>2572</v>
      </c>
      <c r="BU14" t="inlineStr">
        <is>
          <t>0005</t>
        </is>
      </c>
      <c r="BV14" t="n">
        <v>2015</v>
      </c>
      <c r="BY14" s="72" t="inlineStr">
        <is>
          <t> </t>
        </is>
      </c>
      <c r="BZ14" t="n">
        <v>1213</v>
      </c>
      <c r="CA14" t="inlineStr">
        <is>
          <t>0005</t>
        </is>
      </c>
      <c r="CB14" t="n">
        <v>2015</v>
      </c>
      <c r="CE14" s="72" t="inlineStr">
        <is>
          <t> </t>
        </is>
      </c>
      <c r="CF14" t="n">
        <v>1582</v>
      </c>
      <c r="CG14" t="inlineStr">
        <is>
          <t>0005</t>
        </is>
      </c>
      <c r="CH14" t="n">
        <v>2015</v>
      </c>
      <c r="CK14" s="72" t="inlineStr">
        <is>
          <t> </t>
        </is>
      </c>
      <c r="CL14" t="n">
        <v>1625</v>
      </c>
      <c r="CM14" t="inlineStr">
        <is>
          <t>0005</t>
        </is>
      </c>
      <c r="CN14" t="n">
        <v>2015</v>
      </c>
    </row>
    <row r="15">
      <c r="A15" t="n">
        <v>77222040</v>
      </c>
      <c r="B15" s="3" t="inlineStr">
        <is>
          <t>Цистерна для перевозки продуктов</t>
        </is>
      </c>
      <c r="C15" t="inlineStr">
        <is>
          <t>15-150-04П</t>
        </is>
      </c>
      <c r="D15" t="inlineStr">
        <is>
          <t>31.08.2011</t>
        </is>
      </c>
      <c r="E15" t="n">
        <v>2011</v>
      </c>
      <c r="F15" t="inlineStr">
        <is>
          <t>31.08.2043</t>
        </is>
      </c>
      <c r="G15" t="inlineStr">
        <is>
          <t>19.01.2023</t>
        </is>
      </c>
      <c r="H15" t="inlineStr">
        <is>
          <t>ВРД Кочетовка – филиал ООО "НВК"</t>
        </is>
      </c>
      <c r="I15" t="inlineStr">
        <is>
          <t>22.08.2025</t>
        </is>
      </c>
      <c r="J15" t="inlineStr">
        <is>
          <t>ВРЗ Челябинск – филиал ООО "НВК"</t>
        </is>
      </c>
      <c r="K15" t="inlineStr">
        <is>
          <t>Деповской</t>
        </is>
      </c>
      <c r="L15" t="inlineStr">
        <is>
          <t>22.08.2028</t>
        </is>
      </c>
      <c r="M15" t="inlineStr">
        <is>
          <t>ООО "ТрансАльянс Запад"</t>
        </is>
      </c>
      <c r="N15" t="n">
        <v>160000</v>
      </c>
      <c r="O15" t="n">
        <v>36020</v>
      </c>
      <c r="P15" t="n">
        <v>123980</v>
      </c>
      <c r="Q15" t="inlineStr">
        <is>
          <t>23.09.2029</t>
        </is>
      </c>
      <c r="R15" t="inlineStr">
        <is>
          <t>22.08.2025</t>
        </is>
      </c>
      <c r="S15" s="72" t="inlineStr">
        <is>
          <t> </t>
        </is>
      </c>
      <c r="T15" t="n">
        <v>361758</v>
      </c>
      <c r="U15" t="inlineStr">
        <is>
          <t>0005</t>
        </is>
      </c>
      <c r="V15" t="n">
        <v>2013</v>
      </c>
      <c r="W15" t="n">
        <v>600</v>
      </c>
      <c r="X15" t="inlineStr">
        <is>
          <t>авг.25</t>
        </is>
      </c>
      <c r="Y15" t="n">
        <v>29</v>
      </c>
      <c r="Z15" t="n">
        <v>29</v>
      </c>
      <c r="AA15" t="n">
        <v>64</v>
      </c>
      <c r="AB15" t="n">
        <v>63</v>
      </c>
      <c r="AC15" s="72" t="inlineStr">
        <is>
          <t> </t>
        </is>
      </c>
      <c r="AD15" t="n">
        <v>283089</v>
      </c>
      <c r="AE15" t="inlineStr">
        <is>
          <t>0005</t>
        </is>
      </c>
      <c r="AF15" t="n">
        <v>2011</v>
      </c>
      <c r="AG15" t="n">
        <v>600</v>
      </c>
      <c r="AH15" t="inlineStr">
        <is>
          <t>авг.25</t>
        </is>
      </c>
      <c r="AI15" t="n">
        <v>29</v>
      </c>
      <c r="AJ15" t="n">
        <v>29</v>
      </c>
      <c r="AK15" t="n">
        <v>66</v>
      </c>
      <c r="AL15" t="n">
        <v>67</v>
      </c>
      <c r="AM15" s="72" t="inlineStr">
        <is>
          <t> </t>
        </is>
      </c>
      <c r="AN15" t="n">
        <v>361783</v>
      </c>
      <c r="AO15" t="inlineStr">
        <is>
          <t>0005</t>
        </is>
      </c>
      <c r="AP15" t="n">
        <v>2013</v>
      </c>
      <c r="AQ15" t="n">
        <v>600</v>
      </c>
      <c r="AR15" t="inlineStr">
        <is>
          <t>авг.25</t>
        </is>
      </c>
      <c r="AS15" t="n">
        <v>29</v>
      </c>
      <c r="AT15" t="n">
        <v>29</v>
      </c>
      <c r="AU15" t="n">
        <v>67</v>
      </c>
      <c r="AV15" t="n">
        <v>67</v>
      </c>
      <c r="AW15" s="72" t="inlineStr">
        <is>
          <t> </t>
        </is>
      </c>
      <c r="AX15" t="n">
        <v>178288</v>
      </c>
      <c r="AY15" t="inlineStr">
        <is>
          <t>0005</t>
        </is>
      </c>
      <c r="AZ15" t="n">
        <v>2014</v>
      </c>
      <c r="BA15" t="n">
        <v>600</v>
      </c>
      <c r="BB15" t="inlineStr">
        <is>
          <t>авг.25</t>
        </is>
      </c>
      <c r="BC15" t="n">
        <v>29</v>
      </c>
      <c r="BD15" t="n">
        <v>29</v>
      </c>
      <c r="BE15" t="n">
        <v>68</v>
      </c>
      <c r="BF15" t="n">
        <v>68</v>
      </c>
      <c r="BG15" s="72" t="inlineStr">
        <is>
          <t> </t>
        </is>
      </c>
      <c r="BH15" t="n">
        <v>37526</v>
      </c>
      <c r="BI15" t="inlineStr">
        <is>
          <t>0005</t>
        </is>
      </c>
      <c r="BJ15" t="n">
        <v>2011</v>
      </c>
      <c r="BM15" s="72" t="inlineStr">
        <is>
          <t> </t>
        </is>
      </c>
      <c r="BN15" t="n">
        <v>36840</v>
      </c>
      <c r="BO15" t="inlineStr">
        <is>
          <t>0005</t>
        </is>
      </c>
      <c r="BP15" t="n">
        <v>2011</v>
      </c>
      <c r="BS15" s="72" t="inlineStr">
        <is>
          <t> </t>
        </is>
      </c>
      <c r="BT15" t="n">
        <v>65174</v>
      </c>
      <c r="BU15" t="inlineStr">
        <is>
          <t>0005</t>
        </is>
      </c>
      <c r="BV15" t="n">
        <v>2011</v>
      </c>
      <c r="BY15" s="72" t="inlineStr">
        <is>
          <t> </t>
        </is>
      </c>
      <c r="BZ15" t="n">
        <v>64960</v>
      </c>
      <c r="CA15" t="inlineStr">
        <is>
          <t>0005</t>
        </is>
      </c>
      <c r="CB15" t="n">
        <v>2011</v>
      </c>
      <c r="CE15" s="72" t="inlineStr">
        <is>
          <t> </t>
        </is>
      </c>
      <c r="CF15" t="n">
        <v>66375</v>
      </c>
      <c r="CG15" t="inlineStr">
        <is>
          <t>0005</t>
        </is>
      </c>
      <c r="CH15" t="n">
        <v>2011</v>
      </c>
      <c r="CK15" s="72" t="inlineStr">
        <is>
          <t> </t>
        </is>
      </c>
      <c r="CL15" t="n">
        <v>66315</v>
      </c>
      <c r="CM15" t="inlineStr">
        <is>
          <t>0005</t>
        </is>
      </c>
      <c r="CN15" t="n">
        <v>2011</v>
      </c>
    </row>
    <row r="16">
      <c r="A16" t="n">
        <v>77227080</v>
      </c>
      <c r="B16" s="3" t="inlineStr">
        <is>
          <t>Цистерна для перевозки продуктов</t>
        </is>
      </c>
      <c r="C16" t="inlineStr">
        <is>
          <t>15-5103-7П</t>
        </is>
      </c>
      <c r="D16" t="inlineStr">
        <is>
          <t>19.01.2012</t>
        </is>
      </c>
      <c r="E16" t="n">
        <v>2012</v>
      </c>
      <c r="F16" t="inlineStr">
        <is>
          <t>19.01.2044</t>
        </is>
      </c>
      <c r="G16" t="inlineStr">
        <is>
          <t>29.09.2022</t>
        </is>
      </c>
      <c r="H16" t="inlineStr">
        <is>
          <t>ВЧД Унеча-ООО "НВК"</t>
        </is>
      </c>
      <c r="I16" t="inlineStr">
        <is>
          <t>23.09.2025</t>
        </is>
      </c>
      <c r="J16" t="inlineStr">
        <is>
          <t>ВРЗ Челябинск – филиал ООО "НВК"</t>
        </is>
      </c>
      <c r="K16" t="inlineStr">
        <is>
          <t>Деповской</t>
        </is>
      </c>
      <c r="L16" t="inlineStr">
        <is>
          <t>23.09.2028</t>
        </is>
      </c>
      <c r="M16" t="inlineStr">
        <is>
          <t>ООО "ТрансАльянс Запад"</t>
        </is>
      </c>
      <c r="N16" t="n">
        <v>160000</v>
      </c>
      <c r="O16" t="n">
        <v>42876</v>
      </c>
      <c r="P16" t="n">
        <v>117124</v>
      </c>
      <c r="Q16" t="inlineStr">
        <is>
          <t>31.10.2028</t>
        </is>
      </c>
      <c r="R16" t="inlineStr">
        <is>
          <t>23.09.2025</t>
        </is>
      </c>
      <c r="S16" s="72" t="inlineStr">
        <is>
          <t> </t>
        </is>
      </c>
      <c r="T16" t="n">
        <v>122882</v>
      </c>
      <c r="U16" t="inlineStr">
        <is>
          <t>0005</t>
        </is>
      </c>
      <c r="V16" t="n">
        <v>2012</v>
      </c>
      <c r="W16" t="n">
        <v>600</v>
      </c>
      <c r="X16" t="inlineStr">
        <is>
          <t>сен.25</t>
        </is>
      </c>
      <c r="Y16" t="n">
        <v>29</v>
      </c>
      <c r="Z16" t="n">
        <v>29</v>
      </c>
      <c r="AA16" t="n">
        <v>71</v>
      </c>
      <c r="AB16" t="n">
        <v>71</v>
      </c>
      <c r="AC16" s="72" t="inlineStr">
        <is>
          <t> </t>
        </is>
      </c>
      <c r="AD16" t="n">
        <v>123143</v>
      </c>
      <c r="AE16" t="inlineStr">
        <is>
          <t>0005</t>
        </is>
      </c>
      <c r="AF16" t="n">
        <v>2012</v>
      </c>
      <c r="AG16" t="n">
        <v>600</v>
      </c>
      <c r="AH16" t="inlineStr">
        <is>
          <t>сен.25</t>
        </is>
      </c>
      <c r="AI16" t="n">
        <v>29</v>
      </c>
      <c r="AJ16" t="n">
        <v>29</v>
      </c>
      <c r="AK16" t="n">
        <v>71</v>
      </c>
      <c r="AL16" t="n">
        <v>71</v>
      </c>
      <c r="AM16" s="72" t="inlineStr">
        <is>
          <t> </t>
        </is>
      </c>
      <c r="AN16" t="n">
        <v>305740</v>
      </c>
      <c r="AO16" t="inlineStr">
        <is>
          <t>0005</t>
        </is>
      </c>
      <c r="AP16" t="n">
        <v>2011</v>
      </c>
      <c r="AQ16" t="n">
        <v>600</v>
      </c>
      <c r="AR16" t="inlineStr">
        <is>
          <t>сен.25</t>
        </is>
      </c>
      <c r="AS16" t="n">
        <v>29</v>
      </c>
      <c r="AT16" t="n">
        <v>29</v>
      </c>
      <c r="AU16" t="n">
        <v>72</v>
      </c>
      <c r="AV16" t="n">
        <v>71</v>
      </c>
      <c r="AW16" s="72" t="inlineStr">
        <is>
          <t> </t>
        </is>
      </c>
      <c r="AX16" t="n">
        <v>315082</v>
      </c>
      <c r="AY16" t="inlineStr">
        <is>
          <t>0005</t>
        </is>
      </c>
      <c r="AZ16" t="n">
        <v>2011</v>
      </c>
      <c r="BA16" t="n">
        <v>600</v>
      </c>
      <c r="BB16" t="inlineStr">
        <is>
          <t>сен.25</t>
        </is>
      </c>
      <c r="BC16" t="n">
        <v>29</v>
      </c>
      <c r="BD16" t="n">
        <v>29</v>
      </c>
      <c r="BE16" t="n">
        <v>72</v>
      </c>
      <c r="BF16" t="n">
        <v>73</v>
      </c>
      <c r="BG16" s="72" t="inlineStr">
        <is>
          <t> </t>
        </is>
      </c>
      <c r="BH16" t="n">
        <v>49779</v>
      </c>
      <c r="BI16" t="inlineStr">
        <is>
          <t>0005</t>
        </is>
      </c>
      <c r="BJ16" t="n">
        <v>2011</v>
      </c>
      <c r="BM16" s="72" t="inlineStr">
        <is>
          <t> </t>
        </is>
      </c>
      <c r="BN16" t="n">
        <v>3063</v>
      </c>
      <c r="BO16" t="inlineStr">
        <is>
          <t>0005</t>
        </is>
      </c>
      <c r="BP16" t="n">
        <v>2012</v>
      </c>
      <c r="BS16" s="72" t="inlineStr">
        <is>
          <t> </t>
        </is>
      </c>
      <c r="BT16" t="n">
        <v>88660</v>
      </c>
      <c r="BU16" t="inlineStr">
        <is>
          <t>0005</t>
        </is>
      </c>
      <c r="BV16" t="n">
        <v>2011</v>
      </c>
      <c r="BY16" s="72" t="inlineStr">
        <is>
          <t> </t>
        </is>
      </c>
      <c r="BZ16" t="n">
        <v>86578</v>
      </c>
      <c r="CA16" t="inlineStr">
        <is>
          <t>0005</t>
        </is>
      </c>
      <c r="CB16" t="n">
        <v>2011</v>
      </c>
      <c r="CE16" s="72" t="inlineStr">
        <is>
          <t> </t>
        </is>
      </c>
      <c r="CF16" t="n">
        <v>95277</v>
      </c>
      <c r="CG16" t="inlineStr">
        <is>
          <t>0005</t>
        </is>
      </c>
      <c r="CH16" t="n">
        <v>2012</v>
      </c>
      <c r="CK16" s="72" t="inlineStr">
        <is>
          <t> </t>
        </is>
      </c>
      <c r="CL16" t="n">
        <v>5895</v>
      </c>
      <c r="CM16" t="inlineStr">
        <is>
          <t>0005</t>
        </is>
      </c>
      <c r="CN16" t="n">
        <v>2012</v>
      </c>
    </row>
    <row r="17">
      <c r="A17" t="n">
        <v>77228773</v>
      </c>
      <c r="B17" s="3" t="inlineStr">
        <is>
          <t>Цистерна для перевозки продуктов</t>
        </is>
      </c>
      <c r="C17" t="inlineStr">
        <is>
          <t>15-5103-7П</t>
        </is>
      </c>
      <c r="D17" t="inlineStr">
        <is>
          <t>19.01.2015</t>
        </is>
      </c>
      <c r="E17" t="n">
        <v>2015</v>
      </c>
      <c r="F17" t="inlineStr">
        <is>
          <t>19.01.2047</t>
        </is>
      </c>
      <c r="G17" t="inlineStr">
        <is>
          <t>24.08.2025</t>
        </is>
      </c>
      <c r="H17" t="inlineStr">
        <is>
          <t>Орский ВРЗ-филиал ООО "НВК"</t>
        </is>
      </c>
      <c r="K17" t="inlineStr">
        <is>
          <t>Капитальный</t>
        </is>
      </c>
      <c r="L17" t="inlineStr">
        <is>
          <t>24.08.2028</t>
        </is>
      </c>
      <c r="M17" t="inlineStr">
        <is>
          <t>ООО "ТрансАльянс Запад"</t>
        </is>
      </c>
      <c r="N17" t="n">
        <v>160000</v>
      </c>
      <c r="O17" t="n">
        <v>39135</v>
      </c>
      <c r="P17" t="n">
        <v>120865</v>
      </c>
      <c r="Q17" t="inlineStr">
        <is>
          <t>21.05.2029</t>
        </is>
      </c>
      <c r="R17" t="inlineStr">
        <is>
          <t>24.08.2025</t>
        </is>
      </c>
      <c r="S17" s="72" t="inlineStr">
        <is>
          <t> </t>
        </is>
      </c>
      <c r="T17" t="n">
        <v>975384</v>
      </c>
      <c r="U17" t="inlineStr">
        <is>
          <t>0029</t>
        </is>
      </c>
      <c r="V17" t="n">
        <v>2011</v>
      </c>
      <c r="W17" t="n">
        <v>2348</v>
      </c>
      <c r="X17" t="inlineStr">
        <is>
          <t>авг.25</t>
        </is>
      </c>
      <c r="Y17" t="n">
        <v>30</v>
      </c>
      <c r="Z17" t="n">
        <v>30</v>
      </c>
      <c r="AA17" t="n">
        <v>53</v>
      </c>
      <c r="AB17" t="n">
        <v>51</v>
      </c>
      <c r="AC17" s="72" t="inlineStr">
        <is>
          <t> </t>
        </is>
      </c>
      <c r="AD17" t="n">
        <v>26652</v>
      </c>
      <c r="AE17" t="inlineStr">
        <is>
          <t>0039</t>
        </is>
      </c>
      <c r="AF17" t="n">
        <v>2006</v>
      </c>
      <c r="AG17" t="n">
        <v>2348</v>
      </c>
      <c r="AH17" t="inlineStr">
        <is>
          <t>авг.25</t>
        </is>
      </c>
      <c r="AI17" t="n">
        <v>30</v>
      </c>
      <c r="AJ17" t="n">
        <v>30</v>
      </c>
      <c r="AK17" t="n">
        <v>56</v>
      </c>
      <c r="AL17" t="n">
        <v>55</v>
      </c>
      <c r="AM17" s="72" t="inlineStr">
        <is>
          <t> </t>
        </is>
      </c>
      <c r="AN17" t="n">
        <v>861974</v>
      </c>
      <c r="AO17" t="inlineStr">
        <is>
          <t>0029</t>
        </is>
      </c>
      <c r="AP17" t="n">
        <v>1990</v>
      </c>
      <c r="AQ17" t="n">
        <v>2348</v>
      </c>
      <c r="AR17" t="inlineStr">
        <is>
          <t>авг.25</t>
        </is>
      </c>
      <c r="AS17" t="n">
        <v>30</v>
      </c>
      <c r="AT17" t="n">
        <v>30</v>
      </c>
      <c r="AU17" t="n">
        <v>58</v>
      </c>
      <c r="AV17" t="n">
        <v>58</v>
      </c>
      <c r="AW17" s="72" t="inlineStr">
        <is>
          <t> </t>
        </is>
      </c>
      <c r="AX17" t="n">
        <v>108425</v>
      </c>
      <c r="AY17" t="inlineStr">
        <is>
          <t>0005</t>
        </is>
      </c>
      <c r="AZ17" t="n">
        <v>2006</v>
      </c>
      <c r="BA17" t="n">
        <v>2348</v>
      </c>
      <c r="BB17" t="inlineStr">
        <is>
          <t>авг.25</t>
        </is>
      </c>
      <c r="BC17" t="n">
        <v>30</v>
      </c>
      <c r="BD17" t="n">
        <v>30</v>
      </c>
      <c r="BE17" t="n">
        <v>58</v>
      </c>
      <c r="BF17" t="n">
        <v>57</v>
      </c>
      <c r="BG17" s="72" t="inlineStr">
        <is>
          <t> </t>
        </is>
      </c>
      <c r="BH17" t="n">
        <v>35195</v>
      </c>
      <c r="BI17" t="inlineStr">
        <is>
          <t>0005</t>
        </is>
      </c>
      <c r="BJ17" t="n">
        <v>2014</v>
      </c>
      <c r="BM17" s="72" t="inlineStr">
        <is>
          <t> </t>
        </is>
      </c>
      <c r="BN17" t="n">
        <v>34646</v>
      </c>
      <c r="BO17" t="inlineStr">
        <is>
          <t>0005</t>
        </is>
      </c>
      <c r="BP17" t="n">
        <v>2014</v>
      </c>
      <c r="BS17" s="72" t="inlineStr">
        <is>
          <t> </t>
        </is>
      </c>
      <c r="BT17" t="n">
        <v>69675</v>
      </c>
      <c r="BU17" t="inlineStr">
        <is>
          <t>0005</t>
        </is>
      </c>
      <c r="BV17" t="n">
        <v>2014</v>
      </c>
      <c r="BY17" s="72" t="inlineStr">
        <is>
          <t> </t>
        </is>
      </c>
      <c r="BZ17" t="n">
        <v>69237</v>
      </c>
      <c r="CA17" t="inlineStr">
        <is>
          <t>0005</t>
        </is>
      </c>
      <c r="CB17" t="n">
        <v>2014</v>
      </c>
      <c r="CE17" s="72" t="inlineStr">
        <is>
          <t> </t>
        </is>
      </c>
      <c r="CF17" t="n">
        <v>69365</v>
      </c>
      <c r="CG17" t="inlineStr">
        <is>
          <t>0005</t>
        </is>
      </c>
      <c r="CH17" t="n">
        <v>2014</v>
      </c>
      <c r="CK17" s="72" t="inlineStr">
        <is>
          <t> </t>
        </is>
      </c>
      <c r="CL17" t="n">
        <v>69725</v>
      </c>
      <c r="CM17" t="inlineStr">
        <is>
          <t>0005</t>
        </is>
      </c>
      <c r="CN17" t="n">
        <v>2014</v>
      </c>
    </row>
    <row r="18">
      <c r="A18" t="n">
        <v>77221950</v>
      </c>
      <c r="B18" s="3" t="inlineStr">
        <is>
          <t>Цистерна для перевозки продуктов</t>
        </is>
      </c>
      <c r="C18" t="inlineStr">
        <is>
          <t>15-150-04П</t>
        </is>
      </c>
      <c r="D18" t="inlineStr">
        <is>
          <t>28.02.2012</t>
        </is>
      </c>
      <c r="E18" t="n">
        <v>2012</v>
      </c>
      <c r="F18" t="inlineStr">
        <is>
          <t>28.02.2044</t>
        </is>
      </c>
      <c r="G18" t="inlineStr">
        <is>
          <t>19.09.2022</t>
        </is>
      </c>
      <c r="H18" t="inlineStr">
        <is>
          <t>ВРД Кочетовка – филиал ООО "НВК"</t>
        </is>
      </c>
      <c r="I18" t="inlineStr">
        <is>
          <t>21.08.2025</t>
        </is>
      </c>
      <c r="J18" t="inlineStr">
        <is>
          <t>ВРЗ Челябинск – филиал ООО "НВК"</t>
        </is>
      </c>
      <c r="K18" t="inlineStr">
        <is>
          <t>Деповской</t>
        </is>
      </c>
      <c r="L18" t="inlineStr">
        <is>
          <t>21.08.2028</t>
        </is>
      </c>
      <c r="M18" t="inlineStr">
        <is>
          <t>ООО "ТрансАльянс Запад"</t>
        </is>
      </c>
      <c r="N18" t="n">
        <v>160000</v>
      </c>
      <c r="O18" t="n">
        <v>34259</v>
      </c>
      <c r="P18" t="n">
        <v>125741</v>
      </c>
      <c r="Q18" t="inlineStr">
        <is>
          <t>12.12.2029</t>
        </is>
      </c>
      <c r="R18" t="inlineStr">
        <is>
          <t>21.08.2025</t>
        </is>
      </c>
      <c r="S18" s="72" t="inlineStr">
        <is>
          <t> </t>
        </is>
      </c>
      <c r="T18" t="n">
        <v>170868</v>
      </c>
      <c r="U18" t="inlineStr">
        <is>
          <t>0005</t>
        </is>
      </c>
      <c r="V18" t="n">
        <v>2007</v>
      </c>
      <c r="W18" t="n">
        <v>600</v>
      </c>
      <c r="X18" t="inlineStr">
        <is>
          <t>авг.25</t>
        </is>
      </c>
      <c r="Y18" t="n">
        <v>33</v>
      </c>
      <c r="Z18" t="n">
        <v>33</v>
      </c>
      <c r="AA18" t="n">
        <v>73</v>
      </c>
      <c r="AB18" t="n">
        <v>73</v>
      </c>
      <c r="AC18" s="72" t="inlineStr">
        <is>
          <t> </t>
        </is>
      </c>
      <c r="AD18" t="n">
        <v>151700</v>
      </c>
      <c r="AE18" t="inlineStr">
        <is>
          <t>0029</t>
        </is>
      </c>
      <c r="AF18" t="n">
        <v>1992</v>
      </c>
      <c r="AG18" t="n">
        <v>600</v>
      </c>
      <c r="AH18" t="inlineStr">
        <is>
          <t>авг.25</t>
        </is>
      </c>
      <c r="AI18" t="n">
        <v>33</v>
      </c>
      <c r="AJ18" t="n">
        <v>33</v>
      </c>
      <c r="AK18" t="n">
        <v>74</v>
      </c>
      <c r="AL18" t="n">
        <v>74</v>
      </c>
      <c r="AM18" s="72" t="inlineStr">
        <is>
          <t> </t>
        </is>
      </c>
      <c r="AN18" t="n">
        <v>122486</v>
      </c>
      <c r="AO18" t="inlineStr">
        <is>
          <t>0005</t>
        </is>
      </c>
      <c r="AP18" t="n">
        <v>2012</v>
      </c>
      <c r="AQ18" t="n">
        <v>600</v>
      </c>
      <c r="AR18" t="inlineStr">
        <is>
          <t>авг.25</t>
        </is>
      </c>
      <c r="AS18" t="n">
        <v>33</v>
      </c>
      <c r="AT18" t="n">
        <v>33</v>
      </c>
      <c r="AU18" t="n">
        <v>74</v>
      </c>
      <c r="AV18" t="n">
        <v>74</v>
      </c>
      <c r="AW18" s="72" t="inlineStr">
        <is>
          <t> </t>
        </is>
      </c>
      <c r="AX18" t="n">
        <v>123286</v>
      </c>
      <c r="AY18" t="inlineStr">
        <is>
          <t>0005</t>
        </is>
      </c>
      <c r="AZ18" t="n">
        <v>2012</v>
      </c>
      <c r="BA18" t="n">
        <v>600</v>
      </c>
      <c r="BB18" t="inlineStr">
        <is>
          <t>авг.25</t>
        </is>
      </c>
      <c r="BC18" t="n">
        <v>33</v>
      </c>
      <c r="BD18" t="n">
        <v>33</v>
      </c>
      <c r="BE18" t="n">
        <v>74</v>
      </c>
      <c r="BF18" t="n">
        <v>73</v>
      </c>
      <c r="BG18" s="72" t="inlineStr">
        <is>
          <t> </t>
        </is>
      </c>
      <c r="BH18" t="n">
        <v>10219</v>
      </c>
      <c r="BI18" t="inlineStr">
        <is>
          <t>0014</t>
        </is>
      </c>
      <c r="BJ18" t="n">
        <v>2012</v>
      </c>
      <c r="BM18" s="72" t="inlineStr">
        <is>
          <t> </t>
        </is>
      </c>
      <c r="BN18" t="n">
        <v>3246</v>
      </c>
      <c r="BO18" t="inlineStr">
        <is>
          <t>0014</t>
        </is>
      </c>
      <c r="BP18" t="n">
        <v>2012</v>
      </c>
      <c r="BS18" s="72" t="inlineStr">
        <is>
          <t> </t>
        </is>
      </c>
      <c r="BT18" t="n">
        <v>10126</v>
      </c>
      <c r="BU18" t="inlineStr">
        <is>
          <t>0014</t>
        </is>
      </c>
      <c r="BV18" t="n">
        <v>2012</v>
      </c>
      <c r="BY18" s="72" t="inlineStr">
        <is>
          <t> </t>
        </is>
      </c>
      <c r="BZ18" t="n">
        <v>504892</v>
      </c>
      <c r="CA18" t="inlineStr">
        <is>
          <t>0014</t>
        </is>
      </c>
      <c r="CB18" t="n">
        <v>2012</v>
      </c>
      <c r="CE18" s="72" t="inlineStr">
        <is>
          <t> </t>
        </is>
      </c>
      <c r="CF18" t="n">
        <v>14196</v>
      </c>
      <c r="CG18" t="inlineStr">
        <is>
          <t>0014</t>
        </is>
      </c>
      <c r="CH18" t="n">
        <v>2012</v>
      </c>
      <c r="CK18" s="72" t="inlineStr">
        <is>
          <t> </t>
        </is>
      </c>
      <c r="CL18" t="n">
        <v>306</v>
      </c>
      <c r="CM18" t="inlineStr">
        <is>
          <t>0014</t>
        </is>
      </c>
      <c r="CN18" t="n">
        <v>2012</v>
      </c>
    </row>
    <row r="19">
      <c r="A19" t="n">
        <v>77205664</v>
      </c>
      <c r="B19" s="3" t="inlineStr">
        <is>
          <t>Цистерна для перевозки продуктов</t>
        </is>
      </c>
      <c r="C19" t="inlineStr">
        <is>
          <t>15-1755П</t>
        </is>
      </c>
      <c r="D19" t="inlineStr">
        <is>
          <t>20.06.2013</t>
        </is>
      </c>
      <c r="E19" t="n">
        <v>2013</v>
      </c>
      <c r="F19" t="inlineStr">
        <is>
          <t>20.06.2043</t>
        </is>
      </c>
      <c r="G19" t="inlineStr">
        <is>
          <t>29.08.2025</t>
        </is>
      </c>
      <c r="H19" t="inlineStr">
        <is>
          <t>Орский ВРЗ-филиал ООО "НВК"</t>
        </is>
      </c>
      <c r="I19" t="inlineStr">
        <is>
          <t>27.01.2024</t>
        </is>
      </c>
      <c r="J19" t="inlineStr">
        <is>
          <t>ВРЗ Челябинск – филиал ООО "НВК"</t>
        </is>
      </c>
      <c r="K19" t="inlineStr">
        <is>
          <t>Деповской</t>
        </is>
      </c>
      <c r="L19" t="inlineStr">
        <is>
          <t>29.08.2027</t>
        </is>
      </c>
      <c r="M19" t="inlineStr">
        <is>
          <t>ООО "ТрансАльянс Запад"</t>
        </is>
      </c>
      <c r="N19" t="n">
        <v>160000</v>
      </c>
      <c r="O19" t="n">
        <v>35111</v>
      </c>
      <c r="P19" t="n">
        <v>124889</v>
      </c>
      <c r="Q19" t="inlineStr">
        <is>
          <t>06.10.2029</t>
        </is>
      </c>
      <c r="R19" t="inlineStr">
        <is>
          <t>29.08.2025</t>
        </is>
      </c>
      <c r="S19" s="72" t="inlineStr">
        <is>
          <t> </t>
        </is>
      </c>
      <c r="T19" t="n">
        <v>442976</v>
      </c>
      <c r="U19" t="inlineStr">
        <is>
          <t>0029</t>
        </is>
      </c>
      <c r="V19" t="n">
        <v>2013</v>
      </c>
      <c r="W19" t="n">
        <v>2348</v>
      </c>
      <c r="X19" t="inlineStr">
        <is>
          <t>авг.25</t>
        </is>
      </c>
      <c r="Y19" t="n">
        <v>33</v>
      </c>
      <c r="Z19" t="n">
        <v>33</v>
      </c>
      <c r="AA19" t="n">
        <v>74</v>
      </c>
      <c r="AB19" t="n">
        <v>74</v>
      </c>
      <c r="AC19" s="72" t="inlineStr">
        <is>
          <t> </t>
        </is>
      </c>
      <c r="AD19" t="n">
        <v>459729</v>
      </c>
      <c r="AE19" t="inlineStr">
        <is>
          <t>0029</t>
        </is>
      </c>
      <c r="AF19" t="n">
        <v>2013</v>
      </c>
      <c r="AG19" t="n">
        <v>2348</v>
      </c>
      <c r="AH19" t="inlineStr">
        <is>
          <t>авг.25</t>
        </is>
      </c>
      <c r="AI19" t="n">
        <v>33</v>
      </c>
      <c r="AJ19" t="n">
        <v>33</v>
      </c>
      <c r="AK19" t="n">
        <v>74</v>
      </c>
      <c r="AL19" t="n">
        <v>74</v>
      </c>
      <c r="AM19" s="72" t="inlineStr">
        <is>
          <t> </t>
        </is>
      </c>
      <c r="AN19" t="n">
        <v>459998</v>
      </c>
      <c r="AO19" t="inlineStr">
        <is>
          <t>0029</t>
        </is>
      </c>
      <c r="AP19" t="n">
        <v>2013</v>
      </c>
      <c r="AQ19" t="n">
        <v>2348</v>
      </c>
      <c r="AR19" t="inlineStr">
        <is>
          <t>авг.25</t>
        </is>
      </c>
      <c r="AS19" t="n">
        <v>33</v>
      </c>
      <c r="AT19" t="n">
        <v>33</v>
      </c>
      <c r="AU19" t="n">
        <v>74</v>
      </c>
      <c r="AV19" t="n">
        <v>74</v>
      </c>
      <c r="AW19" s="72" t="inlineStr">
        <is>
          <t> </t>
        </is>
      </c>
      <c r="AX19" t="n">
        <v>459372</v>
      </c>
      <c r="AY19" t="inlineStr">
        <is>
          <t>0029</t>
        </is>
      </c>
      <c r="AZ19" t="n">
        <v>2013</v>
      </c>
      <c r="BA19" t="n">
        <v>2348</v>
      </c>
      <c r="BB19" t="inlineStr">
        <is>
          <t>авг.25</t>
        </is>
      </c>
      <c r="BC19" t="n">
        <v>33</v>
      </c>
      <c r="BD19" t="n">
        <v>33</v>
      </c>
      <c r="BE19" t="n">
        <v>74</v>
      </c>
      <c r="BF19" t="n">
        <v>74</v>
      </c>
      <c r="BG19" s="72" t="inlineStr">
        <is>
          <t> </t>
        </is>
      </c>
      <c r="BH19" t="n">
        <v>52104</v>
      </c>
      <c r="BI19" t="n">
        <v>1291</v>
      </c>
      <c r="BJ19" t="n">
        <v>2013</v>
      </c>
      <c r="BM19" s="72" t="inlineStr">
        <is>
          <t> </t>
        </is>
      </c>
      <c r="BN19" t="n">
        <v>14349</v>
      </c>
      <c r="BO19" t="n">
        <v>1291</v>
      </c>
      <c r="BP19" t="n">
        <v>2013</v>
      </c>
      <c r="BS19" s="72" t="inlineStr">
        <is>
          <t> </t>
        </is>
      </c>
      <c r="BT19" t="n">
        <v>37899</v>
      </c>
      <c r="BU19" t="n">
        <v>1291</v>
      </c>
      <c r="BV19" t="n">
        <v>2013</v>
      </c>
      <c r="BY19" s="72" t="inlineStr">
        <is>
          <t> </t>
        </is>
      </c>
      <c r="BZ19" t="n">
        <v>38264</v>
      </c>
      <c r="CA19" t="n">
        <v>1291</v>
      </c>
      <c r="CB19" t="n">
        <v>2013</v>
      </c>
      <c r="CE19" s="72" t="inlineStr">
        <is>
          <t> </t>
        </is>
      </c>
      <c r="CF19" t="n">
        <v>42407</v>
      </c>
      <c r="CG19" t="n">
        <v>1291</v>
      </c>
      <c r="CH19" t="n">
        <v>2013</v>
      </c>
      <c r="CK19" s="72" t="inlineStr">
        <is>
          <t> </t>
        </is>
      </c>
      <c r="CL19" t="n">
        <v>42444</v>
      </c>
      <c r="CM19" t="n">
        <v>1291</v>
      </c>
      <c r="CN19" t="n">
        <v>2013</v>
      </c>
    </row>
    <row r="20">
      <c r="A20" t="n">
        <v>77205706</v>
      </c>
      <c r="B20" s="3" t="inlineStr">
        <is>
          <t>Цистерна для перевозки продуктов</t>
        </is>
      </c>
      <c r="C20" t="inlineStr">
        <is>
          <t>15-1755П</t>
        </is>
      </c>
      <c r="D20" t="inlineStr">
        <is>
          <t>20.06.2013</t>
        </is>
      </c>
      <c r="E20" t="n">
        <v>2013</v>
      </c>
      <c r="F20" t="inlineStr">
        <is>
          <t>20.06.2043</t>
        </is>
      </c>
      <c r="G20" t="inlineStr">
        <is>
          <t>06.09.2025</t>
        </is>
      </c>
      <c r="H20" t="inlineStr">
        <is>
          <t>Орский ВРЗ-филиал ООО "НВК"</t>
        </is>
      </c>
      <c r="I20" t="inlineStr">
        <is>
          <t>17.01.2024</t>
        </is>
      </c>
      <c r="J20" t="inlineStr">
        <is>
          <t>ВЧД Унеча-ООО "НВК"</t>
        </is>
      </c>
      <c r="K20" t="inlineStr">
        <is>
          <t>Деповской</t>
        </is>
      </c>
      <c r="L20" t="inlineStr">
        <is>
          <t>06.09.2027</t>
        </is>
      </c>
      <c r="M20" t="inlineStr">
        <is>
          <t>ООО "ТрансАльянс Запад"</t>
        </is>
      </c>
      <c r="N20" t="n">
        <v>160000</v>
      </c>
      <c r="O20" t="n">
        <v>36116</v>
      </c>
      <c r="P20" t="n">
        <v>123884</v>
      </c>
      <c r="Q20" t="inlineStr">
        <is>
          <t>29.07.2029</t>
        </is>
      </c>
      <c r="R20" t="inlineStr">
        <is>
          <t>06.09.2025</t>
        </is>
      </c>
      <c r="S20" s="72" t="inlineStr">
        <is>
          <t> </t>
        </is>
      </c>
      <c r="T20" t="n">
        <v>369126</v>
      </c>
      <c r="U20" t="inlineStr">
        <is>
          <t>0029</t>
        </is>
      </c>
      <c r="V20" t="n">
        <v>2012</v>
      </c>
      <c r="W20" t="n">
        <v>2348</v>
      </c>
      <c r="X20" t="inlineStr">
        <is>
          <t>сен.25</t>
        </is>
      </c>
      <c r="Y20" t="n">
        <v>30</v>
      </c>
      <c r="Z20" t="n">
        <v>30</v>
      </c>
      <c r="AA20" t="n">
        <v>55</v>
      </c>
      <c r="AB20" t="n">
        <v>55</v>
      </c>
      <c r="AC20" s="72" t="inlineStr">
        <is>
          <t> </t>
        </is>
      </c>
      <c r="AD20" t="n">
        <v>51638</v>
      </c>
      <c r="AE20" t="n">
        <v>2412</v>
      </c>
      <c r="AF20" t="n">
        <v>2024</v>
      </c>
      <c r="AG20" t="n">
        <v>2348</v>
      </c>
      <c r="AH20" t="inlineStr">
        <is>
          <t>сен.25</t>
        </is>
      </c>
      <c r="AI20" t="n">
        <v>30</v>
      </c>
      <c r="AJ20" t="n">
        <v>30</v>
      </c>
      <c r="AK20" t="n">
        <v>54</v>
      </c>
      <c r="AL20" t="n">
        <v>54</v>
      </c>
      <c r="AM20" s="72" t="inlineStr">
        <is>
          <t> </t>
        </is>
      </c>
      <c r="AN20" t="n">
        <v>325321</v>
      </c>
      <c r="AO20" t="inlineStr">
        <is>
          <t>0029</t>
        </is>
      </c>
      <c r="AP20" t="n">
        <v>2012</v>
      </c>
      <c r="AQ20" t="n">
        <v>2348</v>
      </c>
      <c r="AR20" t="inlineStr">
        <is>
          <t>сен.25</t>
        </is>
      </c>
      <c r="AS20" t="n">
        <v>30</v>
      </c>
      <c r="AT20" t="n">
        <v>30</v>
      </c>
      <c r="AU20" t="n">
        <v>48</v>
      </c>
      <c r="AV20" t="n">
        <v>48</v>
      </c>
      <c r="AW20" s="72" t="inlineStr">
        <is>
          <t> </t>
        </is>
      </c>
      <c r="AX20" t="n">
        <v>308575</v>
      </c>
      <c r="AY20" t="inlineStr">
        <is>
          <t>0029</t>
        </is>
      </c>
      <c r="AZ20" t="n">
        <v>2012</v>
      </c>
      <c r="BA20" t="n">
        <v>2348</v>
      </c>
      <c r="BB20" t="inlineStr">
        <is>
          <t>сен.25</t>
        </is>
      </c>
      <c r="BC20" t="n">
        <v>30</v>
      </c>
      <c r="BD20" t="n">
        <v>30</v>
      </c>
      <c r="BE20" t="n">
        <v>51</v>
      </c>
      <c r="BF20" t="n">
        <v>51</v>
      </c>
      <c r="BG20" s="72" t="inlineStr">
        <is>
          <t> </t>
        </is>
      </c>
      <c r="BH20" t="n">
        <v>14317</v>
      </c>
      <c r="BI20" t="n">
        <v>1291</v>
      </c>
      <c r="BJ20" t="n">
        <v>2013</v>
      </c>
      <c r="BM20" s="72" t="inlineStr">
        <is>
          <t> </t>
        </is>
      </c>
      <c r="BN20" t="n">
        <v>14674</v>
      </c>
      <c r="BO20" t="n">
        <v>1291</v>
      </c>
      <c r="BP20" t="n">
        <v>2013</v>
      </c>
      <c r="BS20" s="72" t="inlineStr">
        <is>
          <t> </t>
        </is>
      </c>
      <c r="BT20" t="n">
        <v>42624</v>
      </c>
      <c r="BU20" t="n">
        <v>1291</v>
      </c>
      <c r="BV20" t="n">
        <v>2013</v>
      </c>
      <c r="BY20" s="72" t="inlineStr">
        <is>
          <t> </t>
        </is>
      </c>
      <c r="BZ20" t="n">
        <v>40631</v>
      </c>
      <c r="CA20" t="n">
        <v>1291</v>
      </c>
      <c r="CB20" t="n">
        <v>2013</v>
      </c>
      <c r="CE20" s="72" t="inlineStr">
        <is>
          <t> </t>
        </is>
      </c>
      <c r="CF20" t="n">
        <v>44747</v>
      </c>
      <c r="CG20" t="n">
        <v>1291</v>
      </c>
      <c r="CH20" t="n">
        <v>2013</v>
      </c>
      <c r="CK20" s="72" t="inlineStr">
        <is>
          <t> </t>
        </is>
      </c>
      <c r="CL20" t="n">
        <v>44767</v>
      </c>
      <c r="CM20" t="n">
        <v>1291</v>
      </c>
      <c r="CN20" t="n">
        <v>2013</v>
      </c>
    </row>
    <row r="21">
      <c r="A21" t="n">
        <v>77205888</v>
      </c>
      <c r="B21" s="3" t="inlineStr">
        <is>
          <t>Цистерна для перевозки продуктов</t>
        </is>
      </c>
      <c r="C21" t="inlineStr">
        <is>
          <t>15-1755П</t>
        </is>
      </c>
      <c r="D21" t="inlineStr">
        <is>
          <t>20.06.2013</t>
        </is>
      </c>
      <c r="E21" t="n">
        <v>2013</v>
      </c>
      <c r="F21" t="inlineStr">
        <is>
          <t>20.06.2043</t>
        </is>
      </c>
      <c r="G21" t="inlineStr">
        <is>
          <t>24.08.2025</t>
        </is>
      </c>
      <c r="H21" t="inlineStr">
        <is>
          <t>Орский ВРЗ-филиал ООО "НВК"</t>
        </is>
      </c>
      <c r="I21" t="inlineStr">
        <is>
          <t>31.01.2024</t>
        </is>
      </c>
      <c r="J21" t="inlineStr">
        <is>
          <t>ВРД Кочетовка – филиал ООО "НВК"</t>
        </is>
      </c>
      <c r="K21" t="inlineStr">
        <is>
          <t>Деповской</t>
        </is>
      </c>
      <c r="L21" t="inlineStr">
        <is>
          <t>24.08.2027</t>
        </is>
      </c>
      <c r="M21" t="inlineStr">
        <is>
          <t>ООО "ТрансАльянс Запад"</t>
        </is>
      </c>
      <c r="N21" t="n">
        <v>160000</v>
      </c>
      <c r="O21" t="n">
        <v>31425</v>
      </c>
      <c r="P21" t="n">
        <v>128575</v>
      </c>
      <c r="Q21" t="inlineStr">
        <is>
          <t>21.04.2030</t>
        </is>
      </c>
      <c r="R21" t="inlineStr">
        <is>
          <t>24.08.2025</t>
        </is>
      </c>
      <c r="S21" s="72" t="inlineStr">
        <is>
          <t> </t>
        </is>
      </c>
      <c r="T21" t="n">
        <v>444796</v>
      </c>
      <c r="U21" t="inlineStr">
        <is>
          <t>0029</t>
        </is>
      </c>
      <c r="V21" t="n">
        <v>2013</v>
      </c>
      <c r="W21" t="n">
        <v>2348</v>
      </c>
      <c r="X21" t="inlineStr">
        <is>
          <t>авг.25</t>
        </is>
      </c>
      <c r="Y21" t="n">
        <v>30</v>
      </c>
      <c r="Z21" t="n">
        <v>30</v>
      </c>
      <c r="AA21" t="n">
        <v>62</v>
      </c>
      <c r="AB21" t="n">
        <v>61</v>
      </c>
      <c r="AC21" s="72" t="inlineStr">
        <is>
          <t> </t>
        </is>
      </c>
      <c r="AD21" t="n">
        <v>443687</v>
      </c>
      <c r="AE21" t="inlineStr">
        <is>
          <t>0029</t>
        </is>
      </c>
      <c r="AF21" t="n">
        <v>2013</v>
      </c>
      <c r="AG21" t="n">
        <v>2348</v>
      </c>
      <c r="AH21" t="inlineStr">
        <is>
          <t>авг.25</t>
        </is>
      </c>
      <c r="AI21" t="n">
        <v>30</v>
      </c>
      <c r="AJ21" t="n">
        <v>30</v>
      </c>
      <c r="AK21" t="n">
        <v>63</v>
      </c>
      <c r="AL21" t="n">
        <v>63</v>
      </c>
      <c r="AM21" s="72" t="inlineStr">
        <is>
          <t> </t>
        </is>
      </c>
      <c r="AN21" t="n">
        <v>443345</v>
      </c>
      <c r="AO21" t="inlineStr">
        <is>
          <t>0029</t>
        </is>
      </c>
      <c r="AP21" t="n">
        <v>2013</v>
      </c>
      <c r="AQ21" t="n">
        <v>2348</v>
      </c>
      <c r="AR21" t="inlineStr">
        <is>
          <t>авг.25</t>
        </is>
      </c>
      <c r="AS21" t="n">
        <v>30</v>
      </c>
      <c r="AT21" t="n">
        <v>30</v>
      </c>
      <c r="AU21" t="n">
        <v>59</v>
      </c>
      <c r="AV21" t="n">
        <v>59</v>
      </c>
      <c r="AW21" s="72" t="inlineStr">
        <is>
          <t> </t>
        </is>
      </c>
      <c r="AX21" t="n">
        <v>455903</v>
      </c>
      <c r="AY21" t="inlineStr">
        <is>
          <t>0029</t>
        </is>
      </c>
      <c r="AZ21" t="n">
        <v>2013</v>
      </c>
      <c r="BA21" t="n">
        <v>2348</v>
      </c>
      <c r="BB21" t="inlineStr">
        <is>
          <t>авг.25</t>
        </is>
      </c>
      <c r="BC21" t="n">
        <v>30</v>
      </c>
      <c r="BD21" t="n">
        <v>30</v>
      </c>
      <c r="BE21" t="n">
        <v>62</v>
      </c>
      <c r="BF21" t="n">
        <v>62</v>
      </c>
      <c r="BG21" s="72" t="inlineStr">
        <is>
          <t> </t>
        </is>
      </c>
      <c r="BH21" t="n">
        <v>15045</v>
      </c>
      <c r="BI21" t="n">
        <v>1291</v>
      </c>
      <c r="BJ21" t="n">
        <v>2013</v>
      </c>
      <c r="BM21" s="72" t="inlineStr">
        <is>
          <t> </t>
        </is>
      </c>
      <c r="BN21" t="n">
        <v>15233</v>
      </c>
      <c r="BO21" t="n">
        <v>1291</v>
      </c>
      <c r="BP21" t="n">
        <v>2013</v>
      </c>
      <c r="BS21" s="72" t="inlineStr">
        <is>
          <t> </t>
        </is>
      </c>
      <c r="BT21" t="n">
        <v>44652</v>
      </c>
      <c r="BU21" t="n">
        <v>1291</v>
      </c>
      <c r="BV21" t="n">
        <v>2013</v>
      </c>
      <c r="BY21" s="72" t="inlineStr">
        <is>
          <t> </t>
        </is>
      </c>
      <c r="BZ21" t="n">
        <v>44087</v>
      </c>
      <c r="CA21" t="n">
        <v>1291</v>
      </c>
      <c r="CB21" t="n">
        <v>2013</v>
      </c>
      <c r="CE21" s="72" t="inlineStr">
        <is>
          <t> </t>
        </is>
      </c>
      <c r="CF21" t="n">
        <v>42795</v>
      </c>
      <c r="CG21" t="n">
        <v>1291</v>
      </c>
      <c r="CH21" t="n">
        <v>2013</v>
      </c>
      <c r="CK21" s="72" t="inlineStr">
        <is>
          <t> </t>
        </is>
      </c>
      <c r="CL21" t="n">
        <v>42357</v>
      </c>
      <c r="CM21" t="n">
        <v>1291</v>
      </c>
      <c r="CN21" t="n">
        <v>2013</v>
      </c>
    </row>
    <row r="22">
      <c r="A22" t="n">
        <v>77221919</v>
      </c>
      <c r="B22" s="3" t="inlineStr">
        <is>
          <t>Цистерна для перевозки продуктов</t>
        </is>
      </c>
      <c r="C22" t="inlineStr">
        <is>
          <t>15-5103-7П</t>
        </is>
      </c>
      <c r="D22" t="inlineStr">
        <is>
          <t>06.09.2011</t>
        </is>
      </c>
      <c r="E22" t="n">
        <v>2011</v>
      </c>
      <c r="F22" t="inlineStr">
        <is>
          <t>06.09.2043</t>
        </is>
      </c>
      <c r="G22" t="inlineStr">
        <is>
          <t>20.02.2023</t>
        </is>
      </c>
      <c r="H22" t="inlineStr">
        <is>
          <t>ВРД Кочетовка – филиал ООО "НВК"</t>
        </is>
      </c>
      <c r="I22" t="inlineStr">
        <is>
          <t>02.02.2025</t>
        </is>
      </c>
      <c r="J22" t="inlineStr">
        <is>
          <t>ВЧД Унеча-ООО "НВК"</t>
        </is>
      </c>
      <c r="K22" t="inlineStr">
        <is>
          <t>Деповской</t>
        </is>
      </c>
      <c r="L22" t="inlineStr">
        <is>
          <t>02.02.2028</t>
        </is>
      </c>
      <c r="M22" t="inlineStr">
        <is>
          <t>ООО "ТрансАльянс Запад"</t>
        </is>
      </c>
      <c r="N22" t="n">
        <v>160000</v>
      </c>
      <c r="O22" t="n">
        <v>45858</v>
      </c>
      <c r="P22" t="n">
        <v>114142</v>
      </c>
      <c r="Q22" t="inlineStr">
        <is>
          <t>22.03.2030</t>
        </is>
      </c>
      <c r="R22" t="inlineStr">
        <is>
          <t>02.02.2025</t>
        </is>
      </c>
      <c r="S22" s="72" t="inlineStr">
        <is>
          <t> </t>
        </is>
      </c>
      <c r="T22" t="n">
        <v>285774</v>
      </c>
      <c r="U22" t="inlineStr">
        <is>
          <t>0005</t>
        </is>
      </c>
      <c r="V22" t="n">
        <v>2011</v>
      </c>
      <c r="W22" t="n">
        <v>357</v>
      </c>
      <c r="X22" t="inlineStr">
        <is>
          <t>фев.25</t>
        </is>
      </c>
      <c r="Y22" t="n">
        <v>33</v>
      </c>
      <c r="Z22" t="n">
        <v>33</v>
      </c>
      <c r="AA22" t="n">
        <v>74</v>
      </c>
      <c r="AB22" t="n">
        <v>74</v>
      </c>
      <c r="AC22" s="72" t="inlineStr">
        <is>
          <t> </t>
        </is>
      </c>
      <c r="AD22" t="n">
        <v>285824</v>
      </c>
      <c r="AE22" t="inlineStr">
        <is>
          <t>0005</t>
        </is>
      </c>
      <c r="AF22" t="n">
        <v>2011</v>
      </c>
      <c r="AG22" t="n">
        <v>357</v>
      </c>
      <c r="AH22" t="inlineStr">
        <is>
          <t>фев.25</t>
        </is>
      </c>
      <c r="AI22" t="n">
        <v>33</v>
      </c>
      <c r="AJ22" t="n">
        <v>33</v>
      </c>
      <c r="AK22" t="n">
        <v>73</v>
      </c>
      <c r="AL22" t="n">
        <v>73</v>
      </c>
      <c r="AM22" s="72" t="inlineStr">
        <is>
          <t> </t>
        </is>
      </c>
      <c r="AN22" t="n">
        <v>180370</v>
      </c>
      <c r="AO22" t="inlineStr">
        <is>
          <t>0005</t>
        </is>
      </c>
      <c r="AP22" t="n">
        <v>2014</v>
      </c>
      <c r="AQ22" t="n">
        <v>357</v>
      </c>
      <c r="AR22" t="inlineStr">
        <is>
          <t>фев.25</t>
        </is>
      </c>
      <c r="AS22" t="n">
        <v>33</v>
      </c>
      <c r="AT22" t="n">
        <v>33</v>
      </c>
      <c r="AU22" t="n">
        <v>73</v>
      </c>
      <c r="AV22" t="n">
        <v>73</v>
      </c>
      <c r="AW22" s="72" t="inlineStr">
        <is>
          <t> </t>
        </is>
      </c>
      <c r="AX22" t="n">
        <v>286908</v>
      </c>
      <c r="AY22" t="inlineStr">
        <is>
          <t>0005</t>
        </is>
      </c>
      <c r="AZ22" t="n">
        <v>2011</v>
      </c>
      <c r="BA22" t="n">
        <v>357</v>
      </c>
      <c r="BB22" t="inlineStr">
        <is>
          <t>фев.25</t>
        </is>
      </c>
      <c r="BC22" t="n">
        <v>33</v>
      </c>
      <c r="BD22" t="n">
        <v>33</v>
      </c>
      <c r="BE22" t="n">
        <v>73</v>
      </c>
      <c r="BF22" t="n">
        <v>73</v>
      </c>
      <c r="BG22" s="72" t="inlineStr">
        <is>
          <t> </t>
        </is>
      </c>
      <c r="BH22" t="n">
        <v>38613</v>
      </c>
      <c r="BI22" t="inlineStr">
        <is>
          <t>0005</t>
        </is>
      </c>
      <c r="BJ22" t="n">
        <v>2011</v>
      </c>
      <c r="BM22" s="72" t="inlineStr">
        <is>
          <t> </t>
        </is>
      </c>
      <c r="BN22" t="n">
        <v>38286</v>
      </c>
      <c r="BO22" t="inlineStr">
        <is>
          <t>0005</t>
        </is>
      </c>
      <c r="BP22" t="n">
        <v>2011</v>
      </c>
      <c r="BS22" s="72" t="inlineStr">
        <is>
          <t> </t>
        </is>
      </c>
      <c r="BT22" t="n">
        <v>63621</v>
      </c>
      <c r="BU22" t="inlineStr">
        <is>
          <t>0005</t>
        </is>
      </c>
      <c r="BV22" t="n">
        <v>2011</v>
      </c>
      <c r="BY22" s="72" t="inlineStr">
        <is>
          <t> </t>
        </is>
      </c>
      <c r="BZ22" t="n">
        <v>67432</v>
      </c>
      <c r="CA22" t="inlineStr">
        <is>
          <t>0005</t>
        </is>
      </c>
      <c r="CB22" t="n">
        <v>2011</v>
      </c>
      <c r="CE22" s="72" t="inlineStr">
        <is>
          <t> </t>
        </is>
      </c>
      <c r="CF22" t="n">
        <v>67508</v>
      </c>
      <c r="CG22" t="inlineStr">
        <is>
          <t>0005</t>
        </is>
      </c>
      <c r="CH22" t="n">
        <v>2011</v>
      </c>
      <c r="CK22" s="72" t="inlineStr">
        <is>
          <t> </t>
        </is>
      </c>
      <c r="CL22" t="n">
        <v>67584</v>
      </c>
      <c r="CM22" t="inlineStr">
        <is>
          <t>0005</t>
        </is>
      </c>
      <c r="CN22" t="n">
        <v>2011</v>
      </c>
    </row>
    <row r="23">
      <c r="A23" t="n">
        <v>77221844</v>
      </c>
      <c r="B23" s="3" t="inlineStr">
        <is>
          <t>Цистерна для перевозки продуктов</t>
        </is>
      </c>
      <c r="C23" t="inlineStr">
        <is>
          <t>15-150-04П</t>
        </is>
      </c>
      <c r="D23" t="inlineStr">
        <is>
          <t>31.08.2011</t>
        </is>
      </c>
      <c r="E23" t="n">
        <v>2011</v>
      </c>
      <c r="F23" t="inlineStr">
        <is>
          <t>31.08.2043</t>
        </is>
      </c>
      <c r="G23" t="inlineStr">
        <is>
          <t>18.02.2023</t>
        </is>
      </c>
      <c r="H23" t="inlineStr">
        <is>
          <t>ВРД Кочетовка – филиал ООО "НВК"</t>
        </is>
      </c>
      <c r="I23" t="inlineStr">
        <is>
          <t>26.03.2026</t>
        </is>
      </c>
      <c r="J23" t="inlineStr">
        <is>
          <t>Усть-Каменогорское ВРД</t>
        </is>
      </c>
      <c r="K23" t="inlineStr">
        <is>
          <t>Деповской</t>
        </is>
      </c>
      <c r="L23" t="inlineStr">
        <is>
          <t>26.03.2029</t>
        </is>
      </c>
      <c r="M23" t="inlineStr">
        <is>
          <t>ООО "ТрансАльянс Запад"</t>
        </is>
      </c>
      <c r="N23" t="n">
        <v>160000</v>
      </c>
      <c r="O23" t="n">
        <v>8028</v>
      </c>
      <c r="P23" t="n">
        <v>151972</v>
      </c>
      <c r="Q23" t="inlineStr">
        <is>
          <t>12.10.2032</t>
        </is>
      </c>
      <c r="R23" t="inlineStr">
        <is>
          <t>26.03.2026</t>
        </is>
      </c>
      <c r="S23" s="72" t="inlineStr">
        <is>
          <t> </t>
        </is>
      </c>
      <c r="T23" t="n">
        <v>363178</v>
      </c>
      <c r="U23" t="inlineStr">
        <is>
          <t>0005</t>
        </is>
      </c>
      <c r="V23" t="n">
        <v>2013</v>
      </c>
      <c r="W23" t="n">
        <v>745</v>
      </c>
      <c r="X23" t="inlineStr">
        <is>
          <t>мар.26</t>
        </is>
      </c>
      <c r="Y23" t="n">
        <v>0</v>
      </c>
      <c r="Z23" t="n">
        <v>0</v>
      </c>
      <c r="AA23" t="n">
        <v>73</v>
      </c>
      <c r="AB23" t="n">
        <v>73</v>
      </c>
      <c r="AC23" s="72" t="inlineStr">
        <is>
          <t> </t>
        </is>
      </c>
      <c r="AD23" t="n">
        <v>285305</v>
      </c>
      <c r="AE23" t="inlineStr">
        <is>
          <t>0005</t>
        </is>
      </c>
      <c r="AF23" t="n">
        <v>2011</v>
      </c>
      <c r="AG23" t="n">
        <v>745</v>
      </c>
      <c r="AH23" t="inlineStr">
        <is>
          <t>мар.26</t>
        </is>
      </c>
      <c r="AI23" t="n">
        <v>0</v>
      </c>
      <c r="AJ23" t="n">
        <v>0</v>
      </c>
      <c r="AK23" t="n">
        <v>73</v>
      </c>
      <c r="AL23" t="n">
        <v>73</v>
      </c>
      <c r="AM23" s="72" t="inlineStr">
        <is>
          <t> </t>
        </is>
      </c>
      <c r="AN23" t="n">
        <v>282111</v>
      </c>
      <c r="AO23" t="inlineStr">
        <is>
          <t>0005</t>
        </is>
      </c>
      <c r="AP23" t="n">
        <v>2011</v>
      </c>
      <c r="AQ23" t="n">
        <v>745</v>
      </c>
      <c r="AR23" t="inlineStr">
        <is>
          <t>мар.26</t>
        </is>
      </c>
      <c r="AS23" t="n">
        <v>0</v>
      </c>
      <c r="AT23" t="n">
        <v>0</v>
      </c>
      <c r="AU23" t="n">
        <v>72</v>
      </c>
      <c r="AV23" t="n">
        <v>72</v>
      </c>
      <c r="AW23" s="72" t="inlineStr">
        <is>
          <t> </t>
        </is>
      </c>
      <c r="AX23" t="n">
        <v>285278</v>
      </c>
      <c r="AY23" t="inlineStr">
        <is>
          <t>0005</t>
        </is>
      </c>
      <c r="AZ23" t="n">
        <v>2011</v>
      </c>
      <c r="BA23" t="n">
        <v>745</v>
      </c>
      <c r="BB23" t="inlineStr">
        <is>
          <t>мар.26</t>
        </is>
      </c>
      <c r="BC23" t="n">
        <v>0</v>
      </c>
      <c r="BD23" t="n">
        <v>0</v>
      </c>
      <c r="BE23" t="n">
        <v>73</v>
      </c>
      <c r="BF23" t="n">
        <v>73</v>
      </c>
      <c r="BG23" s="72" t="inlineStr">
        <is>
          <t> </t>
        </is>
      </c>
      <c r="BH23" t="n">
        <v>37070</v>
      </c>
      <c r="BI23" t="inlineStr">
        <is>
          <t>0005</t>
        </is>
      </c>
      <c r="BJ23" t="n">
        <v>2011</v>
      </c>
      <c r="BM23" s="72" t="inlineStr">
        <is>
          <t> </t>
        </is>
      </c>
      <c r="BN23" t="n">
        <v>37413</v>
      </c>
      <c r="BO23" t="inlineStr">
        <is>
          <t>0005</t>
        </is>
      </c>
      <c r="BP23" t="n">
        <v>2011</v>
      </c>
      <c r="BS23" s="72" t="inlineStr">
        <is>
          <t> </t>
        </is>
      </c>
      <c r="BT23" t="n">
        <v>66136</v>
      </c>
      <c r="BU23" t="inlineStr">
        <is>
          <t>0005</t>
        </is>
      </c>
      <c r="BV23" t="n">
        <v>2011</v>
      </c>
      <c r="BY23" s="72" t="inlineStr">
        <is>
          <t> </t>
        </is>
      </c>
      <c r="BZ23" t="n">
        <v>65255</v>
      </c>
      <c r="CA23" t="inlineStr">
        <is>
          <t>0005</t>
        </is>
      </c>
      <c r="CB23" t="n">
        <v>2011</v>
      </c>
      <c r="CE23" s="72" t="inlineStr">
        <is>
          <t> </t>
        </is>
      </c>
      <c r="CF23" t="n">
        <v>66052</v>
      </c>
      <c r="CG23" t="inlineStr">
        <is>
          <t>0005</t>
        </is>
      </c>
      <c r="CH23" t="n">
        <v>2011</v>
      </c>
      <c r="CK23" s="72" t="inlineStr">
        <is>
          <t> </t>
        </is>
      </c>
      <c r="CL23" t="n">
        <v>63648</v>
      </c>
      <c r="CM23" t="inlineStr">
        <is>
          <t>0005</t>
        </is>
      </c>
      <c r="CN23" t="n">
        <v>2011</v>
      </c>
    </row>
    <row r="24">
      <c r="A24" t="n">
        <v>75183491</v>
      </c>
      <c r="B24" s="3" t="inlineStr">
        <is>
          <t>Цистерна для перевозки продуктов</t>
        </is>
      </c>
      <c r="C24" t="inlineStr">
        <is>
          <t>15-1219-1П</t>
        </is>
      </c>
      <c r="D24" t="inlineStr">
        <is>
          <t>08.10.2020</t>
        </is>
      </c>
      <c r="E24" t="n">
        <v>2020</v>
      </c>
      <c r="F24" t="inlineStr">
        <is>
          <t>08.10.2050</t>
        </is>
      </c>
      <c r="G24" t="inlineStr">
        <is>
          <t>30.10.2025</t>
        </is>
      </c>
      <c r="H24" t="inlineStr">
        <is>
          <t>ВРД Зелецино - филиал ООО "НВК"</t>
        </is>
      </c>
      <c r="K24" t="inlineStr">
        <is>
          <t>Деповской</t>
        </is>
      </c>
      <c r="L24" t="inlineStr">
        <is>
          <t>30.10.2027</t>
        </is>
      </c>
      <c r="M24" t="inlineStr">
        <is>
          <t>ООО "ТрансАльянс Запад"</t>
        </is>
      </c>
      <c r="N24" t="n">
        <v>160000</v>
      </c>
      <c r="O24" t="n">
        <v>25151</v>
      </c>
      <c r="P24" t="n">
        <v>134849</v>
      </c>
      <c r="Q24" t="inlineStr">
        <is>
          <t>25.06.2030</t>
        </is>
      </c>
      <c r="R24" t="inlineStr">
        <is>
          <t>30.10.2025</t>
        </is>
      </c>
      <c r="S24" s="72" t="inlineStr">
        <is>
          <t> </t>
        </is>
      </c>
      <c r="T24" t="n">
        <v>12278</v>
      </c>
      <c r="U24" t="n">
        <v>2002</v>
      </c>
      <c r="V24" t="n">
        <v>2020</v>
      </c>
      <c r="W24" t="n">
        <v>1173</v>
      </c>
      <c r="X24" t="inlineStr">
        <is>
          <t>окт.25</t>
        </is>
      </c>
      <c r="Y24" t="n">
        <v>30</v>
      </c>
      <c r="Z24" t="n">
        <v>30</v>
      </c>
      <c r="AA24" t="n">
        <v>50</v>
      </c>
      <c r="AB24" t="n">
        <v>52</v>
      </c>
      <c r="AC24" s="72" t="inlineStr">
        <is>
          <t> </t>
        </is>
      </c>
      <c r="AD24" t="n">
        <v>446185</v>
      </c>
      <c r="AE24" t="inlineStr">
        <is>
          <t>0005</t>
        </is>
      </c>
      <c r="AF24" t="n">
        <v>2020</v>
      </c>
      <c r="AG24" t="n">
        <v>1173</v>
      </c>
      <c r="AH24" t="inlineStr">
        <is>
          <t>окт.25</t>
        </is>
      </c>
      <c r="AI24" t="n">
        <v>30</v>
      </c>
      <c r="AJ24" t="n">
        <v>30</v>
      </c>
      <c r="AK24" t="n">
        <v>43</v>
      </c>
      <c r="AL24" t="n">
        <v>45</v>
      </c>
      <c r="AM24" s="72" t="inlineStr">
        <is>
          <t> </t>
        </is>
      </c>
      <c r="AN24" t="n">
        <v>446107</v>
      </c>
      <c r="AO24" t="inlineStr">
        <is>
          <t>0005</t>
        </is>
      </c>
      <c r="AP24" t="n">
        <v>2020</v>
      </c>
      <c r="AQ24" t="n">
        <v>1173</v>
      </c>
      <c r="AR24" t="inlineStr">
        <is>
          <t>окт.25</t>
        </is>
      </c>
      <c r="AS24" t="n">
        <v>30</v>
      </c>
      <c r="AT24" t="n">
        <v>30</v>
      </c>
      <c r="AU24" t="n">
        <v>51</v>
      </c>
      <c r="AV24" t="n">
        <v>53</v>
      </c>
      <c r="AW24" s="72" t="inlineStr">
        <is>
          <t> </t>
        </is>
      </c>
      <c r="AX24" t="n">
        <v>446117</v>
      </c>
      <c r="AY24" t="inlineStr">
        <is>
          <t>0005</t>
        </is>
      </c>
      <c r="AZ24" t="n">
        <v>2020</v>
      </c>
      <c r="BA24" t="n">
        <v>1173</v>
      </c>
      <c r="BB24" t="inlineStr">
        <is>
          <t>окт.25</t>
        </is>
      </c>
      <c r="BC24" t="n">
        <v>30</v>
      </c>
      <c r="BD24" t="n">
        <v>29</v>
      </c>
      <c r="BE24" t="n">
        <v>53</v>
      </c>
      <c r="BF24" t="n">
        <v>55</v>
      </c>
      <c r="BG24" s="72" t="inlineStr">
        <is>
          <t> </t>
        </is>
      </c>
      <c r="BH24" t="n">
        <v>27363</v>
      </c>
      <c r="BI24" t="n">
        <v>1275</v>
      </c>
      <c r="BJ24" t="n">
        <v>2020</v>
      </c>
      <c r="BM24" s="72" t="inlineStr">
        <is>
          <t> </t>
        </is>
      </c>
      <c r="BN24" t="n">
        <v>27358</v>
      </c>
      <c r="BO24" t="n">
        <v>1275</v>
      </c>
      <c r="BP24" t="n">
        <v>2020</v>
      </c>
      <c r="BS24" s="72" t="inlineStr">
        <is>
          <t> </t>
        </is>
      </c>
      <c r="BT24" t="n">
        <v>45585</v>
      </c>
      <c r="BU24" t="n">
        <v>1275</v>
      </c>
      <c r="BV24" t="n">
        <v>2020</v>
      </c>
      <c r="BY24" s="72" t="inlineStr">
        <is>
          <t> </t>
        </is>
      </c>
      <c r="BZ24" t="n">
        <v>45569</v>
      </c>
      <c r="CA24" t="n">
        <v>1275</v>
      </c>
      <c r="CB24" t="n">
        <v>2020</v>
      </c>
      <c r="CE24" s="72" t="inlineStr">
        <is>
          <t> </t>
        </is>
      </c>
      <c r="CF24" t="n">
        <v>41311</v>
      </c>
      <c r="CG24" t="n">
        <v>1275</v>
      </c>
      <c r="CH24" t="n">
        <v>2020</v>
      </c>
      <c r="CK24" s="72" t="inlineStr">
        <is>
          <t> </t>
        </is>
      </c>
      <c r="CL24" t="n">
        <v>45586</v>
      </c>
      <c r="CM24" t="n">
        <v>1275</v>
      </c>
      <c r="CN24" t="n">
        <v>2020</v>
      </c>
    </row>
    <row r="25">
      <c r="A25" t="n">
        <v>75184093</v>
      </c>
      <c r="B25" s="3" t="inlineStr">
        <is>
          <t>Цистерна для перевозки продуктов</t>
        </is>
      </c>
      <c r="C25" t="inlineStr">
        <is>
          <t>15-1219-1П</t>
        </is>
      </c>
      <c r="D25" t="inlineStr">
        <is>
          <t>08.10.2020</t>
        </is>
      </c>
      <c r="E25" t="n">
        <v>2020</v>
      </c>
      <c r="F25" t="inlineStr">
        <is>
          <t>08.10.2050</t>
        </is>
      </c>
      <c r="G25" t="inlineStr">
        <is>
          <t>19.10.2025</t>
        </is>
      </c>
      <c r="H25" t="inlineStr">
        <is>
          <t>ВРД Зелецино - филиал ООО "НВК"</t>
        </is>
      </c>
      <c r="K25" t="inlineStr">
        <is>
          <t>Деповской</t>
        </is>
      </c>
      <c r="L25" t="inlineStr">
        <is>
          <t>19.10.2027</t>
        </is>
      </c>
      <c r="M25" t="inlineStr">
        <is>
          <t>ООО "ТрансАльянс Запад"</t>
        </is>
      </c>
      <c r="N25" t="n">
        <v>160000</v>
      </c>
      <c r="O25" t="n">
        <v>26103</v>
      </c>
      <c r="P25" t="n">
        <v>133897</v>
      </c>
      <c r="Q25" t="inlineStr">
        <is>
          <t>19.06.2030</t>
        </is>
      </c>
      <c r="R25" t="inlineStr">
        <is>
          <t>19.10.2025</t>
        </is>
      </c>
      <c r="S25" s="72" t="inlineStr">
        <is>
          <t> </t>
        </is>
      </c>
      <c r="T25" t="n">
        <v>735030</v>
      </c>
      <c r="U25" t="inlineStr">
        <is>
          <t>0029</t>
        </is>
      </c>
      <c r="V25" t="n">
        <v>2020</v>
      </c>
      <c r="W25" t="n">
        <v>1173</v>
      </c>
      <c r="X25" t="inlineStr">
        <is>
          <t>окт.25</t>
        </is>
      </c>
      <c r="Y25" t="n">
        <v>30</v>
      </c>
      <c r="Z25" t="n">
        <v>30</v>
      </c>
      <c r="AA25" t="n">
        <v>61</v>
      </c>
      <c r="AB25" t="n">
        <v>60</v>
      </c>
      <c r="AC25" s="72" t="inlineStr">
        <is>
          <t> </t>
        </is>
      </c>
      <c r="AD25" t="n">
        <v>753604</v>
      </c>
      <c r="AE25" t="inlineStr">
        <is>
          <t>0029</t>
        </is>
      </c>
      <c r="AF25" t="n">
        <v>2020</v>
      </c>
      <c r="AG25" t="n">
        <v>1173</v>
      </c>
      <c r="AH25" t="inlineStr">
        <is>
          <t>окт.25</t>
        </is>
      </c>
      <c r="AI25" t="n">
        <v>29</v>
      </c>
      <c r="AJ25" t="n">
        <v>29</v>
      </c>
      <c r="AK25" t="n">
        <v>59</v>
      </c>
      <c r="AL25" t="n">
        <v>61</v>
      </c>
      <c r="AM25" s="72" t="inlineStr">
        <is>
          <t> </t>
        </is>
      </c>
      <c r="AN25" t="n">
        <v>448491</v>
      </c>
      <c r="AO25" t="inlineStr">
        <is>
          <t>0005</t>
        </is>
      </c>
      <c r="AP25" t="n">
        <v>2020</v>
      </c>
      <c r="AQ25" t="n">
        <v>1173</v>
      </c>
      <c r="AR25" t="inlineStr">
        <is>
          <t>окт.25</t>
        </is>
      </c>
      <c r="AS25" t="n">
        <v>29</v>
      </c>
      <c r="AT25" t="n">
        <v>29</v>
      </c>
      <c r="AU25" t="n">
        <v>56</v>
      </c>
      <c r="AV25" t="n">
        <v>54</v>
      </c>
      <c r="AW25" s="72" t="inlineStr">
        <is>
          <t> </t>
        </is>
      </c>
      <c r="AX25" t="n">
        <v>449053</v>
      </c>
      <c r="AY25" t="inlineStr">
        <is>
          <t>0005</t>
        </is>
      </c>
      <c r="AZ25" t="n">
        <v>2020</v>
      </c>
      <c r="BA25" t="n">
        <v>1173</v>
      </c>
      <c r="BB25" t="inlineStr">
        <is>
          <t>окт.25</t>
        </is>
      </c>
      <c r="BC25" t="n">
        <v>29</v>
      </c>
      <c r="BD25" t="n">
        <v>30</v>
      </c>
      <c r="BE25" t="n">
        <v>61</v>
      </c>
      <c r="BF25" t="n">
        <v>62</v>
      </c>
      <c r="BG25" s="72" t="inlineStr">
        <is>
          <t> </t>
        </is>
      </c>
      <c r="BH25" t="n">
        <v>27088</v>
      </c>
      <c r="BI25" t="n">
        <v>1275</v>
      </c>
      <c r="BJ25" t="n">
        <v>2020</v>
      </c>
      <c r="BM25" s="72" t="inlineStr">
        <is>
          <t> </t>
        </is>
      </c>
      <c r="BN25" t="n">
        <v>27518</v>
      </c>
      <c r="BO25" t="n">
        <v>1275</v>
      </c>
      <c r="BP25" t="n">
        <v>2020</v>
      </c>
      <c r="BS25" s="72" t="inlineStr">
        <is>
          <t> </t>
        </is>
      </c>
      <c r="BT25" t="n">
        <v>46122</v>
      </c>
      <c r="BU25" t="n">
        <v>1275</v>
      </c>
      <c r="BV25" t="n">
        <v>2020</v>
      </c>
      <c r="BY25" s="72" t="inlineStr">
        <is>
          <t> </t>
        </is>
      </c>
      <c r="BZ25" t="n">
        <v>45988</v>
      </c>
      <c r="CA25" t="n">
        <v>1275</v>
      </c>
      <c r="CB25" t="n">
        <v>2020</v>
      </c>
      <c r="CE25" s="72" t="inlineStr">
        <is>
          <t> </t>
        </is>
      </c>
      <c r="CF25" t="n">
        <v>44631</v>
      </c>
      <c r="CG25" t="n">
        <v>1275</v>
      </c>
      <c r="CH25" t="n">
        <v>2020</v>
      </c>
      <c r="CK25" s="72" t="inlineStr">
        <is>
          <t> </t>
        </is>
      </c>
      <c r="CL25" t="n">
        <v>45967</v>
      </c>
      <c r="CM25" t="n">
        <v>1275</v>
      </c>
      <c r="CN25" t="n">
        <v>2020</v>
      </c>
    </row>
    <row r="26">
      <c r="A26" t="n">
        <v>75184598</v>
      </c>
      <c r="B26" s="3" t="inlineStr">
        <is>
          <t>Цистерна для перевозки продуктов</t>
        </is>
      </c>
      <c r="C26" t="inlineStr">
        <is>
          <t>15-1219-1П</t>
        </is>
      </c>
      <c r="D26" t="inlineStr">
        <is>
          <t>08.10.2020</t>
        </is>
      </c>
      <c r="E26" t="n">
        <v>2020</v>
      </c>
      <c r="F26" t="inlineStr">
        <is>
          <t>08.10.2050</t>
        </is>
      </c>
      <c r="G26" t="inlineStr">
        <is>
          <t>22.09.2025</t>
        </is>
      </c>
      <c r="H26" t="inlineStr">
        <is>
          <t>ВРД Зелецино - филиал ООО "НВК"</t>
        </is>
      </c>
      <c r="K26" t="inlineStr">
        <is>
          <t>Деповской</t>
        </is>
      </c>
      <c r="L26" t="inlineStr">
        <is>
          <t>22.09.2027</t>
        </is>
      </c>
      <c r="M26" t="inlineStr">
        <is>
          <t>ООО "ТрансАльянс Запад"</t>
        </is>
      </c>
      <c r="N26" t="n">
        <v>160000</v>
      </c>
      <c r="O26" t="n">
        <v>19620</v>
      </c>
      <c r="P26" t="n">
        <v>140380</v>
      </c>
      <c r="Q26" t="inlineStr">
        <is>
          <t>14.07.2032</t>
        </is>
      </c>
      <c r="R26" t="inlineStr">
        <is>
          <t>22.09.2025</t>
        </is>
      </c>
      <c r="S26" s="72" t="inlineStr">
        <is>
          <t> </t>
        </is>
      </c>
      <c r="T26" t="n">
        <v>741894</v>
      </c>
      <c r="U26" t="inlineStr">
        <is>
          <t>0029</t>
        </is>
      </c>
      <c r="V26" t="n">
        <v>2020</v>
      </c>
      <c r="W26" t="n">
        <v>1173</v>
      </c>
      <c r="X26" t="inlineStr">
        <is>
          <t>сен.25</t>
        </is>
      </c>
      <c r="Y26" t="n">
        <v>29</v>
      </c>
      <c r="Z26" t="n">
        <v>30</v>
      </c>
      <c r="AA26" t="n">
        <v>57</v>
      </c>
      <c r="AB26" t="n">
        <v>56</v>
      </c>
      <c r="AC26" s="72" t="inlineStr">
        <is>
          <t> </t>
        </is>
      </c>
      <c r="AD26" t="n">
        <v>12169</v>
      </c>
      <c r="AE26" t="n">
        <v>2002</v>
      </c>
      <c r="AF26" t="n">
        <v>2020</v>
      </c>
      <c r="AG26" t="n">
        <v>1173</v>
      </c>
      <c r="AH26" t="inlineStr">
        <is>
          <t>сен.25</t>
        </is>
      </c>
      <c r="AI26" t="n">
        <v>30</v>
      </c>
      <c r="AJ26" t="n">
        <v>30</v>
      </c>
      <c r="AK26" t="n">
        <v>58</v>
      </c>
      <c r="AL26" t="n">
        <v>58</v>
      </c>
      <c r="AM26" s="72" t="inlineStr">
        <is>
          <t> </t>
        </is>
      </c>
      <c r="AN26" t="n">
        <v>12264</v>
      </c>
      <c r="AO26" t="n">
        <v>2002</v>
      </c>
      <c r="AP26" t="n">
        <v>2020</v>
      </c>
      <c r="AQ26" t="n">
        <v>1173</v>
      </c>
      <c r="AR26" t="inlineStr">
        <is>
          <t>сен.25</t>
        </is>
      </c>
      <c r="AS26" t="n">
        <v>30</v>
      </c>
      <c r="AT26" t="n">
        <v>30</v>
      </c>
      <c r="AU26" t="n">
        <v>58</v>
      </c>
      <c r="AV26" t="n">
        <v>60</v>
      </c>
      <c r="AW26" s="72" t="inlineStr">
        <is>
          <t> </t>
        </is>
      </c>
      <c r="AX26" t="n">
        <v>742389</v>
      </c>
      <c r="AY26" t="inlineStr">
        <is>
          <t>0029</t>
        </is>
      </c>
      <c r="AZ26" t="n">
        <v>2020</v>
      </c>
      <c r="BA26" t="n">
        <v>1173</v>
      </c>
      <c r="BB26" t="inlineStr">
        <is>
          <t>сен.25</t>
        </is>
      </c>
      <c r="BC26" t="n">
        <v>30</v>
      </c>
      <c r="BD26" t="n">
        <v>30</v>
      </c>
      <c r="BE26" t="n">
        <v>64</v>
      </c>
      <c r="BF26" t="n">
        <v>64</v>
      </c>
      <c r="BG26" s="72" t="inlineStr">
        <is>
          <t> </t>
        </is>
      </c>
      <c r="BH26" t="n">
        <v>27548</v>
      </c>
      <c r="BI26" t="n">
        <v>1275</v>
      </c>
      <c r="BJ26" t="n">
        <v>2020</v>
      </c>
      <c r="BM26" s="72" t="inlineStr">
        <is>
          <t> </t>
        </is>
      </c>
      <c r="BN26" t="n">
        <v>25966</v>
      </c>
      <c r="BO26" t="n">
        <v>1275</v>
      </c>
      <c r="BP26" t="n">
        <v>2020</v>
      </c>
      <c r="BS26" s="72" t="inlineStr">
        <is>
          <t> </t>
        </is>
      </c>
      <c r="BT26" t="n">
        <v>46331</v>
      </c>
      <c r="BU26" t="n">
        <v>1275</v>
      </c>
      <c r="BV26" t="n">
        <v>2020</v>
      </c>
      <c r="BY26" s="72" t="inlineStr">
        <is>
          <t> </t>
        </is>
      </c>
      <c r="BZ26" t="n">
        <v>46029</v>
      </c>
      <c r="CA26" t="n">
        <v>1275</v>
      </c>
      <c r="CB26" t="n">
        <v>2020</v>
      </c>
      <c r="CE26" s="72" t="inlineStr">
        <is>
          <t> </t>
        </is>
      </c>
      <c r="CF26" t="n">
        <v>46344</v>
      </c>
      <c r="CG26" t="n">
        <v>1275</v>
      </c>
      <c r="CH26" t="n">
        <v>2020</v>
      </c>
      <c r="CK26" s="72" t="inlineStr">
        <is>
          <t> </t>
        </is>
      </c>
      <c r="CL26" t="n">
        <v>46300</v>
      </c>
      <c r="CM26" t="n">
        <v>1275</v>
      </c>
      <c r="CN26" t="n">
        <v>2020</v>
      </c>
    </row>
    <row r="27">
      <c r="A27" t="n">
        <v>75186890</v>
      </c>
      <c r="B27" s="3" t="inlineStr">
        <is>
          <t>Цистерна для перевозки продуктов</t>
        </is>
      </c>
      <c r="C27" t="inlineStr">
        <is>
          <t>15-1219-1П</t>
        </is>
      </c>
      <c r="D27" t="inlineStr">
        <is>
          <t>14.10.2020</t>
        </is>
      </c>
      <c r="E27" t="n">
        <v>2020</v>
      </c>
      <c r="F27" t="inlineStr">
        <is>
          <t>14.10.2050</t>
        </is>
      </c>
      <c r="G27" t="inlineStr">
        <is>
          <t>10.12.2025</t>
        </is>
      </c>
      <c r="H27" t="inlineStr">
        <is>
          <t>ВРД Зелецино - филиал ООО "НВК"</t>
        </is>
      </c>
      <c r="K27" t="inlineStr">
        <is>
          <t>Деповской</t>
        </is>
      </c>
      <c r="L27" t="inlineStr">
        <is>
          <t>10.12.2027</t>
        </is>
      </c>
      <c r="M27" t="inlineStr">
        <is>
          <t>ООО "ТрансАльянс Запад"</t>
        </is>
      </c>
      <c r="N27" t="n">
        <v>160000</v>
      </c>
      <c r="O27" t="n">
        <v>27005</v>
      </c>
      <c r="P27" t="n">
        <v>132995</v>
      </c>
      <c r="Q27" t="inlineStr">
        <is>
          <t>10.08.2029</t>
        </is>
      </c>
      <c r="R27" t="inlineStr">
        <is>
          <t>10.12.2025</t>
        </is>
      </c>
      <c r="S27" s="72" t="inlineStr">
        <is>
          <t> </t>
        </is>
      </c>
      <c r="T27" t="n">
        <v>751445</v>
      </c>
      <c r="U27" t="inlineStr">
        <is>
          <t>0029</t>
        </is>
      </c>
      <c r="V27" t="n">
        <v>2020</v>
      </c>
      <c r="W27" t="n">
        <v>1173</v>
      </c>
      <c r="X27" t="inlineStr">
        <is>
          <t>дек.25</t>
        </is>
      </c>
      <c r="Y27" t="n">
        <v>30</v>
      </c>
      <c r="Z27" t="n">
        <v>29</v>
      </c>
      <c r="AA27" t="n">
        <v>64</v>
      </c>
      <c r="AB27" t="n">
        <v>65</v>
      </c>
      <c r="AC27" s="72" t="inlineStr">
        <is>
          <t> </t>
        </is>
      </c>
      <c r="AD27" t="n">
        <v>749474</v>
      </c>
      <c r="AE27" t="inlineStr">
        <is>
          <t>0029</t>
        </is>
      </c>
      <c r="AF27" t="n">
        <v>2020</v>
      </c>
      <c r="AG27" t="n">
        <v>1173</v>
      </c>
      <c r="AH27" t="inlineStr">
        <is>
          <t>дек.25</t>
        </is>
      </c>
      <c r="AI27" t="n">
        <v>29</v>
      </c>
      <c r="AJ27" t="n">
        <v>30</v>
      </c>
      <c r="AK27" t="n">
        <v>68</v>
      </c>
      <c r="AL27" t="n">
        <v>68</v>
      </c>
      <c r="AM27" s="72" t="inlineStr">
        <is>
          <t> </t>
        </is>
      </c>
      <c r="AN27" t="n">
        <v>753559</v>
      </c>
      <c r="AO27" t="inlineStr">
        <is>
          <t>0029</t>
        </is>
      </c>
      <c r="AP27" t="n">
        <v>2020</v>
      </c>
      <c r="AQ27" t="n">
        <v>1173</v>
      </c>
      <c r="AR27" t="inlineStr">
        <is>
          <t>дек.25</t>
        </is>
      </c>
      <c r="AS27" t="n">
        <v>29</v>
      </c>
      <c r="AT27" t="n">
        <v>29</v>
      </c>
      <c r="AU27" t="n">
        <v>55</v>
      </c>
      <c r="AV27" t="n">
        <v>55</v>
      </c>
      <c r="AW27" s="72" t="inlineStr">
        <is>
          <t> </t>
        </is>
      </c>
      <c r="AX27" t="n">
        <v>753540</v>
      </c>
      <c r="AY27" t="inlineStr">
        <is>
          <t>0029</t>
        </is>
      </c>
      <c r="AZ27" t="n">
        <v>2020</v>
      </c>
      <c r="BA27" t="n">
        <v>1173</v>
      </c>
      <c r="BB27" t="inlineStr">
        <is>
          <t>дек.25</t>
        </is>
      </c>
      <c r="BC27" t="n">
        <v>30</v>
      </c>
      <c r="BD27" t="n">
        <v>30</v>
      </c>
      <c r="BE27" t="n">
        <v>63</v>
      </c>
      <c r="BF27" t="n">
        <v>62</v>
      </c>
      <c r="BG27" s="72" t="inlineStr">
        <is>
          <t> </t>
        </is>
      </c>
      <c r="BH27" t="n">
        <v>25753</v>
      </c>
      <c r="BI27" t="n">
        <v>1275</v>
      </c>
      <c r="BJ27" t="n">
        <v>2020</v>
      </c>
      <c r="BM27" s="72" t="inlineStr">
        <is>
          <t> </t>
        </is>
      </c>
      <c r="BN27" t="n">
        <v>25641</v>
      </c>
      <c r="BO27" t="n">
        <v>1275</v>
      </c>
      <c r="BP27" t="n">
        <v>2020</v>
      </c>
      <c r="BS27" s="72" t="inlineStr">
        <is>
          <t> </t>
        </is>
      </c>
      <c r="BT27" t="n">
        <v>41210</v>
      </c>
      <c r="BU27" t="n">
        <v>1275</v>
      </c>
      <c r="BV27" t="n">
        <v>2020</v>
      </c>
      <c r="BY27" s="72" t="inlineStr">
        <is>
          <t> </t>
        </is>
      </c>
      <c r="BZ27" t="n">
        <v>42182</v>
      </c>
      <c r="CA27" t="n">
        <v>1275</v>
      </c>
      <c r="CB27" t="n">
        <v>2020</v>
      </c>
      <c r="CE27" s="72" t="inlineStr">
        <is>
          <t> </t>
        </is>
      </c>
      <c r="CF27" t="n">
        <v>42410</v>
      </c>
      <c r="CG27" t="n">
        <v>1275</v>
      </c>
      <c r="CH27" t="n">
        <v>2020</v>
      </c>
      <c r="CK27" s="72" t="inlineStr">
        <is>
          <t> </t>
        </is>
      </c>
      <c r="CL27" t="n">
        <v>42415</v>
      </c>
      <c r="CM27" t="n">
        <v>1275</v>
      </c>
      <c r="CN27" t="n">
        <v>2020</v>
      </c>
    </row>
    <row r="28">
      <c r="A28" t="n">
        <v>75186999</v>
      </c>
      <c r="B28" s="3" t="inlineStr">
        <is>
          <t>Цистерна для перевозки продуктов</t>
        </is>
      </c>
      <c r="C28" t="inlineStr">
        <is>
          <t>15-1219-1П</t>
        </is>
      </c>
      <c r="D28" t="inlineStr">
        <is>
          <t>14.10.2020</t>
        </is>
      </c>
      <c r="E28" t="n">
        <v>2020</v>
      </c>
      <c r="F28" t="inlineStr">
        <is>
          <t>14.10.2050</t>
        </is>
      </c>
      <c r="G28" t="inlineStr">
        <is>
          <t>23.10.2025</t>
        </is>
      </c>
      <c r="H28" t="inlineStr">
        <is>
          <t>ВРД Зелецино - филиал ООО "НВК"</t>
        </is>
      </c>
      <c r="K28" t="inlineStr">
        <is>
          <t>Деповской</t>
        </is>
      </c>
      <c r="L28" t="inlineStr">
        <is>
          <t>23.10.2027</t>
        </is>
      </c>
      <c r="M28" t="inlineStr">
        <is>
          <t>ООО "ТрансАльянс Запад"</t>
        </is>
      </c>
      <c r="N28" t="n">
        <v>160000</v>
      </c>
      <c r="O28" t="n">
        <v>26045</v>
      </c>
      <c r="P28" t="n">
        <v>133955</v>
      </c>
      <c r="Q28" t="inlineStr">
        <is>
          <t>02.06.2030</t>
        </is>
      </c>
      <c r="R28" t="inlineStr">
        <is>
          <t>23.10.2025</t>
        </is>
      </c>
      <c r="S28" s="72" t="inlineStr">
        <is>
          <t> </t>
        </is>
      </c>
      <c r="T28" t="n">
        <v>748958</v>
      </c>
      <c r="U28" t="inlineStr">
        <is>
          <t>0029</t>
        </is>
      </c>
      <c r="V28" t="n">
        <v>2020</v>
      </c>
      <c r="W28" t="n">
        <v>1173</v>
      </c>
      <c r="X28" t="inlineStr">
        <is>
          <t>окт.25</t>
        </is>
      </c>
      <c r="Y28" t="n">
        <v>30</v>
      </c>
      <c r="Z28" t="n">
        <v>30</v>
      </c>
      <c r="AA28" t="n">
        <v>62</v>
      </c>
      <c r="AB28" t="n">
        <v>63</v>
      </c>
      <c r="AC28" s="72" t="inlineStr">
        <is>
          <t> </t>
        </is>
      </c>
      <c r="AD28" t="n">
        <v>749500</v>
      </c>
      <c r="AE28" t="inlineStr">
        <is>
          <t>0029</t>
        </is>
      </c>
      <c r="AF28" t="n">
        <v>2020</v>
      </c>
      <c r="AG28" t="n">
        <v>1173</v>
      </c>
      <c r="AH28" t="inlineStr">
        <is>
          <t>окт.25</t>
        </is>
      </c>
      <c r="AI28" t="n">
        <v>30</v>
      </c>
      <c r="AJ28" t="n">
        <v>30</v>
      </c>
      <c r="AK28" t="n">
        <v>62</v>
      </c>
      <c r="AL28" t="n">
        <v>62</v>
      </c>
      <c r="AM28" s="72" t="inlineStr">
        <is>
          <t> </t>
        </is>
      </c>
      <c r="AN28" t="n">
        <v>751448</v>
      </c>
      <c r="AO28" t="inlineStr">
        <is>
          <t>0029</t>
        </is>
      </c>
      <c r="AP28" t="n">
        <v>2020</v>
      </c>
      <c r="AQ28" t="n">
        <v>1173</v>
      </c>
      <c r="AR28" t="inlineStr">
        <is>
          <t>окт.25</t>
        </is>
      </c>
      <c r="AS28" t="n">
        <v>30</v>
      </c>
      <c r="AT28" t="n">
        <v>30</v>
      </c>
      <c r="AU28" t="n">
        <v>62</v>
      </c>
      <c r="AV28" t="n">
        <v>62</v>
      </c>
      <c r="AW28" s="72" t="inlineStr">
        <is>
          <t> </t>
        </is>
      </c>
      <c r="AX28" t="n">
        <v>751392</v>
      </c>
      <c r="AY28" t="inlineStr">
        <is>
          <t>0029</t>
        </is>
      </c>
      <c r="AZ28" t="n">
        <v>2020</v>
      </c>
      <c r="BA28" t="n">
        <v>1173</v>
      </c>
      <c r="BB28" t="inlineStr">
        <is>
          <t>окт.25</t>
        </is>
      </c>
      <c r="BC28" t="n">
        <v>30</v>
      </c>
      <c r="BD28" t="n">
        <v>30</v>
      </c>
      <c r="BE28" t="n">
        <v>63</v>
      </c>
      <c r="BF28" t="n">
        <v>64</v>
      </c>
      <c r="BG28" s="72" t="inlineStr">
        <is>
          <t> </t>
        </is>
      </c>
      <c r="BH28" t="n">
        <v>27596</v>
      </c>
      <c r="BI28" t="n">
        <v>1275</v>
      </c>
      <c r="BJ28" t="n">
        <v>2020</v>
      </c>
      <c r="BM28" s="72" t="inlineStr">
        <is>
          <t> </t>
        </is>
      </c>
      <c r="BN28" t="n">
        <v>27613</v>
      </c>
      <c r="BO28" t="n">
        <v>1275</v>
      </c>
      <c r="BP28" t="n">
        <v>2020</v>
      </c>
      <c r="BS28" s="72" t="inlineStr">
        <is>
          <t> </t>
        </is>
      </c>
      <c r="BT28" t="n">
        <v>37202</v>
      </c>
      <c r="BU28" t="n">
        <v>1275</v>
      </c>
      <c r="BV28" t="n">
        <v>2020</v>
      </c>
      <c r="BY28" s="72" t="inlineStr">
        <is>
          <t> </t>
        </is>
      </c>
      <c r="BZ28" t="n">
        <v>41164</v>
      </c>
      <c r="CA28" t="n">
        <v>1275</v>
      </c>
      <c r="CB28" t="n">
        <v>2020</v>
      </c>
      <c r="CE28" s="72" t="inlineStr">
        <is>
          <t> </t>
        </is>
      </c>
      <c r="CF28" t="n">
        <v>41074</v>
      </c>
      <c r="CG28" t="n">
        <v>1275</v>
      </c>
      <c r="CH28" t="n">
        <v>2020</v>
      </c>
      <c r="CK28" s="72" t="inlineStr">
        <is>
          <t> </t>
        </is>
      </c>
      <c r="CL28" t="n">
        <v>41622</v>
      </c>
      <c r="CM28" t="n">
        <v>1275</v>
      </c>
      <c r="CN28" t="n">
        <v>2020</v>
      </c>
    </row>
    <row r="29">
      <c r="A29" t="n">
        <v>75187294</v>
      </c>
      <c r="B29" s="3" t="inlineStr">
        <is>
          <t>Цистерна для перевозки продуктов</t>
        </is>
      </c>
      <c r="C29" t="inlineStr">
        <is>
          <t>15-1219-1П</t>
        </is>
      </c>
      <c r="D29" t="inlineStr">
        <is>
          <t>14.10.2020</t>
        </is>
      </c>
      <c r="E29" t="n">
        <v>2020</v>
      </c>
      <c r="F29" t="inlineStr">
        <is>
          <t>14.10.2050</t>
        </is>
      </c>
      <c r="G29" t="inlineStr">
        <is>
          <t>25.11.2025</t>
        </is>
      </c>
      <c r="H29" t="inlineStr">
        <is>
          <t>ВРД Зелецино - филиал ООО "НВК"</t>
        </is>
      </c>
      <c r="K29" t="inlineStr">
        <is>
          <t>Деповской</t>
        </is>
      </c>
      <c r="L29" t="inlineStr">
        <is>
          <t>25.11.2027</t>
        </is>
      </c>
      <c r="M29" t="inlineStr">
        <is>
          <t>ООО "ТрансАльянс Запад"</t>
        </is>
      </c>
      <c r="N29" t="n">
        <v>160000</v>
      </c>
      <c r="O29" t="n">
        <v>23948</v>
      </c>
      <c r="P29" t="n">
        <v>136052</v>
      </c>
      <c r="Q29" t="inlineStr">
        <is>
          <t>23.04.2030</t>
        </is>
      </c>
      <c r="R29" t="inlineStr">
        <is>
          <t>25.11.2025</t>
        </is>
      </c>
      <c r="S29" s="72" t="inlineStr">
        <is>
          <t> </t>
        </is>
      </c>
      <c r="T29" t="n">
        <v>9889</v>
      </c>
      <c r="U29" t="n">
        <v>2002</v>
      </c>
      <c r="V29" t="n">
        <v>2020</v>
      </c>
      <c r="W29" t="n">
        <v>1173</v>
      </c>
      <c r="X29" t="inlineStr">
        <is>
          <t>ноя.25</t>
        </is>
      </c>
      <c r="Y29" t="n">
        <v>29</v>
      </c>
      <c r="Z29" t="n">
        <v>30</v>
      </c>
      <c r="AA29" t="n">
        <v>58</v>
      </c>
      <c r="AB29" t="n">
        <v>57</v>
      </c>
      <c r="AC29" s="72" t="inlineStr">
        <is>
          <t> </t>
        </is>
      </c>
      <c r="AD29" t="n">
        <v>9611</v>
      </c>
      <c r="AE29" t="n">
        <v>2002</v>
      </c>
      <c r="AF29" t="n">
        <v>2020</v>
      </c>
      <c r="AG29" t="n">
        <v>1173</v>
      </c>
      <c r="AH29" t="inlineStr">
        <is>
          <t>ноя.25</t>
        </is>
      </c>
      <c r="AI29" t="n">
        <v>30</v>
      </c>
      <c r="AJ29" t="n">
        <v>29</v>
      </c>
      <c r="AK29" t="n">
        <v>56</v>
      </c>
      <c r="AL29" t="n">
        <v>56</v>
      </c>
      <c r="AM29" s="72" t="inlineStr">
        <is>
          <t> </t>
        </is>
      </c>
      <c r="AN29" t="n">
        <v>751708</v>
      </c>
      <c r="AO29" t="inlineStr">
        <is>
          <t>0029</t>
        </is>
      </c>
      <c r="AP29" t="n">
        <v>2020</v>
      </c>
      <c r="AQ29" t="n">
        <v>1173</v>
      </c>
      <c r="AR29" t="inlineStr">
        <is>
          <t>ноя.25</t>
        </is>
      </c>
      <c r="AS29" t="n">
        <v>29</v>
      </c>
      <c r="AT29" t="n">
        <v>29</v>
      </c>
      <c r="AU29" t="n">
        <v>59</v>
      </c>
      <c r="AV29" t="n">
        <v>60</v>
      </c>
      <c r="AW29" s="72" t="inlineStr">
        <is>
          <t> </t>
        </is>
      </c>
      <c r="AX29" t="n">
        <v>448991</v>
      </c>
      <c r="AY29" t="inlineStr">
        <is>
          <t>0005</t>
        </is>
      </c>
      <c r="AZ29" t="n">
        <v>2020</v>
      </c>
      <c r="BA29" t="n">
        <v>1173</v>
      </c>
      <c r="BB29" t="inlineStr">
        <is>
          <t>ноя.25</t>
        </is>
      </c>
      <c r="BC29" t="n">
        <v>30</v>
      </c>
      <c r="BD29" t="n">
        <v>30</v>
      </c>
      <c r="BE29" t="n">
        <v>62</v>
      </c>
      <c r="BF29" t="n">
        <v>61</v>
      </c>
      <c r="BG29" s="72" t="inlineStr">
        <is>
          <t> </t>
        </is>
      </c>
      <c r="BH29" t="n">
        <v>27641</v>
      </c>
      <c r="BI29" t="n">
        <v>1275</v>
      </c>
      <c r="BJ29" t="n">
        <v>2020</v>
      </c>
      <c r="BM29" s="72" t="inlineStr">
        <is>
          <t> </t>
        </is>
      </c>
      <c r="BN29" t="n">
        <v>27401</v>
      </c>
      <c r="BO29" t="n">
        <v>1275</v>
      </c>
      <c r="BP29" t="n">
        <v>2020</v>
      </c>
      <c r="BS29" s="72" t="inlineStr">
        <is>
          <t> </t>
        </is>
      </c>
      <c r="BT29" t="n">
        <v>45594</v>
      </c>
      <c r="BU29" t="n">
        <v>1275</v>
      </c>
      <c r="BV29" t="n">
        <v>2020</v>
      </c>
      <c r="BY29" s="72" t="inlineStr">
        <is>
          <t> </t>
        </is>
      </c>
      <c r="BZ29" t="n">
        <v>44524</v>
      </c>
      <c r="CA29" t="n">
        <v>1275</v>
      </c>
      <c r="CB29" t="n">
        <v>2020</v>
      </c>
      <c r="CE29" s="72" t="inlineStr">
        <is>
          <t> </t>
        </is>
      </c>
      <c r="CF29" t="n">
        <v>45667</v>
      </c>
      <c r="CG29" t="n">
        <v>1275</v>
      </c>
      <c r="CH29" t="n">
        <v>2020</v>
      </c>
      <c r="CK29" s="72" t="inlineStr">
        <is>
          <t> </t>
        </is>
      </c>
      <c r="CL29" t="n">
        <v>46138</v>
      </c>
      <c r="CM29" t="n">
        <v>1275</v>
      </c>
      <c r="CN29" t="n">
        <v>2020</v>
      </c>
    </row>
    <row r="30">
      <c r="A30" t="n">
        <v>75187898</v>
      </c>
      <c r="B30" s="3" t="inlineStr">
        <is>
          <t>Цистерна для перевозки продуктов</t>
        </is>
      </c>
      <c r="C30" t="inlineStr">
        <is>
          <t>15-1219-1П</t>
        </is>
      </c>
      <c r="D30" t="inlineStr">
        <is>
          <t>14.10.2020</t>
        </is>
      </c>
      <c r="E30" t="n">
        <v>2020</v>
      </c>
      <c r="F30" t="inlineStr">
        <is>
          <t>14.10.2050</t>
        </is>
      </c>
      <c r="G30" t="inlineStr">
        <is>
          <t>22.09.2025</t>
        </is>
      </c>
      <c r="H30" t="inlineStr">
        <is>
          <t>ВРД Зелецино - филиал ООО "НВК"</t>
        </is>
      </c>
      <c r="K30" t="inlineStr">
        <is>
          <t>Деповской</t>
        </is>
      </c>
      <c r="L30" t="inlineStr">
        <is>
          <t>22.09.2027</t>
        </is>
      </c>
      <c r="M30" t="inlineStr">
        <is>
          <t>ООО "ТрансАльянс Запад"</t>
        </is>
      </c>
      <c r="N30" t="n">
        <v>160000</v>
      </c>
      <c r="O30" t="n">
        <v>19964</v>
      </c>
      <c r="P30" t="n">
        <v>140036</v>
      </c>
      <c r="Q30" t="inlineStr">
        <is>
          <t>01.06.2032</t>
        </is>
      </c>
      <c r="R30" t="inlineStr">
        <is>
          <t>22.09.2025</t>
        </is>
      </c>
      <c r="S30" s="72" t="inlineStr">
        <is>
          <t> </t>
        </is>
      </c>
      <c r="T30" t="n">
        <v>749590</v>
      </c>
      <c r="U30" t="inlineStr">
        <is>
          <t>0029</t>
        </is>
      </c>
      <c r="V30" t="n">
        <v>2020</v>
      </c>
      <c r="W30" t="n">
        <v>1173</v>
      </c>
      <c r="X30" t="inlineStr">
        <is>
          <t>сен.25</t>
        </is>
      </c>
      <c r="Y30" t="n">
        <v>30</v>
      </c>
      <c r="Z30" t="n">
        <v>29</v>
      </c>
      <c r="AA30" t="n">
        <v>56</v>
      </c>
      <c r="AB30" t="n">
        <v>56</v>
      </c>
      <c r="AC30" s="72" t="inlineStr">
        <is>
          <t> </t>
        </is>
      </c>
      <c r="AD30" t="n">
        <v>749499</v>
      </c>
      <c r="AE30" t="inlineStr">
        <is>
          <t>0029</t>
        </is>
      </c>
      <c r="AF30" t="n">
        <v>2020</v>
      </c>
      <c r="AG30" t="n">
        <v>1173</v>
      </c>
      <c r="AH30" t="inlineStr">
        <is>
          <t>сен.25</t>
        </is>
      </c>
      <c r="AI30" t="n">
        <v>29</v>
      </c>
      <c r="AJ30" t="n">
        <v>29</v>
      </c>
      <c r="AK30" t="n">
        <v>63</v>
      </c>
      <c r="AL30" t="n">
        <v>63</v>
      </c>
      <c r="AM30" s="72" t="inlineStr">
        <is>
          <t> </t>
        </is>
      </c>
      <c r="AN30" t="n">
        <v>751805</v>
      </c>
      <c r="AO30" t="inlineStr">
        <is>
          <t>0029</t>
        </is>
      </c>
      <c r="AP30" t="n">
        <v>2020</v>
      </c>
      <c r="AQ30" t="n">
        <v>1173</v>
      </c>
      <c r="AR30" t="inlineStr">
        <is>
          <t>сен.25</t>
        </is>
      </c>
      <c r="AS30" t="n">
        <v>30</v>
      </c>
      <c r="AT30" t="n">
        <v>30</v>
      </c>
      <c r="AU30" t="n">
        <v>63</v>
      </c>
      <c r="AV30" t="n">
        <v>63</v>
      </c>
      <c r="AW30" s="72" t="inlineStr">
        <is>
          <t> </t>
        </is>
      </c>
      <c r="AX30" t="n">
        <v>9731</v>
      </c>
      <c r="AY30" t="n">
        <v>2002</v>
      </c>
      <c r="AZ30" t="n">
        <v>2020</v>
      </c>
      <c r="BA30" t="n">
        <v>1173</v>
      </c>
      <c r="BB30" t="inlineStr">
        <is>
          <t>сен.25</t>
        </is>
      </c>
      <c r="BC30" t="n">
        <v>30</v>
      </c>
      <c r="BD30" t="n">
        <v>29</v>
      </c>
      <c r="BE30" t="n">
        <v>64</v>
      </c>
      <c r="BF30" t="n">
        <v>64</v>
      </c>
      <c r="BG30" s="72" t="inlineStr">
        <is>
          <t> </t>
        </is>
      </c>
      <c r="BH30" t="n">
        <v>27717</v>
      </c>
      <c r="BI30" t="n">
        <v>1275</v>
      </c>
      <c r="BJ30" t="n">
        <v>2020</v>
      </c>
      <c r="BM30" s="72" t="inlineStr">
        <is>
          <t> </t>
        </is>
      </c>
      <c r="BN30" t="n">
        <v>27757</v>
      </c>
      <c r="BO30" t="n">
        <v>1275</v>
      </c>
      <c r="BP30" t="n">
        <v>2020</v>
      </c>
      <c r="BS30" s="72" t="inlineStr">
        <is>
          <t> </t>
        </is>
      </c>
      <c r="BT30" t="n">
        <v>45607</v>
      </c>
      <c r="BU30" t="n">
        <v>1275</v>
      </c>
      <c r="BV30" t="n">
        <v>2020</v>
      </c>
      <c r="BY30" s="72" t="inlineStr">
        <is>
          <t> </t>
        </is>
      </c>
      <c r="BZ30" t="n">
        <v>46549</v>
      </c>
      <c r="CA30" t="n">
        <v>1275</v>
      </c>
      <c r="CB30" t="n">
        <v>2020</v>
      </c>
      <c r="CE30" s="72" t="inlineStr">
        <is>
          <t> </t>
        </is>
      </c>
      <c r="CF30" t="n">
        <v>46616</v>
      </c>
      <c r="CG30" t="n">
        <v>1275</v>
      </c>
      <c r="CH30" t="n">
        <v>2020</v>
      </c>
      <c r="CK30" s="72" t="inlineStr">
        <is>
          <t> </t>
        </is>
      </c>
      <c r="CL30" t="n">
        <v>46475</v>
      </c>
      <c r="CM30" t="n">
        <v>1275</v>
      </c>
      <c r="CN30" t="n">
        <v>2020</v>
      </c>
    </row>
    <row r="31">
      <c r="A31" t="n">
        <v>75188094</v>
      </c>
      <c r="B31" s="3" t="inlineStr">
        <is>
          <t>Цистерна для перевозки продуктов</t>
        </is>
      </c>
      <c r="C31" t="inlineStr">
        <is>
          <t>15-1219-1П</t>
        </is>
      </c>
      <c r="D31" t="inlineStr">
        <is>
          <t>14.10.2020</t>
        </is>
      </c>
      <c r="E31" t="n">
        <v>2020</v>
      </c>
      <c r="F31" t="inlineStr">
        <is>
          <t>14.10.2050</t>
        </is>
      </c>
      <c r="G31" t="inlineStr">
        <is>
          <t>21.12.2025</t>
        </is>
      </c>
      <c r="H31" t="inlineStr">
        <is>
          <t>ВРД Зелецино - филиал ООО "НВК"</t>
        </is>
      </c>
      <c r="K31" t="inlineStr">
        <is>
          <t>Деповской</t>
        </is>
      </c>
      <c r="L31" t="inlineStr">
        <is>
          <t>21.12.2027</t>
        </is>
      </c>
      <c r="M31" t="inlineStr">
        <is>
          <t>ООО "ТрансАльянс Запад"</t>
        </is>
      </c>
      <c r="N31" t="n">
        <v>160000</v>
      </c>
      <c r="O31" t="n">
        <v>19853</v>
      </c>
      <c r="P31" t="n">
        <v>140147</v>
      </c>
      <c r="Q31" t="inlineStr">
        <is>
          <t>19.09.2030</t>
        </is>
      </c>
      <c r="R31" t="inlineStr">
        <is>
          <t>21.12.2025</t>
        </is>
      </c>
      <c r="S31" s="72" t="inlineStr">
        <is>
          <t> </t>
        </is>
      </c>
      <c r="T31" t="n">
        <v>447880</v>
      </c>
      <c r="U31" t="inlineStr">
        <is>
          <t>0005</t>
        </is>
      </c>
      <c r="V31" t="n">
        <v>2020</v>
      </c>
      <c r="W31" t="n">
        <v>1173</v>
      </c>
      <c r="X31" t="inlineStr">
        <is>
          <t>дек.25</t>
        </is>
      </c>
      <c r="Y31" t="n">
        <v>30</v>
      </c>
      <c r="Z31" t="n">
        <v>31</v>
      </c>
      <c r="AA31" t="n">
        <v>63</v>
      </c>
      <c r="AB31" t="n">
        <v>64</v>
      </c>
      <c r="AC31" s="72" t="inlineStr">
        <is>
          <t> </t>
        </is>
      </c>
      <c r="AD31" t="n">
        <v>749336</v>
      </c>
      <c r="AE31" t="inlineStr">
        <is>
          <t>0029</t>
        </is>
      </c>
      <c r="AF31" t="n">
        <v>2020</v>
      </c>
      <c r="AG31" t="n">
        <v>1173</v>
      </c>
      <c r="AH31" t="inlineStr">
        <is>
          <t>дек.25</t>
        </is>
      </c>
      <c r="AI31" t="n">
        <v>31</v>
      </c>
      <c r="AJ31" t="n">
        <v>31</v>
      </c>
      <c r="AK31" t="n">
        <v>63</v>
      </c>
      <c r="AL31" t="n">
        <v>63</v>
      </c>
      <c r="AM31" s="72" t="inlineStr">
        <is>
          <t> </t>
        </is>
      </c>
      <c r="AN31" t="n">
        <v>448054</v>
      </c>
      <c r="AO31" t="inlineStr">
        <is>
          <t>0005</t>
        </is>
      </c>
      <c r="AP31" t="n">
        <v>2020</v>
      </c>
      <c r="AQ31" t="n">
        <v>1173</v>
      </c>
      <c r="AR31" t="inlineStr">
        <is>
          <t>дек.25</t>
        </is>
      </c>
      <c r="AS31" t="n">
        <v>30</v>
      </c>
      <c r="AT31" t="n">
        <v>30</v>
      </c>
      <c r="AU31" t="n">
        <v>63</v>
      </c>
      <c r="AV31" t="n">
        <v>61</v>
      </c>
      <c r="AW31" s="72" t="inlineStr">
        <is>
          <t> </t>
        </is>
      </c>
      <c r="AX31" t="n">
        <v>447874</v>
      </c>
      <c r="AY31" t="inlineStr">
        <is>
          <t>0005</t>
        </is>
      </c>
      <c r="AZ31" t="n">
        <v>2020</v>
      </c>
      <c r="BA31" t="n">
        <v>1173</v>
      </c>
      <c r="BB31" t="inlineStr">
        <is>
          <t>дек.25</t>
        </is>
      </c>
      <c r="BC31" t="n">
        <v>30</v>
      </c>
      <c r="BD31" t="n">
        <v>30</v>
      </c>
      <c r="BE31" t="n">
        <v>62</v>
      </c>
      <c r="BF31" t="n">
        <v>62</v>
      </c>
      <c r="BG31" s="72" t="inlineStr">
        <is>
          <t> </t>
        </is>
      </c>
      <c r="BH31" t="n">
        <v>27656</v>
      </c>
      <c r="BI31" t="n">
        <v>1275</v>
      </c>
      <c r="BJ31" t="n">
        <v>2020</v>
      </c>
      <c r="BM31" s="72" t="inlineStr">
        <is>
          <t> </t>
        </is>
      </c>
      <c r="BN31" t="n">
        <v>27645</v>
      </c>
      <c r="BO31" t="n">
        <v>1275</v>
      </c>
      <c r="BP31" t="n">
        <v>2020</v>
      </c>
      <c r="BS31" s="72" t="inlineStr">
        <is>
          <t> </t>
        </is>
      </c>
      <c r="BT31" t="n">
        <v>45699</v>
      </c>
      <c r="BU31" t="n">
        <v>1275</v>
      </c>
      <c r="BV31" t="n">
        <v>2020</v>
      </c>
      <c r="BY31" s="72" t="inlineStr">
        <is>
          <t> </t>
        </is>
      </c>
      <c r="BZ31" t="n">
        <v>45957</v>
      </c>
      <c r="CA31" t="n">
        <v>1275</v>
      </c>
      <c r="CB31" t="n">
        <v>2020</v>
      </c>
      <c r="CE31" s="72" t="inlineStr">
        <is>
          <t> </t>
        </is>
      </c>
      <c r="CF31" t="n">
        <v>46542</v>
      </c>
      <c r="CG31" t="n">
        <v>1275</v>
      </c>
      <c r="CH31" t="n">
        <v>2020</v>
      </c>
      <c r="CK31" s="72" t="inlineStr">
        <is>
          <t> </t>
        </is>
      </c>
      <c r="CL31" t="n">
        <v>46234</v>
      </c>
      <c r="CM31" t="n">
        <v>1275</v>
      </c>
      <c r="CN31" t="n">
        <v>2020</v>
      </c>
    </row>
    <row r="32">
      <c r="A32" t="n">
        <v>75188292</v>
      </c>
      <c r="B32" s="3" t="inlineStr">
        <is>
          <t>Цистерна для перевозки продуктов</t>
        </is>
      </c>
      <c r="C32" t="inlineStr">
        <is>
          <t>15-1219-1П</t>
        </is>
      </c>
      <c r="D32" t="inlineStr">
        <is>
          <t>14.10.2020</t>
        </is>
      </c>
      <c r="E32" t="n">
        <v>2020</v>
      </c>
      <c r="F32" t="inlineStr">
        <is>
          <t>14.10.2050</t>
        </is>
      </c>
      <c r="G32" t="inlineStr">
        <is>
          <t>30.09.2025</t>
        </is>
      </c>
      <c r="H32" t="inlineStr">
        <is>
          <t>ВРД Зелецино - филиал ООО "НВК"</t>
        </is>
      </c>
      <c r="K32" t="inlineStr">
        <is>
          <t>Деповской</t>
        </is>
      </c>
      <c r="L32" t="inlineStr">
        <is>
          <t>30.09.2027</t>
        </is>
      </c>
      <c r="M32" t="inlineStr">
        <is>
          <t>ООО "ТрансАльянс Запад"</t>
        </is>
      </c>
      <c r="N32" t="n">
        <v>160000</v>
      </c>
      <c r="O32" t="n">
        <v>27206</v>
      </c>
      <c r="P32" t="n">
        <v>132794</v>
      </c>
      <c r="Q32" t="inlineStr">
        <is>
          <t>13.07.2030</t>
        </is>
      </c>
      <c r="R32" t="inlineStr">
        <is>
          <t>30.09.2025</t>
        </is>
      </c>
      <c r="S32" s="72" t="inlineStr">
        <is>
          <t> </t>
        </is>
      </c>
      <c r="T32" t="n">
        <v>749620</v>
      </c>
      <c r="U32" t="inlineStr">
        <is>
          <t>0029</t>
        </is>
      </c>
      <c r="V32" t="n">
        <v>2020</v>
      </c>
      <c r="W32" t="n">
        <v>1173</v>
      </c>
      <c r="X32" t="inlineStr">
        <is>
          <t>сен.25</t>
        </is>
      </c>
      <c r="Y32" t="n">
        <v>30</v>
      </c>
      <c r="Z32" t="n">
        <v>30</v>
      </c>
      <c r="AA32" t="n">
        <v>59</v>
      </c>
      <c r="AB32" t="n">
        <v>61</v>
      </c>
      <c r="AC32" s="72" t="inlineStr">
        <is>
          <t> </t>
        </is>
      </c>
      <c r="AD32" t="n">
        <v>12219</v>
      </c>
      <c r="AE32" t="n">
        <v>2002</v>
      </c>
      <c r="AF32" t="n">
        <v>2020</v>
      </c>
      <c r="AG32" t="n">
        <v>1173</v>
      </c>
      <c r="AH32" t="inlineStr">
        <is>
          <t>сен.25</t>
        </is>
      </c>
      <c r="AI32" t="n">
        <v>30</v>
      </c>
      <c r="AJ32" t="n">
        <v>30</v>
      </c>
      <c r="AK32" t="n">
        <v>62</v>
      </c>
      <c r="AL32" t="n">
        <v>60</v>
      </c>
      <c r="AM32" s="72" t="inlineStr">
        <is>
          <t> </t>
        </is>
      </c>
      <c r="AN32" t="n">
        <v>749442</v>
      </c>
      <c r="AO32" t="inlineStr">
        <is>
          <t>0029</t>
        </is>
      </c>
      <c r="AP32" t="n">
        <v>2020</v>
      </c>
      <c r="AQ32" t="n">
        <v>1173</v>
      </c>
      <c r="AR32" t="inlineStr">
        <is>
          <t>сен.25</t>
        </is>
      </c>
      <c r="AS32" t="n">
        <v>30</v>
      </c>
      <c r="AT32" t="n">
        <v>30</v>
      </c>
      <c r="AU32" t="n">
        <v>61</v>
      </c>
      <c r="AV32" t="n">
        <v>59</v>
      </c>
      <c r="AW32" s="72" t="inlineStr">
        <is>
          <t> </t>
        </is>
      </c>
      <c r="AX32" t="n">
        <v>751928</v>
      </c>
      <c r="AY32" t="inlineStr">
        <is>
          <t>0029</t>
        </is>
      </c>
      <c r="AZ32" t="n">
        <v>2020</v>
      </c>
      <c r="BA32" t="n">
        <v>1173</v>
      </c>
      <c r="BB32" t="inlineStr">
        <is>
          <t>сен.25</t>
        </is>
      </c>
      <c r="BC32" t="n">
        <v>30</v>
      </c>
      <c r="BD32" t="n">
        <v>30</v>
      </c>
      <c r="BE32" t="n">
        <v>61</v>
      </c>
      <c r="BF32" t="n">
        <v>63</v>
      </c>
      <c r="BG32" s="72" t="inlineStr">
        <is>
          <t> </t>
        </is>
      </c>
      <c r="BH32" t="n">
        <v>27727</v>
      </c>
      <c r="BI32" t="n">
        <v>1275</v>
      </c>
      <c r="BJ32" t="n">
        <v>2020</v>
      </c>
      <c r="BM32" s="72" t="inlineStr">
        <is>
          <t> </t>
        </is>
      </c>
      <c r="BN32" t="n">
        <v>27753</v>
      </c>
      <c r="BO32" t="n">
        <v>1275</v>
      </c>
      <c r="BP32" t="n">
        <v>2020</v>
      </c>
      <c r="BS32" s="72" t="inlineStr">
        <is>
          <t> </t>
        </is>
      </c>
      <c r="BT32" t="n">
        <v>46593</v>
      </c>
      <c r="BU32" t="n">
        <v>1275</v>
      </c>
      <c r="BV32" t="n">
        <v>2020</v>
      </c>
      <c r="BY32" s="72" t="inlineStr">
        <is>
          <t> </t>
        </is>
      </c>
      <c r="BZ32" t="n">
        <v>46587</v>
      </c>
      <c r="CA32" t="n">
        <v>1275</v>
      </c>
      <c r="CB32" t="n">
        <v>2020</v>
      </c>
      <c r="CE32" s="72" t="inlineStr">
        <is>
          <t> </t>
        </is>
      </c>
      <c r="CF32" t="n">
        <v>44783</v>
      </c>
      <c r="CG32" t="n">
        <v>1275</v>
      </c>
      <c r="CH32" t="n">
        <v>2020</v>
      </c>
      <c r="CK32" s="72" t="inlineStr">
        <is>
          <t> </t>
        </is>
      </c>
      <c r="CL32" t="n">
        <v>45764</v>
      </c>
      <c r="CM32" t="n">
        <v>1275</v>
      </c>
      <c r="CN32" t="n">
        <v>2020</v>
      </c>
    </row>
    <row r="33">
      <c r="A33" t="n">
        <v>75188599</v>
      </c>
      <c r="B33" s="3" t="inlineStr">
        <is>
          <t>Цистерна для перевозки продуктов</t>
        </is>
      </c>
      <c r="C33" t="inlineStr">
        <is>
          <t>15-1219-1П</t>
        </is>
      </c>
      <c r="D33" t="inlineStr">
        <is>
          <t>14.10.2020</t>
        </is>
      </c>
      <c r="E33" t="n">
        <v>2020</v>
      </c>
      <c r="F33" t="inlineStr">
        <is>
          <t>14.10.2050</t>
        </is>
      </c>
      <c r="G33" t="inlineStr">
        <is>
          <t>13.09.2025</t>
        </is>
      </c>
      <c r="H33" t="inlineStr">
        <is>
          <t>ВРД Зелецино - филиал ООО "НВК"</t>
        </is>
      </c>
      <c r="K33" t="inlineStr">
        <is>
          <t>Деповской</t>
        </is>
      </c>
      <c r="L33" t="inlineStr">
        <is>
          <t>13.09.2027</t>
        </is>
      </c>
      <c r="M33" t="inlineStr">
        <is>
          <t>ООО "ТрансАльянс Запад"</t>
        </is>
      </c>
      <c r="N33" t="n">
        <v>160000</v>
      </c>
      <c r="O33" t="n">
        <v>33128</v>
      </c>
      <c r="P33" t="n">
        <v>126872</v>
      </c>
      <c r="Q33" t="inlineStr">
        <is>
          <t>08.11.2029</t>
        </is>
      </c>
      <c r="R33" t="inlineStr">
        <is>
          <t>13.09.2025</t>
        </is>
      </c>
      <c r="S33" s="72" t="inlineStr">
        <is>
          <t> </t>
        </is>
      </c>
      <c r="T33" t="n">
        <v>9849</v>
      </c>
      <c r="U33" t="n">
        <v>2002</v>
      </c>
      <c r="V33" t="n">
        <v>2020</v>
      </c>
      <c r="W33" t="n">
        <v>1173</v>
      </c>
      <c r="X33" t="inlineStr">
        <is>
          <t>сен.25</t>
        </is>
      </c>
      <c r="Y33" t="n">
        <v>30</v>
      </c>
      <c r="Z33" t="n">
        <v>31</v>
      </c>
      <c r="AA33" t="n">
        <v>63</v>
      </c>
      <c r="AB33" t="n">
        <v>64</v>
      </c>
      <c r="AC33" s="72" t="inlineStr">
        <is>
          <t> </t>
        </is>
      </c>
      <c r="AD33" t="n">
        <v>751713</v>
      </c>
      <c r="AE33" t="inlineStr">
        <is>
          <t>0029</t>
        </is>
      </c>
      <c r="AF33" t="n">
        <v>2020</v>
      </c>
      <c r="AG33" t="n">
        <v>1173</v>
      </c>
      <c r="AH33" t="inlineStr">
        <is>
          <t>сен.25</t>
        </is>
      </c>
      <c r="AI33" t="n">
        <v>30</v>
      </c>
      <c r="AJ33" t="n">
        <v>31</v>
      </c>
      <c r="AK33" t="n">
        <v>62</v>
      </c>
      <c r="AL33" t="n">
        <v>63</v>
      </c>
      <c r="AM33" s="72" t="inlineStr">
        <is>
          <t> </t>
        </is>
      </c>
      <c r="AN33" t="n">
        <v>749420</v>
      </c>
      <c r="AO33" t="inlineStr">
        <is>
          <t>0029</t>
        </is>
      </c>
      <c r="AP33" t="n">
        <v>2020</v>
      </c>
      <c r="AQ33" t="n">
        <v>1173</v>
      </c>
      <c r="AR33" t="inlineStr">
        <is>
          <t>сен.25</t>
        </is>
      </c>
      <c r="AS33" t="n">
        <v>31</v>
      </c>
      <c r="AT33" t="n">
        <v>30</v>
      </c>
      <c r="AU33" t="n">
        <v>63</v>
      </c>
      <c r="AV33" t="n">
        <v>64</v>
      </c>
      <c r="AW33" s="72" t="inlineStr">
        <is>
          <t> </t>
        </is>
      </c>
      <c r="AX33" t="n">
        <v>749361</v>
      </c>
      <c r="AY33" t="inlineStr">
        <is>
          <t>0029</t>
        </is>
      </c>
      <c r="AZ33" t="n">
        <v>2020</v>
      </c>
      <c r="BA33" t="n">
        <v>1173</v>
      </c>
      <c r="BB33" t="inlineStr">
        <is>
          <t>сен.25</t>
        </is>
      </c>
      <c r="BC33" t="n">
        <v>31</v>
      </c>
      <c r="BD33" t="n">
        <v>30</v>
      </c>
      <c r="BE33" t="n">
        <v>61</v>
      </c>
      <c r="BF33" t="n">
        <v>61</v>
      </c>
      <c r="BG33" s="72" t="inlineStr">
        <is>
          <t> </t>
        </is>
      </c>
      <c r="BH33" t="n">
        <v>23094</v>
      </c>
      <c r="BI33" t="n">
        <v>1275</v>
      </c>
      <c r="BJ33" t="n">
        <v>2020</v>
      </c>
      <c r="BM33" s="72" t="inlineStr">
        <is>
          <t> </t>
        </is>
      </c>
      <c r="BN33" t="n">
        <v>23233</v>
      </c>
      <c r="BO33" t="n">
        <v>1275</v>
      </c>
      <c r="BP33" t="n">
        <v>2020</v>
      </c>
      <c r="BS33" s="72" t="inlineStr">
        <is>
          <t> </t>
        </is>
      </c>
      <c r="BT33" t="n">
        <v>46846</v>
      </c>
      <c r="BU33" t="n">
        <v>1275</v>
      </c>
      <c r="BV33" t="n">
        <v>2020</v>
      </c>
      <c r="BY33" s="72" t="inlineStr">
        <is>
          <t> </t>
        </is>
      </c>
      <c r="BZ33" t="n">
        <v>46809</v>
      </c>
      <c r="CA33" t="n">
        <v>1275</v>
      </c>
      <c r="CB33" t="n">
        <v>2020</v>
      </c>
      <c r="CE33" s="72" t="inlineStr">
        <is>
          <t> </t>
        </is>
      </c>
      <c r="CF33" t="n">
        <v>46823</v>
      </c>
      <c r="CG33" t="n">
        <v>1275</v>
      </c>
      <c r="CH33" t="n">
        <v>2020</v>
      </c>
      <c r="CK33" s="72" t="inlineStr">
        <is>
          <t> </t>
        </is>
      </c>
      <c r="CL33" t="n">
        <v>46521</v>
      </c>
      <c r="CM33" t="n">
        <v>1275</v>
      </c>
      <c r="CN33" t="n">
        <v>2020</v>
      </c>
    </row>
    <row r="34">
      <c r="A34" t="n">
        <v>75188797</v>
      </c>
      <c r="B34" s="3" t="inlineStr">
        <is>
          <t>Цистерна для перевозки продуктов</t>
        </is>
      </c>
      <c r="C34" t="inlineStr">
        <is>
          <t>15-1219-1П</t>
        </is>
      </c>
      <c r="D34" t="inlineStr">
        <is>
          <t>14.10.2020</t>
        </is>
      </c>
      <c r="E34" t="n">
        <v>2020</v>
      </c>
      <c r="F34" t="inlineStr">
        <is>
          <t>14.10.2050</t>
        </is>
      </c>
      <c r="G34" t="inlineStr">
        <is>
          <t>26.11.2025</t>
        </is>
      </c>
      <c r="H34" t="inlineStr">
        <is>
          <t>ВРД Кочетовка – филиал ООО "НВК"</t>
        </is>
      </c>
      <c r="K34" t="inlineStr">
        <is>
          <t>Деповской</t>
        </is>
      </c>
      <c r="L34" t="inlineStr">
        <is>
          <t>26.11.2027</t>
        </is>
      </c>
      <c r="M34" t="inlineStr">
        <is>
          <t>ООО "ТрансАльянс Запад"</t>
        </is>
      </c>
      <c r="N34" t="n">
        <v>160000</v>
      </c>
      <c r="O34" t="n">
        <v>18972</v>
      </c>
      <c r="P34" t="n">
        <v>141028</v>
      </c>
      <c r="Q34" t="inlineStr">
        <is>
          <t>12.06.2031</t>
        </is>
      </c>
      <c r="R34" t="inlineStr">
        <is>
          <t>26.11.2025</t>
        </is>
      </c>
      <c r="S34" s="72" t="inlineStr">
        <is>
          <t> </t>
        </is>
      </c>
      <c r="T34" t="n">
        <v>749444</v>
      </c>
      <c r="U34" t="inlineStr">
        <is>
          <t>0029</t>
        </is>
      </c>
      <c r="V34" t="n">
        <v>2020</v>
      </c>
      <c r="W34" t="n">
        <v>301</v>
      </c>
      <c r="X34" t="inlineStr">
        <is>
          <t>ноя.25</t>
        </is>
      </c>
      <c r="Y34" t="n">
        <v>31</v>
      </c>
      <c r="Z34" t="n">
        <v>31</v>
      </c>
      <c r="AA34" t="n">
        <v>57</v>
      </c>
      <c r="AB34" t="n">
        <v>57</v>
      </c>
      <c r="AC34" s="72" t="inlineStr">
        <is>
          <t> </t>
        </is>
      </c>
      <c r="AD34" t="n">
        <v>748962</v>
      </c>
      <c r="AE34" t="inlineStr">
        <is>
          <t>0029</t>
        </is>
      </c>
      <c r="AF34" t="n">
        <v>2020</v>
      </c>
      <c r="AG34" t="n">
        <v>301</v>
      </c>
      <c r="AH34" t="inlineStr">
        <is>
          <t>ноя.25</t>
        </is>
      </c>
      <c r="AI34" t="n">
        <v>31</v>
      </c>
      <c r="AJ34" t="n">
        <v>31</v>
      </c>
      <c r="AK34" t="n">
        <v>55</v>
      </c>
      <c r="AL34" t="n">
        <v>55</v>
      </c>
      <c r="AM34" s="72" t="inlineStr">
        <is>
          <t> </t>
        </is>
      </c>
      <c r="AN34" t="n">
        <v>445133</v>
      </c>
      <c r="AO34" t="inlineStr">
        <is>
          <t>0005</t>
        </is>
      </c>
      <c r="AP34" t="n">
        <v>2020</v>
      </c>
      <c r="AQ34" t="n">
        <v>301</v>
      </c>
      <c r="AR34" t="inlineStr">
        <is>
          <t>ноя.25</t>
        </is>
      </c>
      <c r="AS34" t="n">
        <v>30</v>
      </c>
      <c r="AT34" t="n">
        <v>30</v>
      </c>
      <c r="AU34" t="n">
        <v>58</v>
      </c>
      <c r="AV34" t="n">
        <v>58</v>
      </c>
      <c r="AW34" s="72" t="inlineStr">
        <is>
          <t> </t>
        </is>
      </c>
      <c r="AX34" t="n">
        <v>748715</v>
      </c>
      <c r="AY34" t="inlineStr">
        <is>
          <t>0029</t>
        </is>
      </c>
      <c r="AZ34" t="n">
        <v>2020</v>
      </c>
      <c r="BA34" t="n">
        <v>301</v>
      </c>
      <c r="BB34" t="inlineStr">
        <is>
          <t>ноя.25</t>
        </is>
      </c>
      <c r="BC34" t="n">
        <v>31</v>
      </c>
      <c r="BD34" t="n">
        <v>31</v>
      </c>
      <c r="BE34" t="n">
        <v>61</v>
      </c>
      <c r="BF34" t="n">
        <v>61</v>
      </c>
      <c r="BG34" s="72" t="inlineStr">
        <is>
          <t> </t>
        </is>
      </c>
      <c r="BH34" t="n">
        <v>27666</v>
      </c>
      <c r="BI34" t="n">
        <v>1275</v>
      </c>
      <c r="BJ34" t="n">
        <v>2020</v>
      </c>
      <c r="BM34" s="72" t="inlineStr">
        <is>
          <t> </t>
        </is>
      </c>
      <c r="BN34" t="n">
        <v>27662</v>
      </c>
      <c r="BO34" t="n">
        <v>1275</v>
      </c>
      <c r="BP34" t="n">
        <v>2020</v>
      </c>
      <c r="BS34" s="72" t="inlineStr">
        <is>
          <t> </t>
        </is>
      </c>
      <c r="BT34" t="n">
        <v>45856</v>
      </c>
      <c r="BU34" t="n">
        <v>1275</v>
      </c>
      <c r="BV34" t="n">
        <v>2020</v>
      </c>
      <c r="BY34" s="72" t="inlineStr">
        <is>
          <t> </t>
        </is>
      </c>
      <c r="BZ34" t="n">
        <v>45679</v>
      </c>
      <c r="CA34" t="n">
        <v>1275</v>
      </c>
      <c r="CB34" t="n">
        <v>2020</v>
      </c>
      <c r="CE34" s="72" t="inlineStr">
        <is>
          <t> </t>
        </is>
      </c>
      <c r="CF34" t="n">
        <v>45971</v>
      </c>
      <c r="CG34" t="n">
        <v>1275</v>
      </c>
      <c r="CH34" t="n">
        <v>2020</v>
      </c>
      <c r="CK34" s="72" t="inlineStr">
        <is>
          <t> </t>
        </is>
      </c>
      <c r="CL34" t="n">
        <v>45819</v>
      </c>
      <c r="CM34" t="n">
        <v>1275</v>
      </c>
      <c r="CN34" t="n">
        <v>2020</v>
      </c>
    </row>
    <row r="35">
      <c r="A35" t="n">
        <v>75188995</v>
      </c>
      <c r="B35" s="3" t="inlineStr">
        <is>
          <t>Цистерна для перевозки продуктов</t>
        </is>
      </c>
      <c r="C35" t="inlineStr">
        <is>
          <t>15-1219-1П</t>
        </is>
      </c>
      <c r="D35" t="inlineStr">
        <is>
          <t>14.10.2020</t>
        </is>
      </c>
      <c r="E35" t="n">
        <v>2020</v>
      </c>
      <c r="F35" t="inlineStr">
        <is>
          <t>14.10.2050</t>
        </is>
      </c>
      <c r="G35" t="inlineStr">
        <is>
          <t>29.10.2025</t>
        </is>
      </c>
      <c r="H35" t="inlineStr">
        <is>
          <t>ВРД Зелецино - филиал ООО "НВК"</t>
        </is>
      </c>
      <c r="K35" t="inlineStr">
        <is>
          <t>Деповской</t>
        </is>
      </c>
      <c r="L35" t="inlineStr">
        <is>
          <t>29.10.2027</t>
        </is>
      </c>
      <c r="M35" t="inlineStr">
        <is>
          <t>ООО "ТрансАльянс Запад"</t>
        </is>
      </c>
      <c r="N35" t="n">
        <v>160000</v>
      </c>
      <c r="O35" t="n">
        <v>25200</v>
      </c>
      <c r="P35" t="n">
        <v>134800</v>
      </c>
      <c r="Q35" t="inlineStr">
        <is>
          <t>27.06.2030</t>
        </is>
      </c>
      <c r="R35" t="inlineStr">
        <is>
          <t>29.10.2025</t>
        </is>
      </c>
      <c r="S35" s="72" t="inlineStr">
        <is>
          <t> </t>
        </is>
      </c>
      <c r="T35" t="n">
        <v>749353</v>
      </c>
      <c r="U35" t="inlineStr">
        <is>
          <t>0029</t>
        </is>
      </c>
      <c r="V35" t="n">
        <v>2020</v>
      </c>
      <c r="W35" t="n">
        <v>1173</v>
      </c>
      <c r="X35" t="inlineStr">
        <is>
          <t>окт.25</t>
        </is>
      </c>
      <c r="Y35" t="n">
        <v>29</v>
      </c>
      <c r="Z35" t="n">
        <v>30</v>
      </c>
      <c r="AA35" t="n">
        <v>63</v>
      </c>
      <c r="AB35" t="n">
        <v>64</v>
      </c>
      <c r="AC35" s="72" t="inlineStr">
        <is>
          <t> </t>
        </is>
      </c>
      <c r="AD35" t="n">
        <v>748973</v>
      </c>
      <c r="AE35" t="inlineStr">
        <is>
          <t>0029</t>
        </is>
      </c>
      <c r="AF35" t="n">
        <v>2020</v>
      </c>
      <c r="AG35" t="n">
        <v>1173</v>
      </c>
      <c r="AH35" t="inlineStr">
        <is>
          <t>окт.25</t>
        </is>
      </c>
      <c r="AI35" t="n">
        <v>30</v>
      </c>
      <c r="AJ35" t="n">
        <v>30</v>
      </c>
      <c r="AK35" t="n">
        <v>60</v>
      </c>
      <c r="AL35" t="n">
        <v>60</v>
      </c>
      <c r="AM35" s="72" t="inlineStr">
        <is>
          <t> </t>
        </is>
      </c>
      <c r="AN35" t="n">
        <v>749282</v>
      </c>
      <c r="AO35" t="inlineStr">
        <is>
          <t>0029</t>
        </is>
      </c>
      <c r="AP35" t="n">
        <v>2020</v>
      </c>
      <c r="AQ35" t="n">
        <v>1173</v>
      </c>
      <c r="AR35" t="inlineStr">
        <is>
          <t>окт.25</t>
        </is>
      </c>
      <c r="AS35" t="n">
        <v>30</v>
      </c>
      <c r="AT35" t="n">
        <v>30</v>
      </c>
      <c r="AU35" t="n">
        <v>65</v>
      </c>
      <c r="AV35" t="n">
        <v>67</v>
      </c>
      <c r="AW35" s="72" t="inlineStr">
        <is>
          <t> </t>
        </is>
      </c>
      <c r="AX35" t="n">
        <v>749194</v>
      </c>
      <c r="AY35" t="inlineStr">
        <is>
          <t>0029</t>
        </is>
      </c>
      <c r="AZ35" t="n">
        <v>2020</v>
      </c>
      <c r="BA35" t="n">
        <v>1173</v>
      </c>
      <c r="BB35" t="inlineStr">
        <is>
          <t>окт.25</t>
        </is>
      </c>
      <c r="BC35" t="n">
        <v>30</v>
      </c>
      <c r="BD35" t="n">
        <v>30</v>
      </c>
      <c r="BE35" t="n">
        <v>60</v>
      </c>
      <c r="BF35" t="n">
        <v>60</v>
      </c>
      <c r="BG35" s="72" t="inlineStr">
        <is>
          <t> </t>
        </is>
      </c>
      <c r="BH35" t="n">
        <v>27405</v>
      </c>
      <c r="BI35" t="n">
        <v>1275</v>
      </c>
      <c r="BJ35" t="n">
        <v>2020</v>
      </c>
      <c r="BM35" s="72" t="inlineStr">
        <is>
          <t> </t>
        </is>
      </c>
      <c r="BN35" t="n">
        <v>27580</v>
      </c>
      <c r="BO35" t="n">
        <v>1275</v>
      </c>
      <c r="BP35" t="n">
        <v>2020</v>
      </c>
      <c r="BS35" s="72" t="inlineStr">
        <is>
          <t> </t>
        </is>
      </c>
      <c r="BT35" t="n">
        <v>45906</v>
      </c>
      <c r="BU35" t="n">
        <v>1275</v>
      </c>
      <c r="BV35" t="n">
        <v>2020</v>
      </c>
      <c r="BY35" s="72" t="inlineStr">
        <is>
          <t> </t>
        </is>
      </c>
      <c r="BZ35" t="n">
        <v>46466</v>
      </c>
      <c r="CA35" t="n">
        <v>1275</v>
      </c>
      <c r="CB35" t="n">
        <v>2020</v>
      </c>
      <c r="CE35" s="72" t="inlineStr">
        <is>
          <t> </t>
        </is>
      </c>
      <c r="CF35" t="n">
        <v>46415</v>
      </c>
      <c r="CG35" t="n">
        <v>1275</v>
      </c>
      <c r="CH35" t="n">
        <v>2020</v>
      </c>
      <c r="CK35" s="72" t="inlineStr">
        <is>
          <t> </t>
        </is>
      </c>
      <c r="CL35" t="n">
        <v>46290</v>
      </c>
      <c r="CM35" t="n">
        <v>1275</v>
      </c>
      <c r="CN35" t="n">
        <v>2020</v>
      </c>
    </row>
    <row r="36">
      <c r="A36" t="n">
        <v>75183293</v>
      </c>
      <c r="B36" s="3" t="inlineStr">
        <is>
          <t>Цистерна для перевозки продуктов</t>
        </is>
      </c>
      <c r="C36" t="inlineStr">
        <is>
          <t>15-1219-1П</t>
        </is>
      </c>
      <c r="D36" t="inlineStr">
        <is>
          <t>08.10.2020</t>
        </is>
      </c>
      <c r="E36" t="n">
        <v>2020</v>
      </c>
      <c r="F36" t="inlineStr">
        <is>
          <t>08.10.2050</t>
        </is>
      </c>
      <c r="G36" t="inlineStr">
        <is>
          <t>12.01.2026</t>
        </is>
      </c>
      <c r="H36" t="inlineStr">
        <is>
          <t>ВРД Зелецино - филиал ООО "НВК"</t>
        </is>
      </c>
      <c r="K36" t="inlineStr">
        <is>
          <t>Деповской</t>
        </is>
      </c>
      <c r="L36" t="inlineStr">
        <is>
          <t>12.01.2028</t>
        </is>
      </c>
      <c r="M36" t="inlineStr">
        <is>
          <t>ООО "ТрансАльянс Запад"</t>
        </is>
      </c>
      <c r="N36" t="n">
        <v>160000</v>
      </c>
      <c r="O36" t="n">
        <v>17120</v>
      </c>
      <c r="P36" t="n">
        <v>142880</v>
      </c>
      <c r="Q36" t="inlineStr">
        <is>
          <t>21.12.2030</t>
        </is>
      </c>
      <c r="R36" t="inlineStr">
        <is>
          <t>12.01.2026</t>
        </is>
      </c>
      <c r="S36" s="72" t="inlineStr">
        <is>
          <t> </t>
        </is>
      </c>
      <c r="T36" t="n">
        <v>751278</v>
      </c>
      <c r="U36" t="inlineStr">
        <is>
          <t>0029</t>
        </is>
      </c>
      <c r="V36" t="n">
        <v>2020</v>
      </c>
      <c r="W36" t="n">
        <v>1173</v>
      </c>
      <c r="X36" t="inlineStr">
        <is>
          <t>янв.26</t>
        </is>
      </c>
      <c r="Y36" t="n">
        <v>30</v>
      </c>
      <c r="Z36" t="n">
        <v>30</v>
      </c>
      <c r="AA36" t="n">
        <v>57</v>
      </c>
      <c r="AB36" t="n">
        <v>58</v>
      </c>
      <c r="AC36" s="72" t="inlineStr">
        <is>
          <t> </t>
        </is>
      </c>
      <c r="AD36" t="n">
        <v>742771</v>
      </c>
      <c r="AE36" t="inlineStr">
        <is>
          <t>0029</t>
        </is>
      </c>
      <c r="AF36" t="n">
        <v>2020</v>
      </c>
      <c r="AG36" t="n">
        <v>1173</v>
      </c>
      <c r="AH36" t="inlineStr">
        <is>
          <t>янв.26</t>
        </is>
      </c>
      <c r="AI36" t="n">
        <v>29</v>
      </c>
      <c r="AJ36" t="n">
        <v>29</v>
      </c>
      <c r="AK36" t="n">
        <v>54</v>
      </c>
      <c r="AL36" t="n">
        <v>55</v>
      </c>
      <c r="AM36" s="72" t="inlineStr">
        <is>
          <t> </t>
        </is>
      </c>
      <c r="AN36" t="n">
        <v>12260</v>
      </c>
      <c r="AO36" t="n">
        <v>2002</v>
      </c>
      <c r="AP36" t="n">
        <v>2020</v>
      </c>
      <c r="AQ36" t="n">
        <v>1173</v>
      </c>
      <c r="AR36" t="inlineStr">
        <is>
          <t>янв.26</t>
        </is>
      </c>
      <c r="AS36" t="n">
        <v>30</v>
      </c>
      <c r="AT36" t="n">
        <v>29</v>
      </c>
      <c r="AU36" t="n">
        <v>59</v>
      </c>
      <c r="AV36" t="n">
        <v>60</v>
      </c>
      <c r="AW36" s="72" t="inlineStr">
        <is>
          <t> </t>
        </is>
      </c>
      <c r="AX36" t="n">
        <v>447596</v>
      </c>
      <c r="AY36" t="inlineStr">
        <is>
          <t>0005</t>
        </is>
      </c>
      <c r="AZ36" t="n">
        <v>2020</v>
      </c>
      <c r="BA36" t="n">
        <v>1173</v>
      </c>
      <c r="BB36" t="inlineStr">
        <is>
          <t>янв.26</t>
        </is>
      </c>
      <c r="BC36" t="n">
        <v>30</v>
      </c>
      <c r="BD36" t="n">
        <v>29</v>
      </c>
      <c r="BE36" t="n">
        <v>64</v>
      </c>
      <c r="BF36" t="n">
        <v>64</v>
      </c>
      <c r="BG36" s="72" t="inlineStr">
        <is>
          <t> </t>
        </is>
      </c>
      <c r="BH36" t="n">
        <v>27347</v>
      </c>
      <c r="BI36" t="n">
        <v>1275</v>
      </c>
      <c r="BJ36" t="n">
        <v>2020</v>
      </c>
      <c r="BM36" s="72" t="inlineStr">
        <is>
          <t> </t>
        </is>
      </c>
      <c r="BN36" t="n">
        <v>27188</v>
      </c>
      <c r="BO36" t="n">
        <v>1275</v>
      </c>
      <c r="BP36" t="n">
        <v>2020</v>
      </c>
      <c r="BS36" s="72" t="inlineStr">
        <is>
          <t> </t>
        </is>
      </c>
      <c r="BT36" t="n">
        <v>45670</v>
      </c>
      <c r="BU36" t="n">
        <v>1275</v>
      </c>
      <c r="BV36" t="n">
        <v>2020</v>
      </c>
      <c r="BY36" s="72" t="inlineStr">
        <is>
          <t> </t>
        </is>
      </c>
      <c r="BZ36" t="n">
        <v>45653</v>
      </c>
      <c r="CA36" t="n">
        <v>1275</v>
      </c>
      <c r="CB36" t="n">
        <v>2020</v>
      </c>
      <c r="CE36" s="72" t="inlineStr">
        <is>
          <t> </t>
        </is>
      </c>
      <c r="CF36" t="n">
        <v>45557</v>
      </c>
      <c r="CG36" t="n">
        <v>1275</v>
      </c>
      <c r="CH36" t="n">
        <v>2020</v>
      </c>
      <c r="CK36" s="72" t="inlineStr">
        <is>
          <t> </t>
        </is>
      </c>
      <c r="CL36" t="n">
        <v>45619</v>
      </c>
      <c r="CM36" t="n">
        <v>1275</v>
      </c>
      <c r="CN36" t="n">
        <v>2020</v>
      </c>
    </row>
    <row r="37">
      <c r="A37" t="n">
        <v>75176891</v>
      </c>
      <c r="B37" s="3" t="inlineStr">
        <is>
          <t>Цистерна для перевозки продуктов</t>
        </is>
      </c>
      <c r="C37" t="inlineStr">
        <is>
          <t>15-1219-1П</t>
        </is>
      </c>
      <c r="D37" t="inlineStr">
        <is>
          <t>05.10.2020</t>
        </is>
      </c>
      <c r="E37" t="n">
        <v>2020</v>
      </c>
      <c r="F37" t="inlineStr">
        <is>
          <t>05.10.2050</t>
        </is>
      </c>
      <c r="G37" t="inlineStr">
        <is>
          <t>23.11.2025</t>
        </is>
      </c>
      <c r="H37" t="inlineStr">
        <is>
          <t>ВРД Зелецино - филиал ООО "НВК"</t>
        </is>
      </c>
      <c r="K37" t="inlineStr">
        <is>
          <t>Деповской</t>
        </is>
      </c>
      <c r="L37" t="inlineStr">
        <is>
          <t>23.11.2027</t>
        </is>
      </c>
      <c r="M37" t="inlineStr">
        <is>
          <t>ООО "ТрансАльянс Запад"</t>
        </is>
      </c>
      <c r="N37" t="n">
        <v>160000</v>
      </c>
      <c r="O37" t="n">
        <v>22364</v>
      </c>
      <c r="P37" t="n">
        <v>137636</v>
      </c>
      <c r="Q37" t="inlineStr">
        <is>
          <t>28.08.2030</t>
        </is>
      </c>
      <c r="R37" t="inlineStr">
        <is>
          <t>23.11.2025</t>
        </is>
      </c>
      <c r="S37" s="72" t="inlineStr">
        <is>
          <t> </t>
        </is>
      </c>
      <c r="T37" t="n">
        <v>742452</v>
      </c>
      <c r="U37" t="inlineStr">
        <is>
          <t>0029</t>
        </is>
      </c>
      <c r="V37" t="n">
        <v>2020</v>
      </c>
      <c r="W37" t="n">
        <v>1173</v>
      </c>
      <c r="X37" t="inlineStr">
        <is>
          <t>ноя.25</t>
        </is>
      </c>
      <c r="Y37" t="n">
        <v>30</v>
      </c>
      <c r="Z37" t="n">
        <v>30</v>
      </c>
      <c r="AA37" t="n">
        <v>56</v>
      </c>
      <c r="AB37" t="n">
        <v>55</v>
      </c>
      <c r="AC37" s="72" t="inlineStr">
        <is>
          <t> </t>
        </is>
      </c>
      <c r="AD37" t="n">
        <v>751460</v>
      </c>
      <c r="AE37" t="inlineStr">
        <is>
          <t>0029</t>
        </is>
      </c>
      <c r="AF37" t="n">
        <v>2020</v>
      </c>
      <c r="AG37" t="n">
        <v>1173</v>
      </c>
      <c r="AH37" t="inlineStr">
        <is>
          <t>ноя.25</t>
        </is>
      </c>
      <c r="AI37" t="n">
        <v>29</v>
      </c>
      <c r="AJ37" t="n">
        <v>29</v>
      </c>
      <c r="AK37" t="n">
        <v>49</v>
      </c>
      <c r="AL37" t="n">
        <v>47</v>
      </c>
      <c r="AM37" s="72" t="inlineStr">
        <is>
          <t> </t>
        </is>
      </c>
      <c r="AN37" t="n">
        <v>742779</v>
      </c>
      <c r="AO37" t="inlineStr">
        <is>
          <t>0029</t>
        </is>
      </c>
      <c r="AP37" t="n">
        <v>2020</v>
      </c>
      <c r="AQ37" t="n">
        <v>1173</v>
      </c>
      <c r="AR37" t="inlineStr">
        <is>
          <t>ноя.25</t>
        </is>
      </c>
      <c r="AS37" t="n">
        <v>31</v>
      </c>
      <c r="AT37" t="n">
        <v>29</v>
      </c>
      <c r="AU37" t="n">
        <v>57</v>
      </c>
      <c r="AV37" t="n">
        <v>56</v>
      </c>
      <c r="AW37" s="72" t="inlineStr">
        <is>
          <t> </t>
        </is>
      </c>
      <c r="AX37" t="n">
        <v>751528</v>
      </c>
      <c r="AY37" t="inlineStr">
        <is>
          <t>0029</t>
        </is>
      </c>
      <c r="AZ37" t="n">
        <v>2020</v>
      </c>
      <c r="BA37" t="n">
        <v>1173</v>
      </c>
      <c r="BB37" t="inlineStr">
        <is>
          <t>ноя.25</t>
        </is>
      </c>
      <c r="BC37" t="n">
        <v>30</v>
      </c>
      <c r="BD37" t="n">
        <v>30</v>
      </c>
      <c r="BE37" t="n">
        <v>56</v>
      </c>
      <c r="BF37" t="n">
        <v>57</v>
      </c>
      <c r="BG37" s="72" t="inlineStr">
        <is>
          <t> </t>
        </is>
      </c>
      <c r="BH37" t="n">
        <v>27175</v>
      </c>
      <c r="BI37" t="n">
        <v>1275</v>
      </c>
      <c r="BJ37" t="n">
        <v>2020</v>
      </c>
      <c r="BM37" s="72" t="inlineStr">
        <is>
          <t> </t>
        </is>
      </c>
      <c r="BN37" t="n">
        <v>27187</v>
      </c>
      <c r="BO37" t="n">
        <v>1275</v>
      </c>
      <c r="BP37" t="n">
        <v>2020</v>
      </c>
      <c r="BS37" s="72" t="inlineStr">
        <is>
          <t> </t>
        </is>
      </c>
      <c r="BT37" t="n">
        <v>45138</v>
      </c>
      <c r="BU37" t="n">
        <v>1275</v>
      </c>
      <c r="BV37" t="n">
        <v>2020</v>
      </c>
      <c r="BY37" s="72" t="inlineStr">
        <is>
          <t> </t>
        </is>
      </c>
      <c r="BZ37" t="n">
        <v>45271</v>
      </c>
      <c r="CA37" t="n">
        <v>1275</v>
      </c>
      <c r="CB37" t="n">
        <v>2020</v>
      </c>
      <c r="CE37" s="72" t="inlineStr">
        <is>
          <t> </t>
        </is>
      </c>
      <c r="CF37" t="n">
        <v>45205</v>
      </c>
      <c r="CG37" t="n">
        <v>1275</v>
      </c>
      <c r="CH37" t="n">
        <v>2020</v>
      </c>
      <c r="CK37" s="72" t="inlineStr">
        <is>
          <t> </t>
        </is>
      </c>
      <c r="CL37" t="n">
        <v>45137</v>
      </c>
      <c r="CM37" t="n">
        <v>1275</v>
      </c>
      <c r="CN37" t="n">
        <v>2020</v>
      </c>
    </row>
    <row r="38">
      <c r="A38" t="n">
        <v>75176990</v>
      </c>
      <c r="B38" s="3" t="inlineStr">
        <is>
          <t>Цистерна для перевозки продуктов</t>
        </is>
      </c>
      <c r="C38" t="inlineStr">
        <is>
          <t>15-1219-1П</t>
        </is>
      </c>
      <c r="D38" t="inlineStr">
        <is>
          <t>05.10.2020</t>
        </is>
      </c>
      <c r="E38" t="n">
        <v>2020</v>
      </c>
      <c r="F38" t="inlineStr">
        <is>
          <t>05.10.2050</t>
        </is>
      </c>
      <c r="G38" t="inlineStr">
        <is>
          <t>13.09.2025</t>
        </is>
      </c>
      <c r="H38" t="inlineStr">
        <is>
          <t>ВРД Зелецино - филиал ООО "НВК"</t>
        </is>
      </c>
      <c r="K38" t="inlineStr">
        <is>
          <t>Деповской</t>
        </is>
      </c>
      <c r="L38" t="inlineStr">
        <is>
          <t>13.09.2027</t>
        </is>
      </c>
      <c r="M38" t="inlineStr">
        <is>
          <t>ООО "ТрансАльянс Запад"</t>
        </is>
      </c>
      <c r="N38" t="n">
        <v>160000</v>
      </c>
      <c r="O38" t="n">
        <v>26672</v>
      </c>
      <c r="P38" t="n">
        <v>133328</v>
      </c>
      <c r="Q38" t="inlineStr">
        <is>
          <t>10.11.2030</t>
        </is>
      </c>
      <c r="R38" t="inlineStr">
        <is>
          <t>13.09.2025</t>
        </is>
      </c>
      <c r="S38" s="72" t="inlineStr">
        <is>
          <t> </t>
        </is>
      </c>
      <c r="T38" t="n">
        <v>742426</v>
      </c>
      <c r="U38" t="inlineStr">
        <is>
          <t>0029</t>
        </is>
      </c>
      <c r="V38" t="n">
        <v>2020</v>
      </c>
      <c r="W38" t="n">
        <v>1173</v>
      </c>
      <c r="X38" t="inlineStr">
        <is>
          <t>сен.25</t>
        </is>
      </c>
      <c r="Y38" t="n">
        <v>30</v>
      </c>
      <c r="Z38" t="n">
        <v>30</v>
      </c>
      <c r="AA38" t="n">
        <v>57</v>
      </c>
      <c r="AB38" t="n">
        <v>59</v>
      </c>
      <c r="AC38" s="72" t="inlineStr">
        <is>
          <t> </t>
        </is>
      </c>
      <c r="AD38" t="n">
        <v>751754</v>
      </c>
      <c r="AE38" t="inlineStr">
        <is>
          <t>0029</t>
        </is>
      </c>
      <c r="AF38" t="n">
        <v>2020</v>
      </c>
      <c r="AG38" t="n">
        <v>1173</v>
      </c>
      <c r="AH38" t="inlineStr">
        <is>
          <t>сен.25</t>
        </is>
      </c>
      <c r="AI38" t="n">
        <v>30</v>
      </c>
      <c r="AJ38" t="n">
        <v>30</v>
      </c>
      <c r="AK38" t="n">
        <v>56</v>
      </c>
      <c r="AL38" t="n">
        <v>56</v>
      </c>
      <c r="AM38" s="72" t="inlineStr">
        <is>
          <t> </t>
        </is>
      </c>
      <c r="AN38" t="n">
        <v>744464</v>
      </c>
      <c r="AO38" t="inlineStr">
        <is>
          <t>0029</t>
        </is>
      </c>
      <c r="AP38" t="n">
        <v>2020</v>
      </c>
      <c r="AQ38" t="n">
        <v>1173</v>
      </c>
      <c r="AR38" t="inlineStr">
        <is>
          <t>сен.25</t>
        </is>
      </c>
      <c r="AS38" t="n">
        <v>30</v>
      </c>
      <c r="AT38" t="n">
        <v>30</v>
      </c>
      <c r="AU38" t="n">
        <v>56</v>
      </c>
      <c r="AV38" t="n">
        <v>58</v>
      </c>
      <c r="AW38" s="72" t="inlineStr">
        <is>
          <t> </t>
        </is>
      </c>
      <c r="AX38" t="n">
        <v>744583</v>
      </c>
      <c r="AY38" t="inlineStr">
        <is>
          <t>0029</t>
        </is>
      </c>
      <c r="AZ38" t="n">
        <v>2020</v>
      </c>
      <c r="BA38" t="n">
        <v>1173</v>
      </c>
      <c r="BB38" t="inlineStr">
        <is>
          <t>сен.25</t>
        </is>
      </c>
      <c r="BC38" t="n">
        <v>30</v>
      </c>
      <c r="BD38" t="n">
        <v>30</v>
      </c>
      <c r="BE38" t="n">
        <v>52</v>
      </c>
      <c r="BF38" t="n">
        <v>54</v>
      </c>
      <c r="BG38" s="72" t="inlineStr">
        <is>
          <t> </t>
        </is>
      </c>
      <c r="BH38" t="n">
        <v>26695</v>
      </c>
      <c r="BI38" t="n">
        <v>1275</v>
      </c>
      <c r="BJ38" t="n">
        <v>2020</v>
      </c>
      <c r="BM38" s="72" t="inlineStr">
        <is>
          <t> </t>
        </is>
      </c>
      <c r="BN38" t="n">
        <v>26351</v>
      </c>
      <c r="BO38" t="n">
        <v>1275</v>
      </c>
      <c r="BP38" t="n">
        <v>2020</v>
      </c>
      <c r="BS38" s="72" t="inlineStr">
        <is>
          <t> </t>
        </is>
      </c>
      <c r="BT38" t="n">
        <v>44801</v>
      </c>
      <c r="BU38" t="n">
        <v>1275</v>
      </c>
      <c r="BV38" t="n">
        <v>2020</v>
      </c>
      <c r="BY38" s="72" t="inlineStr">
        <is>
          <t> </t>
        </is>
      </c>
      <c r="BZ38" t="n">
        <v>45001</v>
      </c>
      <c r="CA38" t="n">
        <v>1275</v>
      </c>
      <c r="CB38" t="n">
        <v>2020</v>
      </c>
      <c r="CE38" s="72" t="inlineStr">
        <is>
          <t> </t>
        </is>
      </c>
      <c r="CF38" t="n">
        <v>44499</v>
      </c>
      <c r="CG38" t="n">
        <v>1275</v>
      </c>
      <c r="CH38" t="n">
        <v>2020</v>
      </c>
      <c r="CK38" s="72" t="inlineStr">
        <is>
          <t> </t>
        </is>
      </c>
      <c r="CL38" t="n">
        <v>45014</v>
      </c>
      <c r="CM38" t="n">
        <v>1275</v>
      </c>
      <c r="CN38" t="n">
        <v>2020</v>
      </c>
    </row>
    <row r="39">
      <c r="A39" t="n">
        <v>75182998</v>
      </c>
      <c r="B39" s="3" t="inlineStr">
        <is>
          <t>Цистерна для перевозки продуктов</t>
        </is>
      </c>
      <c r="C39" t="inlineStr">
        <is>
          <t>15-1219-1П</t>
        </is>
      </c>
      <c r="D39" t="inlineStr">
        <is>
          <t>08.10.2020</t>
        </is>
      </c>
      <c r="E39" t="n">
        <v>2020</v>
      </c>
      <c r="F39" t="inlineStr">
        <is>
          <t>08.10.2050</t>
        </is>
      </c>
      <c r="G39" t="inlineStr">
        <is>
          <t>14.10.2025</t>
        </is>
      </c>
      <c r="H39" t="inlineStr">
        <is>
          <t>ВРД Зелецино - филиал ООО "НВК"</t>
        </is>
      </c>
      <c r="K39" t="inlineStr">
        <is>
          <t>Деповской</t>
        </is>
      </c>
      <c r="L39" t="inlineStr">
        <is>
          <t>14.10.2027</t>
        </is>
      </c>
      <c r="M39" t="inlineStr">
        <is>
          <t>ООО "ТрансАльянс Запад"</t>
        </is>
      </c>
      <c r="N39" t="n">
        <v>160000</v>
      </c>
      <c r="O39" t="n">
        <v>25637</v>
      </c>
      <c r="P39" t="n">
        <v>134363</v>
      </c>
      <c r="Q39" t="inlineStr">
        <is>
          <t>15.08.2030</t>
        </is>
      </c>
      <c r="R39" t="inlineStr">
        <is>
          <t>14.10.2025</t>
        </is>
      </c>
      <c r="S39" s="72" t="inlineStr">
        <is>
          <t> </t>
        </is>
      </c>
      <c r="T39" t="n">
        <v>752092</v>
      </c>
      <c r="U39" t="inlineStr">
        <is>
          <t>0029</t>
        </is>
      </c>
      <c r="V39" t="n">
        <v>2020</v>
      </c>
      <c r="W39" t="n">
        <v>1173</v>
      </c>
      <c r="X39" t="inlineStr">
        <is>
          <t>окт.25</t>
        </is>
      </c>
      <c r="Y39" t="n">
        <v>29</v>
      </c>
      <c r="Z39" t="n">
        <v>30</v>
      </c>
      <c r="AA39" t="n">
        <v>60</v>
      </c>
      <c r="AB39" t="n">
        <v>59</v>
      </c>
      <c r="AC39" s="72" t="inlineStr">
        <is>
          <t> </t>
        </is>
      </c>
      <c r="AD39" t="n">
        <v>751519</v>
      </c>
      <c r="AE39" t="inlineStr">
        <is>
          <t>0029</t>
        </is>
      </c>
      <c r="AF39" t="n">
        <v>2020</v>
      </c>
      <c r="AG39" t="n">
        <v>1173</v>
      </c>
      <c r="AH39" t="inlineStr">
        <is>
          <t>окт.25</t>
        </is>
      </c>
      <c r="AI39" t="n">
        <v>30</v>
      </c>
      <c r="AJ39" t="n">
        <v>29</v>
      </c>
      <c r="AK39" t="n">
        <v>61</v>
      </c>
      <c r="AL39" t="n">
        <v>62</v>
      </c>
      <c r="AM39" s="72" t="inlineStr">
        <is>
          <t> </t>
        </is>
      </c>
      <c r="AN39" t="n">
        <v>448311</v>
      </c>
      <c r="AO39" t="inlineStr">
        <is>
          <t>0005</t>
        </is>
      </c>
      <c r="AP39" t="n">
        <v>2020</v>
      </c>
      <c r="AQ39" t="n">
        <v>1173</v>
      </c>
      <c r="AR39" t="inlineStr">
        <is>
          <t>окт.25</t>
        </is>
      </c>
      <c r="AS39" t="n">
        <v>29</v>
      </c>
      <c r="AT39" t="n">
        <v>29</v>
      </c>
      <c r="AU39" t="n">
        <v>53</v>
      </c>
      <c r="AV39" t="n">
        <v>51</v>
      </c>
      <c r="AW39" s="72" t="inlineStr">
        <is>
          <t> </t>
        </is>
      </c>
      <c r="AX39" t="n">
        <v>448225</v>
      </c>
      <c r="AY39" t="inlineStr">
        <is>
          <t>0005</t>
        </is>
      </c>
      <c r="AZ39" t="n">
        <v>2020</v>
      </c>
      <c r="BA39" t="n">
        <v>1173</v>
      </c>
      <c r="BB39" t="inlineStr">
        <is>
          <t>окт.25</t>
        </is>
      </c>
      <c r="BC39" t="n">
        <v>29</v>
      </c>
      <c r="BD39" t="n">
        <v>29</v>
      </c>
      <c r="BE39" t="n">
        <v>58</v>
      </c>
      <c r="BF39" t="n">
        <v>60</v>
      </c>
      <c r="BG39" s="72" t="inlineStr">
        <is>
          <t> </t>
        </is>
      </c>
      <c r="BH39" t="n">
        <v>27322</v>
      </c>
      <c r="BI39" t="n">
        <v>1275</v>
      </c>
      <c r="BJ39" t="n">
        <v>2020</v>
      </c>
      <c r="BM39" s="72" t="inlineStr">
        <is>
          <t> </t>
        </is>
      </c>
      <c r="BN39" t="n">
        <v>27291</v>
      </c>
      <c r="BO39" t="n">
        <v>1275</v>
      </c>
      <c r="BP39" t="n">
        <v>2020</v>
      </c>
      <c r="BS39" s="72" t="inlineStr">
        <is>
          <t> </t>
        </is>
      </c>
      <c r="BT39" t="n">
        <v>45376</v>
      </c>
      <c r="BU39" t="n">
        <v>1275</v>
      </c>
      <c r="BV39" t="n">
        <v>2020</v>
      </c>
      <c r="BY39" s="72" t="inlineStr">
        <is>
          <t> </t>
        </is>
      </c>
      <c r="BZ39" t="n">
        <v>45446</v>
      </c>
      <c r="CA39" t="n">
        <v>1275</v>
      </c>
      <c r="CB39" t="n">
        <v>2020</v>
      </c>
      <c r="CE39" s="72" t="inlineStr">
        <is>
          <t> </t>
        </is>
      </c>
      <c r="CF39" t="n">
        <v>43704</v>
      </c>
      <c r="CG39" t="n">
        <v>1275</v>
      </c>
      <c r="CH39" t="n">
        <v>2020</v>
      </c>
      <c r="CK39" s="72" t="inlineStr">
        <is>
          <t> </t>
        </is>
      </c>
      <c r="CL39" t="n">
        <v>45053</v>
      </c>
      <c r="CM39" t="n">
        <v>1275</v>
      </c>
      <c r="CN39" t="n">
        <v>2020</v>
      </c>
    </row>
    <row r="40">
      <c r="A40" t="n">
        <v>75164996</v>
      </c>
      <c r="B40" s="3" t="inlineStr">
        <is>
          <t>Цистерна для перевозки продуктов</t>
        </is>
      </c>
      <c r="C40" t="inlineStr">
        <is>
          <t>15-1219-1П</t>
        </is>
      </c>
      <c r="D40" t="inlineStr">
        <is>
          <t>29.09.2020</t>
        </is>
      </c>
      <c r="E40" t="n">
        <v>2020</v>
      </c>
      <c r="F40" t="inlineStr">
        <is>
          <t>29.09.2050</t>
        </is>
      </c>
      <c r="G40" t="inlineStr">
        <is>
          <t>21.11.2025</t>
        </is>
      </c>
      <c r="H40" t="inlineStr">
        <is>
          <t>ВРД Зелецино - филиал ООО "НВК"</t>
        </is>
      </c>
      <c r="K40" t="inlineStr">
        <is>
          <t>Деповской</t>
        </is>
      </c>
      <c r="L40" t="inlineStr">
        <is>
          <t>21.11.2027</t>
        </is>
      </c>
      <c r="M40" t="inlineStr">
        <is>
          <t>ООО "ТрансАльянс Запад"</t>
        </is>
      </c>
      <c r="N40" t="n">
        <v>160000</v>
      </c>
      <c r="O40" t="n">
        <v>22050</v>
      </c>
      <c r="P40" t="n">
        <v>137950</v>
      </c>
      <c r="Q40" t="inlineStr">
        <is>
          <t>04.10.2030</t>
        </is>
      </c>
      <c r="R40" t="inlineStr">
        <is>
          <t>21.11.2025</t>
        </is>
      </c>
      <c r="S40" s="72" t="inlineStr">
        <is>
          <t> </t>
        </is>
      </c>
      <c r="T40" t="n">
        <v>747301</v>
      </c>
      <c r="U40" t="inlineStr">
        <is>
          <t>0029</t>
        </is>
      </c>
      <c r="V40" t="n">
        <v>2020</v>
      </c>
      <c r="W40" t="n">
        <v>1173</v>
      </c>
      <c r="X40" t="inlineStr">
        <is>
          <t>ноя.25</t>
        </is>
      </c>
      <c r="Y40" t="n">
        <v>29</v>
      </c>
      <c r="Z40" t="n">
        <v>30</v>
      </c>
      <c r="AA40" t="n">
        <v>60</v>
      </c>
      <c r="AB40" t="n">
        <v>58</v>
      </c>
      <c r="AC40" s="72" t="inlineStr">
        <is>
          <t> </t>
        </is>
      </c>
      <c r="AD40" t="n">
        <v>731174</v>
      </c>
      <c r="AE40" t="inlineStr">
        <is>
          <t>0029</t>
        </is>
      </c>
      <c r="AF40" t="n">
        <v>2020</v>
      </c>
      <c r="AG40" t="n">
        <v>1173</v>
      </c>
      <c r="AH40" t="inlineStr">
        <is>
          <t>ноя.25</t>
        </is>
      </c>
      <c r="AI40" t="n">
        <v>29</v>
      </c>
      <c r="AJ40" t="n">
        <v>30</v>
      </c>
      <c r="AK40" t="n">
        <v>51</v>
      </c>
      <c r="AL40" t="n">
        <v>52</v>
      </c>
      <c r="AM40" s="72" t="inlineStr">
        <is>
          <t> </t>
        </is>
      </c>
      <c r="AN40" t="n">
        <v>731022</v>
      </c>
      <c r="AO40" t="inlineStr">
        <is>
          <t>0029</t>
        </is>
      </c>
      <c r="AP40" t="n">
        <v>2020</v>
      </c>
      <c r="AQ40" t="n">
        <v>1173</v>
      </c>
      <c r="AR40" t="inlineStr">
        <is>
          <t>ноя.25</t>
        </is>
      </c>
      <c r="AS40" t="n">
        <v>30</v>
      </c>
      <c r="AT40" t="n">
        <v>29</v>
      </c>
      <c r="AU40" t="n">
        <v>60</v>
      </c>
      <c r="AV40" t="n">
        <v>61</v>
      </c>
      <c r="AW40" s="72" t="inlineStr">
        <is>
          <t> </t>
        </is>
      </c>
      <c r="AX40" t="n">
        <v>749169</v>
      </c>
      <c r="AY40" t="inlineStr">
        <is>
          <t>0029</t>
        </is>
      </c>
      <c r="AZ40" t="n">
        <v>2020</v>
      </c>
      <c r="BA40" t="n">
        <v>1173</v>
      </c>
      <c r="BB40" t="inlineStr">
        <is>
          <t>ноя.25</t>
        </is>
      </c>
      <c r="BC40" t="n">
        <v>29</v>
      </c>
      <c r="BD40" t="n">
        <v>29</v>
      </c>
      <c r="BE40" t="n">
        <v>60</v>
      </c>
      <c r="BF40" t="n">
        <v>60</v>
      </c>
      <c r="BG40" s="72" t="inlineStr">
        <is>
          <t> </t>
        </is>
      </c>
      <c r="BH40" t="n">
        <v>26103</v>
      </c>
      <c r="BI40" t="n">
        <v>1275</v>
      </c>
      <c r="BJ40" t="n">
        <v>2020</v>
      </c>
      <c r="BM40" s="72" t="inlineStr">
        <is>
          <t> </t>
        </is>
      </c>
      <c r="BN40" t="n">
        <v>26176</v>
      </c>
      <c r="BO40" t="n">
        <v>1275</v>
      </c>
      <c r="BP40" t="n">
        <v>2020</v>
      </c>
      <c r="BS40" s="72" t="inlineStr">
        <is>
          <t> </t>
        </is>
      </c>
      <c r="BT40" t="n">
        <v>43735</v>
      </c>
      <c r="BU40" t="n">
        <v>1275</v>
      </c>
      <c r="BV40" t="n">
        <v>2020</v>
      </c>
      <c r="BY40" s="72" t="inlineStr">
        <is>
          <t> </t>
        </is>
      </c>
      <c r="BZ40" t="n">
        <v>43314</v>
      </c>
      <c r="CA40" t="n">
        <v>1275</v>
      </c>
      <c r="CB40" t="n">
        <v>2020</v>
      </c>
      <c r="CE40" s="72" t="inlineStr">
        <is>
          <t> </t>
        </is>
      </c>
      <c r="CF40" t="n">
        <v>43752</v>
      </c>
      <c r="CG40" t="n">
        <v>1275</v>
      </c>
      <c r="CH40" t="n">
        <v>2020</v>
      </c>
      <c r="CK40" s="72" t="inlineStr">
        <is>
          <t> </t>
        </is>
      </c>
      <c r="CL40" t="n">
        <v>43860</v>
      </c>
      <c r="CM40" t="n">
        <v>1275</v>
      </c>
      <c r="CN40" t="n">
        <v>2020</v>
      </c>
    </row>
    <row r="41">
      <c r="A41" t="n">
        <v>75165399</v>
      </c>
      <c r="B41" s="3" t="inlineStr">
        <is>
          <t>Цистерна для перевозки продуктов</t>
        </is>
      </c>
      <c r="C41" t="inlineStr">
        <is>
          <t>15-1219-1П</t>
        </is>
      </c>
      <c r="D41" t="inlineStr">
        <is>
          <t>29.09.2020</t>
        </is>
      </c>
      <c r="E41" t="n">
        <v>2020</v>
      </c>
      <c r="F41" t="inlineStr">
        <is>
          <t>29.09.2050</t>
        </is>
      </c>
      <c r="G41" t="inlineStr">
        <is>
          <t>07.11.2025</t>
        </is>
      </c>
      <c r="H41" t="inlineStr">
        <is>
          <t>ВРД Зелецино - филиал ООО "НВК"</t>
        </is>
      </c>
      <c r="K41" t="inlineStr">
        <is>
          <t>Деповской</t>
        </is>
      </c>
      <c r="L41" t="inlineStr">
        <is>
          <t>07.11.2027</t>
        </is>
      </c>
      <c r="M41" t="inlineStr">
        <is>
          <t>ООО "ТрансАльянс Запад"</t>
        </is>
      </c>
      <c r="N41" t="n">
        <v>160000</v>
      </c>
      <c r="O41" t="n">
        <v>25042</v>
      </c>
      <c r="P41" t="n">
        <v>134958</v>
      </c>
      <c r="Q41" t="inlineStr">
        <is>
          <t>20.05.2030</t>
        </is>
      </c>
      <c r="R41" t="inlineStr">
        <is>
          <t>07.11.2025</t>
        </is>
      </c>
      <c r="S41" s="72" t="inlineStr">
        <is>
          <t> </t>
        </is>
      </c>
      <c r="T41" t="n">
        <v>729623</v>
      </c>
      <c r="U41" t="inlineStr">
        <is>
          <t>0029</t>
        </is>
      </c>
      <c r="V41" t="n">
        <v>2020</v>
      </c>
      <c r="W41" t="n">
        <v>1173</v>
      </c>
      <c r="X41" t="inlineStr">
        <is>
          <t>ноя.25</t>
        </is>
      </c>
      <c r="Y41" t="n">
        <v>30</v>
      </c>
      <c r="Z41" t="n">
        <v>29</v>
      </c>
      <c r="AA41" t="n">
        <v>55</v>
      </c>
      <c r="AB41" t="n">
        <v>54</v>
      </c>
      <c r="AC41" s="72" t="inlineStr">
        <is>
          <t> </t>
        </is>
      </c>
      <c r="AD41" t="n">
        <v>445845</v>
      </c>
      <c r="AE41" t="inlineStr">
        <is>
          <t>0005</t>
        </is>
      </c>
      <c r="AF41" t="n">
        <v>2020</v>
      </c>
      <c r="AG41" t="n">
        <v>1173</v>
      </c>
      <c r="AH41" t="inlineStr">
        <is>
          <t>ноя.25</t>
        </is>
      </c>
      <c r="AI41" t="n">
        <v>30</v>
      </c>
      <c r="AJ41" t="n">
        <v>29</v>
      </c>
      <c r="AK41" t="n">
        <v>55</v>
      </c>
      <c r="AL41" t="n">
        <v>55</v>
      </c>
      <c r="AM41" s="72" t="inlineStr">
        <is>
          <t> </t>
        </is>
      </c>
      <c r="AN41" t="n">
        <v>446150</v>
      </c>
      <c r="AO41" t="inlineStr">
        <is>
          <t>0005</t>
        </is>
      </c>
      <c r="AP41" t="n">
        <v>2020</v>
      </c>
      <c r="AQ41" t="n">
        <v>1173</v>
      </c>
      <c r="AR41" t="inlineStr">
        <is>
          <t>ноя.25</t>
        </is>
      </c>
      <c r="AS41" t="n">
        <v>31</v>
      </c>
      <c r="AT41" t="n">
        <v>31</v>
      </c>
      <c r="AU41" t="n">
        <v>60</v>
      </c>
      <c r="AV41" t="n">
        <v>61</v>
      </c>
      <c r="AW41" s="72" t="inlineStr">
        <is>
          <t> </t>
        </is>
      </c>
      <c r="AX41" t="n">
        <v>729627</v>
      </c>
      <c r="AY41" t="inlineStr">
        <is>
          <t>0029</t>
        </is>
      </c>
      <c r="AZ41" t="n">
        <v>2020</v>
      </c>
      <c r="BA41" t="n">
        <v>1173</v>
      </c>
      <c r="BB41" t="inlineStr">
        <is>
          <t>ноя.25</t>
        </is>
      </c>
      <c r="BC41" t="n">
        <v>31</v>
      </c>
      <c r="BD41" t="n">
        <v>31</v>
      </c>
      <c r="BE41" t="n">
        <v>64</v>
      </c>
      <c r="BF41" t="n">
        <v>62</v>
      </c>
      <c r="BG41" s="72" t="inlineStr">
        <is>
          <t> </t>
        </is>
      </c>
      <c r="BH41" t="n">
        <v>26778</v>
      </c>
      <c r="BI41" t="n">
        <v>1275</v>
      </c>
      <c r="BJ41" t="n">
        <v>2020</v>
      </c>
      <c r="BM41" s="72" t="inlineStr">
        <is>
          <t> </t>
        </is>
      </c>
      <c r="BN41" t="n">
        <v>26782</v>
      </c>
      <c r="BO41" t="n">
        <v>1275</v>
      </c>
      <c r="BP41" t="n">
        <v>2020</v>
      </c>
      <c r="BS41" s="72" t="inlineStr">
        <is>
          <t> </t>
        </is>
      </c>
      <c r="BT41" t="n">
        <v>43830</v>
      </c>
      <c r="BU41" t="n">
        <v>1275</v>
      </c>
      <c r="BV41" t="n">
        <v>2020</v>
      </c>
      <c r="BY41" s="72" t="inlineStr">
        <is>
          <t> </t>
        </is>
      </c>
      <c r="BZ41" t="n">
        <v>44399</v>
      </c>
      <c r="CA41" t="n">
        <v>1275</v>
      </c>
      <c r="CB41" t="n">
        <v>2020</v>
      </c>
      <c r="CE41" s="72" t="inlineStr">
        <is>
          <t> </t>
        </is>
      </c>
      <c r="CF41" t="n">
        <v>44265</v>
      </c>
      <c r="CG41" t="n">
        <v>1275</v>
      </c>
      <c r="CH41" t="n">
        <v>2020</v>
      </c>
      <c r="CK41" s="72" t="inlineStr">
        <is>
          <t> </t>
        </is>
      </c>
      <c r="CL41" t="n">
        <v>44424</v>
      </c>
      <c r="CM41" t="n">
        <v>1275</v>
      </c>
      <c r="CN41" t="n">
        <v>2020</v>
      </c>
    </row>
    <row r="42">
      <c r="A42" t="n">
        <v>75165498</v>
      </c>
      <c r="B42" s="3" t="inlineStr">
        <is>
          <t>Цистерна для перевозки продуктов</t>
        </is>
      </c>
      <c r="C42" t="inlineStr">
        <is>
          <t>15-1219-1П</t>
        </is>
      </c>
      <c r="D42" t="inlineStr">
        <is>
          <t>29.09.2020</t>
        </is>
      </c>
      <c r="E42" t="n">
        <v>2020</v>
      </c>
      <c r="F42" t="inlineStr">
        <is>
          <t>29.09.2050</t>
        </is>
      </c>
      <c r="G42" t="inlineStr">
        <is>
          <t>05.11.2025</t>
        </is>
      </c>
      <c r="H42" t="inlineStr">
        <is>
          <t>ВРД Зелецино - филиал ООО "НВК"</t>
        </is>
      </c>
      <c r="K42" t="inlineStr">
        <is>
          <t>Деповской</t>
        </is>
      </c>
      <c r="L42" t="inlineStr">
        <is>
          <t>05.11.2027</t>
        </is>
      </c>
      <c r="M42" t="inlineStr">
        <is>
          <t>ООО "ТрансАльянс Запад"</t>
        </is>
      </c>
      <c r="N42" t="n">
        <v>160000</v>
      </c>
      <c r="O42" t="n">
        <v>22600</v>
      </c>
      <c r="P42" t="n">
        <v>137400</v>
      </c>
      <c r="Q42" t="inlineStr">
        <is>
          <t>27.11.2030</t>
        </is>
      </c>
      <c r="R42" t="inlineStr">
        <is>
          <t>05.11.2025</t>
        </is>
      </c>
      <c r="S42" s="72" t="inlineStr">
        <is>
          <t> </t>
        </is>
      </c>
      <c r="T42" t="n">
        <v>417555</v>
      </c>
      <c r="U42" t="inlineStr">
        <is>
          <t>0005</t>
        </is>
      </c>
      <c r="V42" t="n">
        <v>2020</v>
      </c>
      <c r="W42" t="n">
        <v>1173</v>
      </c>
      <c r="X42" t="inlineStr">
        <is>
          <t>ноя.25</t>
        </is>
      </c>
      <c r="Y42" t="n">
        <v>30</v>
      </c>
      <c r="Z42" t="n">
        <v>32</v>
      </c>
      <c r="AA42" t="n">
        <v>56</v>
      </c>
      <c r="AB42" t="n">
        <v>58</v>
      </c>
      <c r="AC42" s="72" t="inlineStr">
        <is>
          <t> </t>
        </is>
      </c>
      <c r="AD42" t="n">
        <v>419327</v>
      </c>
      <c r="AE42" t="inlineStr">
        <is>
          <t>0005</t>
        </is>
      </c>
      <c r="AF42" t="n">
        <v>2020</v>
      </c>
      <c r="AG42" t="n">
        <v>1173</v>
      </c>
      <c r="AH42" t="inlineStr">
        <is>
          <t>ноя.25</t>
        </is>
      </c>
      <c r="AI42" t="n">
        <v>31</v>
      </c>
      <c r="AJ42" t="n">
        <v>30</v>
      </c>
      <c r="AK42" t="n">
        <v>60</v>
      </c>
      <c r="AL42" t="n">
        <v>60</v>
      </c>
      <c r="AM42" s="72" t="inlineStr">
        <is>
          <t> </t>
        </is>
      </c>
      <c r="AN42" t="n">
        <v>419386</v>
      </c>
      <c r="AO42" t="inlineStr">
        <is>
          <t>0005</t>
        </is>
      </c>
      <c r="AP42" t="n">
        <v>2020</v>
      </c>
      <c r="AQ42" t="n">
        <v>1173</v>
      </c>
      <c r="AR42" t="inlineStr">
        <is>
          <t>ноя.25</t>
        </is>
      </c>
      <c r="AS42" t="n">
        <v>30</v>
      </c>
      <c r="AT42" t="n">
        <v>30</v>
      </c>
      <c r="AU42" t="n">
        <v>61</v>
      </c>
      <c r="AV42" t="n">
        <v>61</v>
      </c>
      <c r="AW42" s="72" t="inlineStr">
        <is>
          <t> </t>
        </is>
      </c>
      <c r="AX42" t="n">
        <v>419297</v>
      </c>
      <c r="AY42" t="inlineStr">
        <is>
          <t>0005</t>
        </is>
      </c>
      <c r="AZ42" t="n">
        <v>2020</v>
      </c>
      <c r="BA42" t="n">
        <v>1173</v>
      </c>
      <c r="BB42" t="inlineStr">
        <is>
          <t>ноя.25</t>
        </is>
      </c>
      <c r="BC42" t="n">
        <v>30</v>
      </c>
      <c r="BD42" t="n">
        <v>31</v>
      </c>
      <c r="BE42" t="n">
        <v>61</v>
      </c>
      <c r="BF42" t="n">
        <v>62</v>
      </c>
      <c r="BG42" s="72" t="inlineStr">
        <is>
          <t> </t>
        </is>
      </c>
      <c r="BH42" t="n">
        <v>26569</v>
      </c>
      <c r="BI42" t="n">
        <v>1275</v>
      </c>
      <c r="BJ42" t="n">
        <v>2020</v>
      </c>
      <c r="BM42" s="72" t="inlineStr">
        <is>
          <t> </t>
        </is>
      </c>
      <c r="BN42" t="n">
        <v>25713</v>
      </c>
      <c r="BO42" t="n">
        <v>1275</v>
      </c>
      <c r="BP42" t="n">
        <v>2020</v>
      </c>
      <c r="BS42" s="72" t="inlineStr">
        <is>
          <t> </t>
        </is>
      </c>
      <c r="BT42" t="n">
        <v>43821</v>
      </c>
      <c r="BU42" t="n">
        <v>1275</v>
      </c>
      <c r="BV42" t="n">
        <v>2020</v>
      </c>
      <c r="BY42" s="72" t="inlineStr">
        <is>
          <t> </t>
        </is>
      </c>
      <c r="BZ42" t="n">
        <v>43795</v>
      </c>
      <c r="CA42" t="n">
        <v>1275</v>
      </c>
      <c r="CB42" t="n">
        <v>2020</v>
      </c>
      <c r="CE42" s="72" t="inlineStr">
        <is>
          <t> </t>
        </is>
      </c>
      <c r="CF42" t="n">
        <v>43834</v>
      </c>
      <c r="CG42" t="n">
        <v>1275</v>
      </c>
      <c r="CH42" t="n">
        <v>2020</v>
      </c>
      <c r="CK42" s="72" t="inlineStr">
        <is>
          <t> </t>
        </is>
      </c>
      <c r="CL42" t="n">
        <v>43861</v>
      </c>
      <c r="CM42" t="n">
        <v>1275</v>
      </c>
      <c r="CN42" t="n">
        <v>2020</v>
      </c>
    </row>
    <row r="43">
      <c r="A43" t="n">
        <v>75175091</v>
      </c>
      <c r="B43" s="3" t="inlineStr">
        <is>
          <t>Цистерна для перевозки продуктов</t>
        </is>
      </c>
      <c r="C43" t="inlineStr">
        <is>
          <t>15-1219-1П</t>
        </is>
      </c>
      <c r="D43" t="inlineStr">
        <is>
          <t>05.10.2020</t>
        </is>
      </c>
      <c r="E43" t="n">
        <v>2020</v>
      </c>
      <c r="F43" t="inlineStr">
        <is>
          <t>05.10.2050</t>
        </is>
      </c>
      <c r="G43" t="inlineStr">
        <is>
          <t>17.11.2025</t>
        </is>
      </c>
      <c r="H43" t="inlineStr">
        <is>
          <t>ВРД Зелецино - филиал ООО "НВК"</t>
        </is>
      </c>
      <c r="K43" t="inlineStr">
        <is>
          <t>Деповской</t>
        </is>
      </c>
      <c r="L43" t="inlineStr">
        <is>
          <t>17.11.2027</t>
        </is>
      </c>
      <c r="M43" t="inlineStr">
        <is>
          <t>ООО "ТрансАльянс Запад"</t>
        </is>
      </c>
      <c r="N43" t="n">
        <v>160000</v>
      </c>
      <c r="O43" t="n">
        <v>28125</v>
      </c>
      <c r="P43" t="n">
        <v>131875</v>
      </c>
      <c r="Q43" t="inlineStr">
        <is>
          <t>04.10.2029</t>
        </is>
      </c>
      <c r="R43" t="inlineStr">
        <is>
          <t>17.11.2025</t>
        </is>
      </c>
      <c r="S43" s="72" t="inlineStr">
        <is>
          <t> </t>
        </is>
      </c>
      <c r="T43" t="n">
        <v>751152</v>
      </c>
      <c r="U43" t="inlineStr">
        <is>
          <t>0029</t>
        </is>
      </c>
      <c r="V43" t="n">
        <v>2020</v>
      </c>
      <c r="W43" t="n">
        <v>1173</v>
      </c>
      <c r="X43" t="inlineStr">
        <is>
          <t>ноя.25</t>
        </is>
      </c>
      <c r="Y43" t="n">
        <v>29</v>
      </c>
      <c r="Z43" t="n">
        <v>29</v>
      </c>
      <c r="AA43" t="n">
        <v>62</v>
      </c>
      <c r="AB43" t="n">
        <v>63</v>
      </c>
      <c r="AC43" s="72" t="inlineStr">
        <is>
          <t> </t>
        </is>
      </c>
      <c r="AD43" t="n">
        <v>749473</v>
      </c>
      <c r="AE43" t="inlineStr">
        <is>
          <t>0029</t>
        </is>
      </c>
      <c r="AF43" t="n">
        <v>2020</v>
      </c>
      <c r="AG43" t="n">
        <v>1173</v>
      </c>
      <c r="AH43" t="inlineStr">
        <is>
          <t>ноя.25</t>
        </is>
      </c>
      <c r="AI43" t="n">
        <v>29</v>
      </c>
      <c r="AJ43" t="n">
        <v>29</v>
      </c>
      <c r="AK43" t="n">
        <v>60</v>
      </c>
      <c r="AL43" t="n">
        <v>60</v>
      </c>
      <c r="AM43" s="72" t="inlineStr">
        <is>
          <t> </t>
        </is>
      </c>
      <c r="AN43" t="n">
        <v>751300</v>
      </c>
      <c r="AO43" t="inlineStr">
        <is>
          <t>0029</t>
        </is>
      </c>
      <c r="AP43" t="n">
        <v>2020</v>
      </c>
      <c r="AQ43" t="n">
        <v>1173</v>
      </c>
      <c r="AR43" t="inlineStr">
        <is>
          <t>ноя.25</t>
        </is>
      </c>
      <c r="AS43" t="n">
        <v>29</v>
      </c>
      <c r="AT43" t="n">
        <v>29</v>
      </c>
      <c r="AU43" t="n">
        <v>62</v>
      </c>
      <c r="AV43" t="n">
        <v>61</v>
      </c>
      <c r="AW43" s="72" t="inlineStr">
        <is>
          <t> </t>
        </is>
      </c>
      <c r="AX43" t="n">
        <v>445763</v>
      </c>
      <c r="AY43" t="inlineStr">
        <is>
          <t>0005</t>
        </is>
      </c>
      <c r="AZ43" t="n">
        <v>2020</v>
      </c>
      <c r="BA43" t="n">
        <v>1173</v>
      </c>
      <c r="BB43" t="inlineStr">
        <is>
          <t>ноя.25</t>
        </is>
      </c>
      <c r="BC43" t="n">
        <v>31</v>
      </c>
      <c r="BD43" t="n">
        <v>30</v>
      </c>
      <c r="BE43" t="n">
        <v>57</v>
      </c>
      <c r="BF43" t="n">
        <v>56</v>
      </c>
      <c r="BG43" s="72" t="inlineStr">
        <is>
          <t> </t>
        </is>
      </c>
      <c r="BH43" t="n">
        <v>26644</v>
      </c>
      <c r="BI43" t="n">
        <v>1275</v>
      </c>
      <c r="BJ43" t="n">
        <v>2020</v>
      </c>
      <c r="BM43" s="72" t="inlineStr">
        <is>
          <t> </t>
        </is>
      </c>
      <c r="BN43" t="n">
        <v>26423</v>
      </c>
      <c r="BO43" t="n">
        <v>1275</v>
      </c>
      <c r="BP43" t="n">
        <v>2020</v>
      </c>
      <c r="BS43" s="72" t="inlineStr">
        <is>
          <t> </t>
        </is>
      </c>
      <c r="BT43" t="n">
        <v>42771</v>
      </c>
      <c r="BU43" t="n">
        <v>1275</v>
      </c>
      <c r="BV43" t="n">
        <v>2020</v>
      </c>
      <c r="BY43" s="72" t="inlineStr">
        <is>
          <t> </t>
        </is>
      </c>
      <c r="BZ43" t="n">
        <v>44277</v>
      </c>
      <c r="CA43" t="n">
        <v>1275</v>
      </c>
      <c r="CB43" t="n">
        <v>2020</v>
      </c>
      <c r="CE43" s="72" t="inlineStr">
        <is>
          <t> </t>
        </is>
      </c>
      <c r="CF43" t="n">
        <v>40855</v>
      </c>
      <c r="CG43" t="n">
        <v>1275</v>
      </c>
      <c r="CH43" t="n">
        <v>2020</v>
      </c>
      <c r="CK43" s="72" t="inlineStr">
        <is>
          <t> </t>
        </is>
      </c>
      <c r="CL43" t="n">
        <v>43683</v>
      </c>
      <c r="CM43" t="n">
        <v>1275</v>
      </c>
      <c r="CN43" t="n">
        <v>2020</v>
      </c>
    </row>
    <row r="44">
      <c r="A44" t="n">
        <v>75175497</v>
      </c>
      <c r="B44" s="3" t="inlineStr">
        <is>
          <t>Цистерна для перевозки продуктов</t>
        </is>
      </c>
      <c r="C44" t="inlineStr">
        <is>
          <t>15-1219-1П</t>
        </is>
      </c>
      <c r="D44" t="inlineStr">
        <is>
          <t>05.10.2020</t>
        </is>
      </c>
      <c r="E44" t="n">
        <v>2020</v>
      </c>
      <c r="F44" t="inlineStr">
        <is>
          <t>05.10.2050</t>
        </is>
      </c>
      <c r="G44" t="inlineStr">
        <is>
          <t>16.09.2025</t>
        </is>
      </c>
      <c r="H44" t="inlineStr">
        <is>
          <t>ВРД Зелецино - филиал ООО "НВК"</t>
        </is>
      </c>
      <c r="K44" t="inlineStr">
        <is>
          <t>Деповской</t>
        </is>
      </c>
      <c r="L44" t="inlineStr">
        <is>
          <t>16.09.2027</t>
        </is>
      </c>
      <c r="M44" t="inlineStr">
        <is>
          <t>ООО "ТрансАльянс Запад"</t>
        </is>
      </c>
      <c r="N44" t="n">
        <v>160000</v>
      </c>
      <c r="O44" t="n">
        <v>24795</v>
      </c>
      <c r="P44" t="n">
        <v>135205</v>
      </c>
      <c r="Q44" t="inlineStr">
        <is>
          <t>16.03.2031</t>
        </is>
      </c>
      <c r="R44" t="inlineStr">
        <is>
          <t>16.09.2025</t>
        </is>
      </c>
      <c r="S44" s="72" t="inlineStr">
        <is>
          <t> </t>
        </is>
      </c>
      <c r="T44" t="n">
        <v>446050</v>
      </c>
      <c r="U44" t="inlineStr">
        <is>
          <t>0005</t>
        </is>
      </c>
      <c r="V44" t="n">
        <v>2020</v>
      </c>
      <c r="W44" t="n">
        <v>1173</v>
      </c>
      <c r="X44" t="inlineStr">
        <is>
          <t>сен.25</t>
        </is>
      </c>
      <c r="Y44" t="n">
        <v>30</v>
      </c>
      <c r="Z44" t="n">
        <v>30</v>
      </c>
      <c r="AA44" t="n">
        <v>62</v>
      </c>
      <c r="AB44" t="n">
        <v>63</v>
      </c>
      <c r="AC44" s="72" t="inlineStr">
        <is>
          <t> </t>
        </is>
      </c>
      <c r="AD44" t="n">
        <v>749521</v>
      </c>
      <c r="AE44" t="inlineStr">
        <is>
          <t>0029</t>
        </is>
      </c>
      <c r="AF44" t="n">
        <v>2020</v>
      </c>
      <c r="AG44" t="n">
        <v>1173</v>
      </c>
      <c r="AH44" t="inlineStr">
        <is>
          <t>сен.25</t>
        </is>
      </c>
      <c r="AI44" t="n">
        <v>30</v>
      </c>
      <c r="AJ44" t="n">
        <v>30</v>
      </c>
      <c r="AK44" t="n">
        <v>63</v>
      </c>
      <c r="AL44" t="n">
        <v>63</v>
      </c>
      <c r="AM44" s="72" t="inlineStr">
        <is>
          <t> </t>
        </is>
      </c>
      <c r="AN44" t="n">
        <v>446689</v>
      </c>
      <c r="AO44" t="inlineStr">
        <is>
          <t>0005</t>
        </is>
      </c>
      <c r="AP44" t="n">
        <v>2020</v>
      </c>
      <c r="AQ44" t="n">
        <v>1173</v>
      </c>
      <c r="AR44" t="inlineStr">
        <is>
          <t>сен.25</t>
        </is>
      </c>
      <c r="AS44" t="n">
        <v>30</v>
      </c>
      <c r="AT44" t="n">
        <v>30</v>
      </c>
      <c r="AU44" t="n">
        <v>50</v>
      </c>
      <c r="AV44" t="n">
        <v>49</v>
      </c>
      <c r="AW44" s="72" t="inlineStr">
        <is>
          <t> </t>
        </is>
      </c>
      <c r="AX44" t="n">
        <v>749562</v>
      </c>
      <c r="AY44" t="inlineStr">
        <is>
          <t>0029</t>
        </is>
      </c>
      <c r="AZ44" t="n">
        <v>2020</v>
      </c>
      <c r="BA44" t="n">
        <v>1173</v>
      </c>
      <c r="BB44" t="inlineStr">
        <is>
          <t>сен.25</t>
        </is>
      </c>
      <c r="BC44" t="n">
        <v>30</v>
      </c>
      <c r="BD44" t="n">
        <v>30</v>
      </c>
      <c r="BE44" t="n">
        <v>56</v>
      </c>
      <c r="BF44" t="n">
        <v>57</v>
      </c>
      <c r="BG44" s="72" t="inlineStr">
        <is>
          <t> </t>
        </is>
      </c>
      <c r="BH44" t="n">
        <v>26789</v>
      </c>
      <c r="BI44" t="n">
        <v>1275</v>
      </c>
      <c r="BJ44" t="n">
        <v>2020</v>
      </c>
      <c r="BM44" s="72" t="inlineStr">
        <is>
          <t> </t>
        </is>
      </c>
      <c r="BN44" t="n">
        <v>26860</v>
      </c>
      <c r="BO44" t="n">
        <v>1275</v>
      </c>
      <c r="BP44" t="n">
        <v>2020</v>
      </c>
      <c r="BS44" s="72" t="inlineStr">
        <is>
          <t> </t>
        </is>
      </c>
      <c r="BT44" t="n">
        <v>44431</v>
      </c>
      <c r="BU44" t="n">
        <v>1275</v>
      </c>
      <c r="BV44" t="n">
        <v>2020</v>
      </c>
      <c r="BY44" s="72" t="inlineStr">
        <is>
          <t> </t>
        </is>
      </c>
      <c r="BZ44" t="n">
        <v>44477</v>
      </c>
      <c r="CA44" t="n">
        <v>1275</v>
      </c>
      <c r="CB44" t="n">
        <v>2020</v>
      </c>
      <c r="CE44" s="72" t="inlineStr">
        <is>
          <t> </t>
        </is>
      </c>
      <c r="CF44" t="n">
        <v>37781</v>
      </c>
      <c r="CG44" t="n">
        <v>1275</v>
      </c>
      <c r="CH44" t="n">
        <v>2020</v>
      </c>
      <c r="CK44" s="72" t="inlineStr">
        <is>
          <t> </t>
        </is>
      </c>
      <c r="CL44" t="n">
        <v>37564</v>
      </c>
      <c r="CM44" t="n">
        <v>1275</v>
      </c>
      <c r="CN44" t="n">
        <v>2020</v>
      </c>
    </row>
    <row r="45">
      <c r="A45" t="n">
        <v>75176297</v>
      </c>
      <c r="B45" s="3" t="inlineStr">
        <is>
          <t>Цистерна для перевозки продуктов</t>
        </is>
      </c>
      <c r="C45" t="inlineStr">
        <is>
          <t>15-1219-1П</t>
        </is>
      </c>
      <c r="D45" t="inlineStr">
        <is>
          <t>05.10.2020</t>
        </is>
      </c>
      <c r="E45" t="n">
        <v>2020</v>
      </c>
      <c r="F45" t="inlineStr">
        <is>
          <t>05.10.2050</t>
        </is>
      </c>
      <c r="G45" t="inlineStr">
        <is>
          <t>08.12.2025</t>
        </is>
      </c>
      <c r="H45" t="inlineStr">
        <is>
          <t>ВРД Зелецино - филиал ООО "НВК"</t>
        </is>
      </c>
      <c r="K45" t="inlineStr">
        <is>
          <t>Деповской</t>
        </is>
      </c>
      <c r="L45" t="inlineStr">
        <is>
          <t>08.12.2027</t>
        </is>
      </c>
      <c r="M45" t="inlineStr">
        <is>
          <t>ООО "ТрансАльянс Запад"</t>
        </is>
      </c>
      <c r="N45" t="n">
        <v>160000</v>
      </c>
      <c r="O45" t="n">
        <v>27046</v>
      </c>
      <c r="P45" t="n">
        <v>132954</v>
      </c>
      <c r="Q45" t="inlineStr">
        <is>
          <t>18.08.2029</t>
        </is>
      </c>
      <c r="R45" t="inlineStr">
        <is>
          <t>08.12.2025</t>
        </is>
      </c>
      <c r="S45" s="72" t="inlineStr">
        <is>
          <t> </t>
        </is>
      </c>
      <c r="T45" t="n">
        <v>749398</v>
      </c>
      <c r="U45" t="inlineStr">
        <is>
          <t>0029</t>
        </is>
      </c>
      <c r="V45" t="n">
        <v>2020</v>
      </c>
      <c r="W45" t="n">
        <v>1173</v>
      </c>
      <c r="X45" t="inlineStr">
        <is>
          <t>дек.25</t>
        </is>
      </c>
      <c r="Y45" t="n">
        <v>33</v>
      </c>
      <c r="Z45" t="n">
        <v>33</v>
      </c>
      <c r="AA45" t="n">
        <v>59</v>
      </c>
      <c r="AB45" t="n">
        <v>60</v>
      </c>
      <c r="AC45" s="72" t="inlineStr">
        <is>
          <t> </t>
        </is>
      </c>
      <c r="AD45" t="n">
        <v>742789</v>
      </c>
      <c r="AE45" t="inlineStr">
        <is>
          <t>0029</t>
        </is>
      </c>
      <c r="AF45" t="n">
        <v>2020</v>
      </c>
      <c r="AG45" t="n">
        <v>1173</v>
      </c>
      <c r="AH45" t="inlineStr">
        <is>
          <t>дек.25</t>
        </is>
      </c>
      <c r="AI45" t="n">
        <v>30</v>
      </c>
      <c r="AJ45" t="n">
        <v>30</v>
      </c>
      <c r="AK45" t="n">
        <v>62</v>
      </c>
      <c r="AL45" t="n">
        <v>61</v>
      </c>
      <c r="AM45" s="72" t="inlineStr">
        <is>
          <t> </t>
        </is>
      </c>
      <c r="AN45" t="n">
        <v>751490</v>
      </c>
      <c r="AO45" t="inlineStr">
        <is>
          <t>0029</t>
        </is>
      </c>
      <c r="AP45" t="n">
        <v>2020</v>
      </c>
      <c r="AQ45" t="n">
        <v>1173</v>
      </c>
      <c r="AR45" t="inlineStr">
        <is>
          <t>дек.25</t>
        </is>
      </c>
      <c r="AS45" t="n">
        <v>30</v>
      </c>
      <c r="AT45" t="n">
        <v>30</v>
      </c>
      <c r="AU45" t="n">
        <v>54</v>
      </c>
      <c r="AV45" t="n">
        <v>55</v>
      </c>
      <c r="AW45" s="72" t="inlineStr">
        <is>
          <t> </t>
        </is>
      </c>
      <c r="AX45" t="n">
        <v>741994</v>
      </c>
      <c r="AY45" t="inlineStr">
        <is>
          <t>0029</t>
        </is>
      </c>
      <c r="AZ45" t="n">
        <v>2020</v>
      </c>
      <c r="BA45" t="n">
        <v>1173</v>
      </c>
      <c r="BB45" t="inlineStr">
        <is>
          <t>дек.25</t>
        </is>
      </c>
      <c r="BC45" t="n">
        <v>30</v>
      </c>
      <c r="BD45" t="n">
        <v>30</v>
      </c>
      <c r="BE45" t="n">
        <v>60</v>
      </c>
      <c r="BF45" t="n">
        <v>60</v>
      </c>
      <c r="BG45" s="72" t="inlineStr">
        <is>
          <t> </t>
        </is>
      </c>
      <c r="BH45" t="n">
        <v>26904</v>
      </c>
      <c r="BI45" t="n">
        <v>1275</v>
      </c>
      <c r="BJ45" t="n">
        <v>2020</v>
      </c>
      <c r="BM45" s="72" t="inlineStr">
        <is>
          <t> </t>
        </is>
      </c>
      <c r="BN45" t="n">
        <v>27057</v>
      </c>
      <c r="BO45" t="n">
        <v>1275</v>
      </c>
      <c r="BP45" t="n">
        <v>2020</v>
      </c>
      <c r="BS45" s="72" t="inlineStr">
        <is>
          <t> </t>
        </is>
      </c>
      <c r="BT45" t="n">
        <v>44440</v>
      </c>
      <c r="BU45" t="n">
        <v>1275</v>
      </c>
      <c r="BV45" t="n">
        <v>2020</v>
      </c>
      <c r="BY45" s="72" t="inlineStr">
        <is>
          <t> </t>
        </is>
      </c>
      <c r="BZ45" t="n">
        <v>44735</v>
      </c>
      <c r="CA45" t="n">
        <v>1275</v>
      </c>
      <c r="CB45" t="n">
        <v>2020</v>
      </c>
      <c r="CE45" s="72" t="inlineStr">
        <is>
          <t> </t>
        </is>
      </c>
      <c r="CF45" t="n">
        <v>45061</v>
      </c>
      <c r="CG45" t="n">
        <v>1275</v>
      </c>
      <c r="CH45" t="n">
        <v>2020</v>
      </c>
      <c r="CK45" s="72" t="inlineStr">
        <is>
          <t> </t>
        </is>
      </c>
      <c r="CL45" t="n">
        <v>45043</v>
      </c>
      <c r="CM45" t="n">
        <v>1275</v>
      </c>
      <c r="CN45" t="n">
        <v>2020</v>
      </c>
    </row>
    <row r="46">
      <c r="A46" t="n">
        <v>75176396</v>
      </c>
      <c r="B46" s="3" t="inlineStr">
        <is>
          <t>Цистерна для перевозки продуктов</t>
        </is>
      </c>
      <c r="C46" t="inlineStr">
        <is>
          <t>15-1219-1П</t>
        </is>
      </c>
      <c r="D46" t="inlineStr">
        <is>
          <t>05.10.2020</t>
        </is>
      </c>
      <c r="E46" t="n">
        <v>2020</v>
      </c>
      <c r="F46" t="inlineStr">
        <is>
          <t>05.10.2050</t>
        </is>
      </c>
      <c r="G46" t="inlineStr">
        <is>
          <t>31.08.2025</t>
        </is>
      </c>
      <c r="H46" t="inlineStr">
        <is>
          <t>ВРД Зелецино - филиал ООО "НВК"</t>
        </is>
      </c>
      <c r="K46" t="inlineStr">
        <is>
          <t>Деповской</t>
        </is>
      </c>
      <c r="L46" t="inlineStr">
        <is>
          <t>31.08.2027</t>
        </is>
      </c>
      <c r="M46" t="inlineStr">
        <is>
          <t>ООО "ТрансАльянс Запад"</t>
        </is>
      </c>
      <c r="N46" t="n">
        <v>160000</v>
      </c>
      <c r="O46" t="n">
        <v>27142</v>
      </c>
      <c r="P46" t="n">
        <v>132858</v>
      </c>
      <c r="Q46" t="inlineStr">
        <is>
          <t>11.12.2030</t>
        </is>
      </c>
      <c r="R46" t="inlineStr">
        <is>
          <t>31.08.2025</t>
        </is>
      </c>
      <c r="S46" s="72" t="inlineStr">
        <is>
          <t> </t>
        </is>
      </c>
      <c r="T46" t="n">
        <v>742387</v>
      </c>
      <c r="U46" t="inlineStr">
        <is>
          <t>0029</t>
        </is>
      </c>
      <c r="V46" t="n">
        <v>2020</v>
      </c>
      <c r="W46" t="n">
        <v>1173</v>
      </c>
      <c r="X46" t="inlineStr">
        <is>
          <t>авг.25</t>
        </is>
      </c>
      <c r="Y46" t="n">
        <v>30</v>
      </c>
      <c r="Z46" t="n">
        <v>29</v>
      </c>
      <c r="AA46" t="n">
        <v>54</v>
      </c>
      <c r="AB46" t="n">
        <v>53</v>
      </c>
      <c r="AC46" s="72" t="inlineStr">
        <is>
          <t> </t>
        </is>
      </c>
      <c r="AD46" t="n">
        <v>742768</v>
      </c>
      <c r="AE46" t="inlineStr">
        <is>
          <t>0029</t>
        </is>
      </c>
      <c r="AF46" t="n">
        <v>2020</v>
      </c>
      <c r="AG46" t="n">
        <v>1173</v>
      </c>
      <c r="AH46" t="inlineStr">
        <is>
          <t>авг.25</t>
        </is>
      </c>
      <c r="AI46" t="n">
        <v>29</v>
      </c>
      <c r="AJ46" t="n">
        <v>29</v>
      </c>
      <c r="AK46" t="n">
        <v>48</v>
      </c>
      <c r="AL46" t="n">
        <v>49</v>
      </c>
      <c r="AM46" s="72" t="inlineStr">
        <is>
          <t> </t>
        </is>
      </c>
      <c r="AN46" t="n">
        <v>445844</v>
      </c>
      <c r="AO46" t="inlineStr">
        <is>
          <t>0005</t>
        </is>
      </c>
      <c r="AP46" t="n">
        <v>2020</v>
      </c>
      <c r="AQ46" t="n">
        <v>1173</v>
      </c>
      <c r="AR46" t="inlineStr">
        <is>
          <t>авг.25</t>
        </is>
      </c>
      <c r="AS46" t="n">
        <v>29</v>
      </c>
      <c r="AT46" t="n">
        <v>29</v>
      </c>
      <c r="AU46" t="n">
        <v>62</v>
      </c>
      <c r="AV46" t="n">
        <v>62</v>
      </c>
      <c r="AW46" s="72" t="inlineStr">
        <is>
          <t> </t>
        </is>
      </c>
      <c r="AX46" t="n">
        <v>744638</v>
      </c>
      <c r="AY46" t="inlineStr">
        <is>
          <t>0029</t>
        </is>
      </c>
      <c r="AZ46" t="n">
        <v>2020</v>
      </c>
      <c r="BA46" t="n">
        <v>1173</v>
      </c>
      <c r="BB46" t="inlineStr">
        <is>
          <t>авг.25</t>
        </is>
      </c>
      <c r="BC46" t="n">
        <v>29</v>
      </c>
      <c r="BD46" t="n">
        <v>29</v>
      </c>
      <c r="BE46" t="n">
        <v>58</v>
      </c>
      <c r="BF46" t="n">
        <v>59</v>
      </c>
      <c r="BG46" s="72" t="inlineStr">
        <is>
          <t> </t>
        </is>
      </c>
      <c r="BH46" t="n">
        <v>26982</v>
      </c>
      <c r="BI46" t="n">
        <v>1275</v>
      </c>
      <c r="BJ46" t="n">
        <v>2020</v>
      </c>
      <c r="BM46" s="72" t="inlineStr">
        <is>
          <t> </t>
        </is>
      </c>
      <c r="BN46" t="n">
        <v>26935</v>
      </c>
      <c r="BO46" t="n">
        <v>1275</v>
      </c>
      <c r="BP46" t="n">
        <v>2020</v>
      </c>
      <c r="BS46" s="72" t="inlineStr">
        <is>
          <t> </t>
        </is>
      </c>
      <c r="BT46" t="n">
        <v>44968</v>
      </c>
      <c r="BU46" t="n">
        <v>1275</v>
      </c>
      <c r="BV46" t="n">
        <v>2020</v>
      </c>
      <c r="BY46" s="72" t="inlineStr">
        <is>
          <t> </t>
        </is>
      </c>
      <c r="BZ46" t="n">
        <v>44961</v>
      </c>
      <c r="CA46" t="n">
        <v>1275</v>
      </c>
      <c r="CB46" t="n">
        <v>2020</v>
      </c>
      <c r="CE46" s="72" t="inlineStr">
        <is>
          <t> </t>
        </is>
      </c>
      <c r="CF46" t="n">
        <v>43936</v>
      </c>
      <c r="CG46" t="n">
        <v>1275</v>
      </c>
      <c r="CH46" t="n">
        <v>2020</v>
      </c>
      <c r="CK46" s="72" t="inlineStr">
        <is>
          <t> </t>
        </is>
      </c>
      <c r="CL46" t="n">
        <v>45123</v>
      </c>
      <c r="CM46" t="n">
        <v>1275</v>
      </c>
      <c r="CN46" t="n">
        <v>2020</v>
      </c>
    </row>
    <row r="47">
      <c r="A47" t="n">
        <v>75163998</v>
      </c>
      <c r="B47" s="3" t="inlineStr">
        <is>
          <t>Цистерна для перевозки продуктов</t>
        </is>
      </c>
      <c r="C47" t="inlineStr">
        <is>
          <t>15-1219-1П</t>
        </is>
      </c>
      <c r="D47" t="inlineStr">
        <is>
          <t>29.09.2020</t>
        </is>
      </c>
      <c r="E47" t="n">
        <v>2020</v>
      </c>
      <c r="F47" t="inlineStr">
        <is>
          <t>29.09.2050</t>
        </is>
      </c>
      <c r="G47" t="inlineStr">
        <is>
          <t>14.11.2025</t>
        </is>
      </c>
      <c r="H47" t="inlineStr">
        <is>
          <t>ВРД Зелецино - филиал ООО "НВК"</t>
        </is>
      </c>
      <c r="K47" t="inlineStr">
        <is>
          <t>Деповской</t>
        </is>
      </c>
      <c r="L47" t="inlineStr">
        <is>
          <t>14.11.2027</t>
        </is>
      </c>
      <c r="M47" t="inlineStr">
        <is>
          <t>ООО "ТрансАльянс Запад"</t>
        </is>
      </c>
      <c r="N47" t="n">
        <v>160000</v>
      </c>
      <c r="O47" t="n">
        <v>23923</v>
      </c>
      <c r="P47" t="n">
        <v>136077</v>
      </c>
      <c r="Q47" t="inlineStr">
        <is>
          <t>26.06.2030</t>
        </is>
      </c>
      <c r="R47" t="inlineStr">
        <is>
          <t>14.11.2025</t>
        </is>
      </c>
      <c r="S47" s="72" t="inlineStr">
        <is>
          <t> </t>
        </is>
      </c>
      <c r="T47" t="n">
        <v>444949</v>
      </c>
      <c r="U47" t="inlineStr">
        <is>
          <t>0005</t>
        </is>
      </c>
      <c r="V47" t="n">
        <v>2020</v>
      </c>
      <c r="W47" t="n">
        <v>1173</v>
      </c>
      <c r="X47" t="inlineStr">
        <is>
          <t>ноя.25</t>
        </is>
      </c>
      <c r="Y47" t="n">
        <v>30</v>
      </c>
      <c r="Z47" t="n">
        <v>30</v>
      </c>
      <c r="AA47" t="n">
        <v>52</v>
      </c>
      <c r="AB47" t="n">
        <v>53</v>
      </c>
      <c r="AC47" s="72" t="inlineStr">
        <is>
          <t> </t>
        </is>
      </c>
      <c r="AD47" t="n">
        <v>444991</v>
      </c>
      <c r="AE47" t="inlineStr">
        <is>
          <t>0005</t>
        </is>
      </c>
      <c r="AF47" t="n">
        <v>2020</v>
      </c>
      <c r="AG47" t="n">
        <v>1173</v>
      </c>
      <c r="AH47" t="inlineStr">
        <is>
          <t>ноя.25</t>
        </is>
      </c>
      <c r="AI47" t="n">
        <v>30</v>
      </c>
      <c r="AJ47" t="n">
        <v>30</v>
      </c>
      <c r="AK47" t="n">
        <v>55</v>
      </c>
      <c r="AL47" t="n">
        <v>55</v>
      </c>
      <c r="AM47" s="72" t="inlineStr">
        <is>
          <t> </t>
        </is>
      </c>
      <c r="AN47" t="n">
        <v>730979</v>
      </c>
      <c r="AO47" t="inlineStr">
        <is>
          <t>0029</t>
        </is>
      </c>
      <c r="AP47" t="n">
        <v>2020</v>
      </c>
      <c r="AQ47" t="n">
        <v>1173</v>
      </c>
      <c r="AR47" t="inlineStr">
        <is>
          <t>ноя.25</t>
        </is>
      </c>
      <c r="AS47" t="n">
        <v>30</v>
      </c>
      <c r="AT47" t="n">
        <v>30</v>
      </c>
      <c r="AU47" t="n">
        <v>54</v>
      </c>
      <c r="AV47" t="n">
        <v>55</v>
      </c>
      <c r="AW47" s="72" t="inlineStr">
        <is>
          <t> </t>
        </is>
      </c>
      <c r="AX47" t="n">
        <v>444811</v>
      </c>
      <c r="AY47" t="inlineStr">
        <is>
          <t>0005</t>
        </is>
      </c>
      <c r="AZ47" t="n">
        <v>2020</v>
      </c>
      <c r="BA47" t="n">
        <v>1173</v>
      </c>
      <c r="BB47" t="inlineStr">
        <is>
          <t>ноя.25</t>
        </is>
      </c>
      <c r="BC47" t="n">
        <v>30</v>
      </c>
      <c r="BD47" t="n">
        <v>30</v>
      </c>
      <c r="BE47" t="n">
        <v>52</v>
      </c>
      <c r="BF47" t="n">
        <v>52</v>
      </c>
      <c r="BG47" s="72" t="inlineStr">
        <is>
          <t> </t>
        </is>
      </c>
      <c r="BH47" t="n">
        <v>25643</v>
      </c>
      <c r="BI47" t="n">
        <v>1275</v>
      </c>
      <c r="BJ47" t="n">
        <v>2020</v>
      </c>
      <c r="BM47" s="72" t="inlineStr">
        <is>
          <t> </t>
        </is>
      </c>
      <c r="BN47" t="n">
        <v>25444</v>
      </c>
      <c r="BO47" t="n">
        <v>1275</v>
      </c>
      <c r="BP47" t="n">
        <v>2020</v>
      </c>
      <c r="BS47" s="72" t="inlineStr">
        <is>
          <t> </t>
        </is>
      </c>
      <c r="BT47" t="n">
        <v>42745</v>
      </c>
      <c r="BU47" t="n">
        <v>1275</v>
      </c>
      <c r="BV47" t="n">
        <v>2020</v>
      </c>
      <c r="BY47" s="72" t="inlineStr">
        <is>
          <t> </t>
        </is>
      </c>
      <c r="BZ47" t="n">
        <v>43316</v>
      </c>
      <c r="CA47" t="n">
        <v>1275</v>
      </c>
      <c r="CB47" t="n">
        <v>2020</v>
      </c>
      <c r="CE47" s="72" t="inlineStr">
        <is>
          <t> </t>
        </is>
      </c>
      <c r="CF47" t="n">
        <v>42892</v>
      </c>
      <c r="CG47" t="n">
        <v>1275</v>
      </c>
      <c r="CH47" t="n">
        <v>2020</v>
      </c>
      <c r="CK47" s="72" t="inlineStr">
        <is>
          <t> </t>
        </is>
      </c>
      <c r="CL47" t="n">
        <v>42683</v>
      </c>
      <c r="CM47" t="n">
        <v>1275</v>
      </c>
      <c r="CN47" t="n">
        <v>2020</v>
      </c>
    </row>
    <row r="48">
      <c r="A48" t="n">
        <v>75164293</v>
      </c>
      <c r="B48" s="3" t="inlineStr">
        <is>
          <t>Цистерна для перевозки продуктов</t>
        </is>
      </c>
      <c r="C48" t="inlineStr">
        <is>
          <t>15-1219-1П</t>
        </is>
      </c>
      <c r="D48" t="inlineStr">
        <is>
          <t>29.09.2020</t>
        </is>
      </c>
      <c r="E48" t="n">
        <v>2020</v>
      </c>
      <c r="F48" t="inlineStr">
        <is>
          <t>29.09.2050</t>
        </is>
      </c>
      <c r="G48" t="inlineStr">
        <is>
          <t>26.08.2025</t>
        </is>
      </c>
      <c r="H48" t="inlineStr">
        <is>
          <t>ВРД Зелецино - филиал ООО "НВК"</t>
        </is>
      </c>
      <c r="K48" t="inlineStr">
        <is>
          <t>Деповской</t>
        </is>
      </c>
      <c r="L48" t="inlineStr">
        <is>
          <t>26.08.2027</t>
        </is>
      </c>
      <c r="M48" t="inlineStr">
        <is>
          <t>ООО "ТрансАльянс Запад"</t>
        </is>
      </c>
      <c r="N48" t="n">
        <v>160000</v>
      </c>
      <c r="O48" t="n">
        <v>23036</v>
      </c>
      <c r="P48" t="n">
        <v>136964</v>
      </c>
      <c r="Q48" t="inlineStr">
        <is>
          <t>19.12.2031</t>
        </is>
      </c>
      <c r="R48" t="inlineStr">
        <is>
          <t>21.04.2026</t>
        </is>
      </c>
      <c r="S48" s="72" t="inlineStr">
        <is>
          <t> </t>
        </is>
      </c>
      <c r="T48" t="n">
        <v>746406</v>
      </c>
      <c r="U48" t="inlineStr">
        <is>
          <t>0029</t>
        </is>
      </c>
      <c r="V48" t="n">
        <v>2020</v>
      </c>
      <c r="W48" t="n">
        <v>9711</v>
      </c>
      <c r="X48" t="inlineStr">
        <is>
          <t>апр.26</t>
        </is>
      </c>
      <c r="Y48" t="n">
        <v>0</v>
      </c>
      <c r="Z48" t="n">
        <v>0</v>
      </c>
      <c r="AA48" t="n">
        <v>54</v>
      </c>
      <c r="AB48" t="n">
        <v>53</v>
      </c>
      <c r="AC48" s="72" t="inlineStr">
        <is>
          <t> </t>
        </is>
      </c>
      <c r="AD48" t="n">
        <v>730891</v>
      </c>
      <c r="AE48" t="inlineStr">
        <is>
          <t>0029</t>
        </is>
      </c>
      <c r="AF48" t="n">
        <v>2020</v>
      </c>
      <c r="AG48" t="n">
        <v>9711</v>
      </c>
      <c r="AH48" t="inlineStr">
        <is>
          <t>апр.26</t>
        </is>
      </c>
      <c r="AI48" t="n">
        <v>0</v>
      </c>
      <c r="AJ48" t="n">
        <v>0</v>
      </c>
      <c r="AK48" t="n">
        <v>52</v>
      </c>
      <c r="AL48" t="n">
        <v>53</v>
      </c>
      <c r="AM48" s="72" t="inlineStr">
        <is>
          <t> </t>
        </is>
      </c>
      <c r="AN48" t="n">
        <v>445003</v>
      </c>
      <c r="AO48" t="inlineStr">
        <is>
          <t>0005</t>
        </is>
      </c>
      <c r="AP48" t="n">
        <v>2020</v>
      </c>
      <c r="AQ48" t="n">
        <v>9711</v>
      </c>
      <c r="AR48" t="inlineStr">
        <is>
          <t>апр.26</t>
        </is>
      </c>
      <c r="AS48" t="n">
        <v>0</v>
      </c>
      <c r="AT48" t="n">
        <v>0</v>
      </c>
      <c r="AU48" t="n">
        <v>62</v>
      </c>
      <c r="AV48" t="n">
        <v>63</v>
      </c>
      <c r="AW48" s="72" t="inlineStr">
        <is>
          <t> </t>
        </is>
      </c>
      <c r="AX48" t="n">
        <v>444688</v>
      </c>
      <c r="AY48" t="inlineStr">
        <is>
          <t>0005</t>
        </is>
      </c>
      <c r="AZ48" t="n">
        <v>2020</v>
      </c>
      <c r="BA48" t="n">
        <v>9711</v>
      </c>
      <c r="BB48" t="inlineStr">
        <is>
          <t>апр.26</t>
        </is>
      </c>
      <c r="BC48" t="n">
        <v>0</v>
      </c>
      <c r="BD48" t="n">
        <v>0</v>
      </c>
      <c r="BE48" t="n">
        <v>57</v>
      </c>
      <c r="BF48" t="n">
        <v>55</v>
      </c>
      <c r="BG48" s="72" t="inlineStr">
        <is>
          <t> </t>
        </is>
      </c>
      <c r="BH48" t="n">
        <v>26384</v>
      </c>
      <c r="BI48" t="n">
        <v>1275</v>
      </c>
      <c r="BJ48" t="n">
        <v>2020</v>
      </c>
      <c r="BM48" s="72" t="inlineStr">
        <is>
          <t> </t>
        </is>
      </c>
      <c r="BN48" t="n">
        <v>26403</v>
      </c>
      <c r="BO48" t="n">
        <v>1275</v>
      </c>
      <c r="BP48" t="n">
        <v>2020</v>
      </c>
      <c r="BS48" s="72" t="inlineStr">
        <is>
          <t> </t>
        </is>
      </c>
      <c r="BT48" t="n">
        <v>42884</v>
      </c>
      <c r="BU48" t="n">
        <v>1275</v>
      </c>
      <c r="BV48" t="n">
        <v>2020</v>
      </c>
      <c r="BY48" s="72" t="inlineStr">
        <is>
          <t> </t>
        </is>
      </c>
      <c r="BZ48" t="n">
        <v>42438</v>
      </c>
      <c r="CA48" t="n">
        <v>1275</v>
      </c>
      <c r="CB48" t="n">
        <v>2020</v>
      </c>
      <c r="CE48" s="72" t="inlineStr">
        <is>
          <t> </t>
        </is>
      </c>
      <c r="CF48" t="n">
        <v>43127</v>
      </c>
      <c r="CG48" t="n">
        <v>1275</v>
      </c>
      <c r="CH48" t="n">
        <v>2020</v>
      </c>
      <c r="CK48" s="72" t="inlineStr">
        <is>
          <t> </t>
        </is>
      </c>
      <c r="CL48" t="n">
        <v>43640</v>
      </c>
      <c r="CM48" t="n">
        <v>1275</v>
      </c>
      <c r="CN48" t="n">
        <v>2020</v>
      </c>
    </row>
    <row r="49">
      <c r="A49" t="n">
        <v>75187492</v>
      </c>
      <c r="B49" s="3" t="inlineStr">
        <is>
          <t>Цистерна для перевозки продуктов</t>
        </is>
      </c>
      <c r="C49" t="inlineStr">
        <is>
          <t>15-1219-1П</t>
        </is>
      </c>
      <c r="D49" t="inlineStr">
        <is>
          <t>14.10.2020</t>
        </is>
      </c>
      <c r="E49" t="n">
        <v>2020</v>
      </c>
      <c r="F49" t="inlineStr">
        <is>
          <t>14.10.2050</t>
        </is>
      </c>
      <c r="G49" t="inlineStr">
        <is>
          <t>30.10.2025</t>
        </is>
      </c>
      <c r="H49" t="inlineStr">
        <is>
          <t>ВРД Зелецино - филиал ООО "НВК"</t>
        </is>
      </c>
      <c r="K49" t="inlineStr">
        <is>
          <t>Деповской</t>
        </is>
      </c>
      <c r="L49" t="inlineStr">
        <is>
          <t>30.10.2027</t>
        </is>
      </c>
      <c r="M49" t="inlineStr">
        <is>
          <t>ООО "ТрансАльянс Запад"</t>
        </is>
      </c>
      <c r="N49" t="n">
        <v>160000</v>
      </c>
      <c r="O49" t="n">
        <v>20576</v>
      </c>
      <c r="P49" t="n">
        <v>139424</v>
      </c>
      <c r="Q49" t="inlineStr">
        <is>
          <t>07.07.2031</t>
        </is>
      </c>
      <c r="R49" t="inlineStr">
        <is>
          <t>30.10.2025</t>
        </is>
      </c>
      <c r="S49" s="72" t="inlineStr">
        <is>
          <t> </t>
        </is>
      </c>
      <c r="T49" t="n">
        <v>448165</v>
      </c>
      <c r="U49" t="inlineStr">
        <is>
          <t>0005</t>
        </is>
      </c>
      <c r="V49" t="n">
        <v>2020</v>
      </c>
      <c r="W49" t="n">
        <v>1173</v>
      </c>
      <c r="X49" t="inlineStr">
        <is>
          <t>окт.25</t>
        </is>
      </c>
      <c r="Y49" t="n">
        <v>30</v>
      </c>
      <c r="Z49" t="n">
        <v>30</v>
      </c>
      <c r="AA49" t="n">
        <v>58</v>
      </c>
      <c r="AB49" t="n">
        <v>60</v>
      </c>
      <c r="AC49" s="72" t="inlineStr">
        <is>
          <t> </t>
        </is>
      </c>
      <c r="AD49" t="n">
        <v>448191</v>
      </c>
      <c r="AE49" t="inlineStr">
        <is>
          <t>0005</t>
        </is>
      </c>
      <c r="AF49" t="n">
        <v>2020</v>
      </c>
      <c r="AG49" t="n">
        <v>1173</v>
      </c>
      <c r="AH49" t="inlineStr">
        <is>
          <t>окт.25</t>
        </is>
      </c>
      <c r="AI49" t="n">
        <v>30</v>
      </c>
      <c r="AJ49" t="n">
        <v>29</v>
      </c>
      <c r="AK49" t="n">
        <v>64</v>
      </c>
      <c r="AL49" t="n">
        <v>64</v>
      </c>
      <c r="AM49" s="72" t="inlineStr">
        <is>
          <t> </t>
        </is>
      </c>
      <c r="AN49" t="n">
        <v>448171</v>
      </c>
      <c r="AO49" t="inlineStr">
        <is>
          <t>0005</t>
        </is>
      </c>
      <c r="AP49" t="n">
        <v>2020</v>
      </c>
      <c r="AQ49" t="n">
        <v>1173</v>
      </c>
      <c r="AR49" t="inlineStr">
        <is>
          <t>окт.25</t>
        </is>
      </c>
      <c r="AS49" t="n">
        <v>30</v>
      </c>
      <c r="AT49" t="n">
        <v>30</v>
      </c>
      <c r="AU49" t="n">
        <v>60</v>
      </c>
      <c r="AV49" t="n">
        <v>59</v>
      </c>
      <c r="AW49" s="72" t="inlineStr">
        <is>
          <t> </t>
        </is>
      </c>
      <c r="AX49" t="n">
        <v>749305</v>
      </c>
      <c r="AY49" t="inlineStr">
        <is>
          <t>0029</t>
        </is>
      </c>
      <c r="AZ49" t="n">
        <v>2020</v>
      </c>
      <c r="BA49" t="n">
        <v>1173</v>
      </c>
      <c r="BB49" t="inlineStr">
        <is>
          <t>окт.25</t>
        </is>
      </c>
      <c r="BC49" t="n">
        <v>30</v>
      </c>
      <c r="BD49" t="n">
        <v>29</v>
      </c>
      <c r="BE49" t="n">
        <v>55</v>
      </c>
      <c r="BF49" t="n">
        <v>56</v>
      </c>
      <c r="BG49" s="72" t="inlineStr">
        <is>
          <t> </t>
        </is>
      </c>
      <c r="BH49" t="n">
        <v>27599</v>
      </c>
      <c r="BI49" t="n">
        <v>1275</v>
      </c>
      <c r="BJ49" t="n">
        <v>2020</v>
      </c>
      <c r="BM49" s="72" t="inlineStr">
        <is>
          <t> </t>
        </is>
      </c>
      <c r="BN49" t="n">
        <v>27642</v>
      </c>
      <c r="BO49" t="n">
        <v>1275</v>
      </c>
      <c r="BP49" t="n">
        <v>2020</v>
      </c>
      <c r="BS49" s="72" t="inlineStr">
        <is>
          <t> </t>
        </is>
      </c>
      <c r="BT49" t="n">
        <v>45996</v>
      </c>
      <c r="BU49" t="n">
        <v>1275</v>
      </c>
      <c r="BV49" t="n">
        <v>2020</v>
      </c>
      <c r="BY49" s="72" t="inlineStr">
        <is>
          <t> </t>
        </is>
      </c>
      <c r="BZ49" t="n">
        <v>46274</v>
      </c>
      <c r="CA49" t="n">
        <v>1275</v>
      </c>
      <c r="CB49" t="n">
        <v>2020</v>
      </c>
      <c r="CE49" s="72" t="inlineStr">
        <is>
          <t> </t>
        </is>
      </c>
      <c r="CF49" t="n">
        <v>46112</v>
      </c>
      <c r="CG49" t="n">
        <v>1275</v>
      </c>
      <c r="CH49" t="n">
        <v>2020</v>
      </c>
      <c r="CK49" s="72" t="inlineStr">
        <is>
          <t> </t>
        </is>
      </c>
      <c r="CL49" t="n">
        <v>46301</v>
      </c>
      <c r="CM49" t="n">
        <v>1275</v>
      </c>
      <c r="CN49" t="n">
        <v>2020</v>
      </c>
    </row>
    <row r="50">
      <c r="A50" t="n">
        <v>75188896</v>
      </c>
      <c r="B50" s="3" t="inlineStr">
        <is>
          <t>Цистерна для перевозки продуктов</t>
        </is>
      </c>
      <c r="C50" t="inlineStr">
        <is>
          <t>15-1219-1П</t>
        </is>
      </c>
      <c r="D50" t="inlineStr">
        <is>
          <t>14.10.2020</t>
        </is>
      </c>
      <c r="E50" t="n">
        <v>2020</v>
      </c>
      <c r="F50" t="inlineStr">
        <is>
          <t>14.10.2050</t>
        </is>
      </c>
      <c r="G50" t="inlineStr">
        <is>
          <t>14.12.2025</t>
        </is>
      </c>
      <c r="H50" t="inlineStr">
        <is>
          <t>ВРД Зелецино - филиал ООО "НВК"</t>
        </is>
      </c>
      <c r="K50" t="inlineStr">
        <is>
          <t>Деповской</t>
        </is>
      </c>
      <c r="L50" t="inlineStr">
        <is>
          <t>14.12.2027</t>
        </is>
      </c>
      <c r="M50" t="inlineStr">
        <is>
          <t>ООО "ТрансАльянс Запад"</t>
        </is>
      </c>
      <c r="N50" t="n">
        <v>160000</v>
      </c>
      <c r="O50" t="n">
        <v>20766</v>
      </c>
      <c r="P50" t="n">
        <v>139234</v>
      </c>
      <c r="Q50" t="inlineStr">
        <is>
          <t>20.08.2030</t>
        </is>
      </c>
      <c r="R50" t="inlineStr">
        <is>
          <t>14.12.2025</t>
        </is>
      </c>
      <c r="S50" s="72" t="inlineStr">
        <is>
          <t> </t>
        </is>
      </c>
      <c r="T50" t="n">
        <v>444968</v>
      </c>
      <c r="U50" t="inlineStr">
        <is>
          <t>0005</t>
        </is>
      </c>
      <c r="V50" t="n">
        <v>2020</v>
      </c>
      <c r="W50" t="n">
        <v>1173</v>
      </c>
      <c r="X50" t="inlineStr">
        <is>
          <t>дек.25</t>
        </is>
      </c>
      <c r="Y50" t="n">
        <v>30</v>
      </c>
      <c r="Z50" t="n">
        <v>30</v>
      </c>
      <c r="AA50" t="n">
        <v>62</v>
      </c>
      <c r="AB50" t="n">
        <v>63</v>
      </c>
      <c r="AC50" s="72" t="inlineStr">
        <is>
          <t> </t>
        </is>
      </c>
      <c r="AD50" t="n">
        <v>445867</v>
      </c>
      <c r="AE50" t="inlineStr">
        <is>
          <t>0005</t>
        </is>
      </c>
      <c r="AF50" t="n">
        <v>2020</v>
      </c>
      <c r="AG50" t="n">
        <v>1173</v>
      </c>
      <c r="AH50" t="inlineStr">
        <is>
          <t>дек.25</t>
        </is>
      </c>
      <c r="AI50" t="n">
        <v>30</v>
      </c>
      <c r="AJ50" t="n">
        <v>30</v>
      </c>
      <c r="AK50" t="n">
        <v>64</v>
      </c>
      <c r="AL50" t="n">
        <v>63</v>
      </c>
      <c r="AM50" s="72" t="inlineStr">
        <is>
          <t> </t>
        </is>
      </c>
      <c r="AN50" t="n">
        <v>749550</v>
      </c>
      <c r="AO50" t="inlineStr">
        <is>
          <t>0029</t>
        </is>
      </c>
      <c r="AP50" t="n">
        <v>2020</v>
      </c>
      <c r="AQ50" t="n">
        <v>1173</v>
      </c>
      <c r="AR50" t="inlineStr">
        <is>
          <t>дек.25</t>
        </is>
      </c>
      <c r="AS50" t="n">
        <v>30</v>
      </c>
      <c r="AT50" t="n">
        <v>29</v>
      </c>
      <c r="AU50" t="n">
        <v>60</v>
      </c>
      <c r="AV50" t="n">
        <v>60</v>
      </c>
      <c r="AW50" s="72" t="inlineStr">
        <is>
          <t> </t>
        </is>
      </c>
      <c r="AX50" t="n">
        <v>749180</v>
      </c>
      <c r="AY50" t="inlineStr">
        <is>
          <t>0029</t>
        </is>
      </c>
      <c r="AZ50" t="n">
        <v>2020</v>
      </c>
      <c r="BA50" t="n">
        <v>1173</v>
      </c>
      <c r="BB50" t="inlineStr">
        <is>
          <t>дек.25</t>
        </is>
      </c>
      <c r="BC50" t="n">
        <v>30</v>
      </c>
      <c r="BD50" t="n">
        <v>30</v>
      </c>
      <c r="BE50" t="n">
        <v>64</v>
      </c>
      <c r="BF50" t="n">
        <v>63</v>
      </c>
      <c r="BG50" s="72" t="inlineStr">
        <is>
          <t> </t>
        </is>
      </c>
      <c r="BH50" t="n">
        <v>27790</v>
      </c>
      <c r="BI50" t="n">
        <v>1275</v>
      </c>
      <c r="BJ50" t="n">
        <v>2020</v>
      </c>
      <c r="BM50" s="72" t="inlineStr">
        <is>
          <t> </t>
        </is>
      </c>
      <c r="BN50" t="n">
        <v>27813</v>
      </c>
      <c r="BO50" t="n">
        <v>1275</v>
      </c>
      <c r="BP50" t="n">
        <v>2020</v>
      </c>
      <c r="BS50" s="72" t="inlineStr">
        <is>
          <t> </t>
        </is>
      </c>
      <c r="BT50" t="n">
        <v>46043</v>
      </c>
      <c r="BU50" t="n">
        <v>1275</v>
      </c>
      <c r="BV50" t="n">
        <v>2020</v>
      </c>
      <c r="BY50" s="72" t="inlineStr">
        <is>
          <t> </t>
        </is>
      </c>
      <c r="BZ50" t="n">
        <v>46233</v>
      </c>
      <c r="CA50" t="n">
        <v>1275</v>
      </c>
      <c r="CB50" t="n">
        <v>2020</v>
      </c>
      <c r="CE50" s="72" t="inlineStr">
        <is>
          <t> </t>
        </is>
      </c>
      <c r="CF50" t="n">
        <v>46465</v>
      </c>
      <c r="CG50" t="n">
        <v>1275</v>
      </c>
      <c r="CH50" t="n">
        <v>2020</v>
      </c>
      <c r="CK50" s="72" t="inlineStr">
        <is>
          <t> </t>
        </is>
      </c>
      <c r="CL50" t="n">
        <v>46555</v>
      </c>
      <c r="CM50" t="n">
        <v>1275</v>
      </c>
      <c r="CN50" t="n">
        <v>2020</v>
      </c>
    </row>
    <row r="51">
      <c r="A51" t="n">
        <v>75176594</v>
      </c>
      <c r="B51" s="3" t="inlineStr">
        <is>
          <t>Цистерна для перевозки продуктов</t>
        </is>
      </c>
      <c r="C51" t="inlineStr">
        <is>
          <t>15-1219-1П</t>
        </is>
      </c>
      <c r="D51" t="inlineStr">
        <is>
          <t>05.10.2020</t>
        </is>
      </c>
      <c r="E51" t="n">
        <v>2020</v>
      </c>
      <c r="F51" t="inlineStr">
        <is>
          <t>05.10.2050</t>
        </is>
      </c>
      <c r="G51" t="inlineStr">
        <is>
          <t>04.03.2026</t>
        </is>
      </c>
      <c r="H51" t="inlineStr">
        <is>
          <t>ВРД Зелецино - филиал ООО "НВК"</t>
        </is>
      </c>
      <c r="K51" t="inlineStr">
        <is>
          <t>Деповской</t>
        </is>
      </c>
      <c r="L51" t="inlineStr">
        <is>
          <t>04.03.2028</t>
        </is>
      </c>
      <c r="M51" t="inlineStr">
        <is>
          <t>ООО "ТрансАльянс Запад"</t>
        </is>
      </c>
      <c r="N51" t="n">
        <v>160000</v>
      </c>
      <c r="O51" t="n">
        <v>10380</v>
      </c>
      <c r="P51" t="n">
        <v>149620</v>
      </c>
      <c r="Q51" t="inlineStr">
        <is>
          <t>01.03.2032</t>
        </is>
      </c>
      <c r="R51" t="inlineStr">
        <is>
          <t>04.03.2026</t>
        </is>
      </c>
      <c r="S51" s="72" t="inlineStr">
        <is>
          <t> </t>
        </is>
      </c>
      <c r="T51" t="n">
        <v>742378</v>
      </c>
      <c r="U51" t="inlineStr">
        <is>
          <t>0029</t>
        </is>
      </c>
      <c r="V51" t="n">
        <v>2020</v>
      </c>
      <c r="W51" t="n">
        <v>1173</v>
      </c>
      <c r="X51" t="inlineStr">
        <is>
          <t>мар.26</t>
        </is>
      </c>
      <c r="Y51" t="n">
        <v>30</v>
      </c>
      <c r="Z51" t="n">
        <v>29</v>
      </c>
      <c r="AA51" t="n">
        <v>62</v>
      </c>
      <c r="AB51" t="n">
        <v>60</v>
      </c>
      <c r="AC51" s="72" t="inlineStr">
        <is>
          <t> </t>
        </is>
      </c>
      <c r="AD51" t="n">
        <v>744698</v>
      </c>
      <c r="AE51" t="inlineStr">
        <is>
          <t>0029</t>
        </is>
      </c>
      <c r="AF51" t="n">
        <v>2020</v>
      </c>
      <c r="AG51" t="n">
        <v>1173</v>
      </c>
      <c r="AH51" t="inlineStr">
        <is>
          <t>мар.26</t>
        </is>
      </c>
      <c r="AI51" t="n">
        <v>29</v>
      </c>
      <c r="AJ51" t="n">
        <v>30</v>
      </c>
      <c r="AK51" t="n">
        <v>63</v>
      </c>
      <c r="AL51" t="n">
        <v>64</v>
      </c>
      <c r="AM51" s="72" t="inlineStr">
        <is>
          <t> </t>
        </is>
      </c>
      <c r="AN51" t="n">
        <v>743256</v>
      </c>
      <c r="AO51" t="inlineStr">
        <is>
          <t>0029</t>
        </is>
      </c>
      <c r="AP51" t="n">
        <v>2020</v>
      </c>
      <c r="AQ51" t="n">
        <v>1173</v>
      </c>
      <c r="AR51" t="inlineStr">
        <is>
          <t>мар.26</t>
        </is>
      </c>
      <c r="AS51" t="n">
        <v>30</v>
      </c>
      <c r="AT51" t="n">
        <v>30</v>
      </c>
      <c r="AU51" t="n">
        <v>60</v>
      </c>
      <c r="AV51" t="n">
        <v>61</v>
      </c>
      <c r="AW51" s="72" t="inlineStr">
        <is>
          <t> </t>
        </is>
      </c>
      <c r="AX51" t="n">
        <v>446201</v>
      </c>
      <c r="AY51" t="inlineStr">
        <is>
          <t>0005</t>
        </is>
      </c>
      <c r="AZ51" t="n">
        <v>2020</v>
      </c>
      <c r="BA51" t="n">
        <v>1173</v>
      </c>
      <c r="BB51" t="inlineStr">
        <is>
          <t>мар.26</t>
        </is>
      </c>
      <c r="BC51" t="n">
        <v>30</v>
      </c>
      <c r="BD51" t="n">
        <v>29</v>
      </c>
      <c r="BE51" t="n">
        <v>59</v>
      </c>
      <c r="BF51" t="n">
        <v>61</v>
      </c>
      <c r="BG51" s="72" t="inlineStr">
        <is>
          <t> </t>
        </is>
      </c>
      <c r="BH51" t="n">
        <v>27010</v>
      </c>
      <c r="BI51" t="n">
        <v>1275</v>
      </c>
      <c r="BJ51" t="n">
        <v>2020</v>
      </c>
      <c r="BM51" s="72" t="inlineStr">
        <is>
          <t> </t>
        </is>
      </c>
      <c r="BN51" t="n">
        <v>26875</v>
      </c>
      <c r="BO51" t="n">
        <v>1275</v>
      </c>
      <c r="BP51" t="n">
        <v>2020</v>
      </c>
      <c r="BS51" s="72" t="inlineStr">
        <is>
          <t> </t>
        </is>
      </c>
      <c r="BT51" t="n">
        <v>43539</v>
      </c>
      <c r="BU51" t="n">
        <v>1275</v>
      </c>
      <c r="BV51" t="n">
        <v>2020</v>
      </c>
      <c r="BY51" s="72" t="inlineStr">
        <is>
          <t> </t>
        </is>
      </c>
      <c r="BZ51" t="n">
        <v>45000</v>
      </c>
      <c r="CA51" t="n">
        <v>1275</v>
      </c>
      <c r="CB51" t="n">
        <v>2020</v>
      </c>
      <c r="CE51" s="72" t="inlineStr">
        <is>
          <t> </t>
        </is>
      </c>
      <c r="CF51" t="n">
        <v>39609</v>
      </c>
      <c r="CG51" t="n">
        <v>1275</v>
      </c>
      <c r="CH51" t="n">
        <v>2020</v>
      </c>
      <c r="CK51" s="72" t="inlineStr">
        <is>
          <t> </t>
        </is>
      </c>
      <c r="CL51" t="n">
        <v>39890</v>
      </c>
      <c r="CM51" t="n">
        <v>1275</v>
      </c>
      <c r="CN51" t="n">
        <v>2020</v>
      </c>
    </row>
    <row r="52">
      <c r="A52" t="n">
        <v>75182394</v>
      </c>
      <c r="B52" s="3" t="inlineStr">
        <is>
          <t>Цистерна для перевозки продуктов</t>
        </is>
      </c>
      <c r="C52" t="inlineStr">
        <is>
          <t>15-1219-1П</t>
        </is>
      </c>
      <c r="D52" t="inlineStr">
        <is>
          <t>08.10.2020</t>
        </is>
      </c>
      <c r="E52" t="n">
        <v>2020</v>
      </c>
      <c r="F52" t="inlineStr">
        <is>
          <t>08.10.2050</t>
        </is>
      </c>
      <c r="G52" t="inlineStr">
        <is>
          <t>26.11.2025</t>
        </is>
      </c>
      <c r="H52" t="inlineStr">
        <is>
          <t>ВРД Кочетовка – филиал ООО "НВК"</t>
        </is>
      </c>
      <c r="K52" t="inlineStr">
        <is>
          <t>Деповской</t>
        </is>
      </c>
      <c r="L52" t="inlineStr">
        <is>
          <t>26.11.2027</t>
        </is>
      </c>
      <c r="M52" t="inlineStr">
        <is>
          <t>ООО "ТрансАльянс Запад"</t>
        </is>
      </c>
      <c r="N52" t="n">
        <v>160000</v>
      </c>
      <c r="O52" t="n">
        <v>22305</v>
      </c>
      <c r="P52" t="n">
        <v>137695</v>
      </c>
      <c r="Q52" t="inlineStr">
        <is>
          <t>14.08.2030</t>
        </is>
      </c>
      <c r="R52" t="inlineStr">
        <is>
          <t>26.11.2025</t>
        </is>
      </c>
      <c r="S52" s="72" t="inlineStr">
        <is>
          <t> </t>
        </is>
      </c>
      <c r="T52" t="n">
        <v>742302</v>
      </c>
      <c r="U52" t="inlineStr">
        <is>
          <t>0029</t>
        </is>
      </c>
      <c r="V52" t="n">
        <v>2020</v>
      </c>
      <c r="W52" t="n">
        <v>301</v>
      </c>
      <c r="X52" t="inlineStr">
        <is>
          <t>ноя.25</t>
        </is>
      </c>
      <c r="Y52" t="n">
        <v>31</v>
      </c>
      <c r="Z52" t="n">
        <v>31</v>
      </c>
      <c r="AA52" t="n">
        <v>63</v>
      </c>
      <c r="AB52" t="n">
        <v>63</v>
      </c>
      <c r="AC52" s="72" t="inlineStr">
        <is>
          <t> </t>
        </is>
      </c>
      <c r="AD52" t="n">
        <v>749643</v>
      </c>
      <c r="AE52" t="inlineStr">
        <is>
          <t>0029</t>
        </is>
      </c>
      <c r="AF52" t="n">
        <v>2020</v>
      </c>
      <c r="AG52" t="n">
        <v>301</v>
      </c>
      <c r="AH52" t="inlineStr">
        <is>
          <t>ноя.25</t>
        </is>
      </c>
      <c r="AI52" t="n">
        <v>31</v>
      </c>
      <c r="AJ52" t="n">
        <v>31</v>
      </c>
      <c r="AK52" t="n">
        <v>60</v>
      </c>
      <c r="AL52" t="n">
        <v>60</v>
      </c>
      <c r="AM52" s="72" t="inlineStr">
        <is>
          <t> </t>
        </is>
      </c>
      <c r="AN52" t="n">
        <v>448305</v>
      </c>
      <c r="AO52" t="inlineStr">
        <is>
          <t>0005</t>
        </is>
      </c>
      <c r="AP52" t="n">
        <v>2020</v>
      </c>
      <c r="AQ52" t="n">
        <v>301</v>
      </c>
      <c r="AR52" t="inlineStr">
        <is>
          <t>ноя.25</t>
        </is>
      </c>
      <c r="AS52" t="n">
        <v>30</v>
      </c>
      <c r="AT52" t="n">
        <v>30</v>
      </c>
      <c r="AU52" t="n">
        <v>62</v>
      </c>
      <c r="AV52" t="n">
        <v>62</v>
      </c>
      <c r="AW52" s="72" t="inlineStr">
        <is>
          <t> </t>
        </is>
      </c>
      <c r="AX52" t="n">
        <v>448215</v>
      </c>
      <c r="AY52" t="inlineStr">
        <is>
          <t>0005</t>
        </is>
      </c>
      <c r="AZ52" t="n">
        <v>2020</v>
      </c>
      <c r="BA52" t="n">
        <v>301</v>
      </c>
      <c r="BB52" t="inlineStr">
        <is>
          <t>ноя.25</t>
        </is>
      </c>
      <c r="BC52" t="n">
        <v>30</v>
      </c>
      <c r="BD52" t="n">
        <v>30</v>
      </c>
      <c r="BE52" t="n">
        <v>62</v>
      </c>
      <c r="BF52" t="n">
        <v>62</v>
      </c>
      <c r="BG52" s="72" t="inlineStr">
        <is>
          <t> </t>
        </is>
      </c>
      <c r="BH52" t="n">
        <v>26521</v>
      </c>
      <c r="BI52" t="n">
        <v>1275</v>
      </c>
      <c r="BJ52" t="n">
        <v>2020</v>
      </c>
      <c r="BM52" s="72" t="inlineStr">
        <is>
          <t> </t>
        </is>
      </c>
      <c r="BN52" t="n">
        <v>26577</v>
      </c>
      <c r="BO52" t="n">
        <v>1275</v>
      </c>
      <c r="BP52" t="n">
        <v>2020</v>
      </c>
      <c r="BS52" s="72" t="inlineStr">
        <is>
          <t> </t>
        </is>
      </c>
      <c r="BT52" t="n">
        <v>43104</v>
      </c>
      <c r="BU52" t="n">
        <v>1275</v>
      </c>
      <c r="BV52" t="n">
        <v>2020</v>
      </c>
      <c r="BY52" s="72" t="inlineStr">
        <is>
          <t> </t>
        </is>
      </c>
      <c r="BZ52" t="n">
        <v>43008</v>
      </c>
      <c r="CA52" t="n">
        <v>1275</v>
      </c>
      <c r="CB52" t="n">
        <v>2020</v>
      </c>
      <c r="CE52" s="72" t="inlineStr">
        <is>
          <t> </t>
        </is>
      </c>
      <c r="CF52" t="n">
        <v>43220</v>
      </c>
      <c r="CG52" t="n">
        <v>1275</v>
      </c>
      <c r="CH52" t="n">
        <v>2020</v>
      </c>
      <c r="CK52" s="72" t="inlineStr">
        <is>
          <t> </t>
        </is>
      </c>
      <c r="CL52" t="n">
        <v>43017</v>
      </c>
      <c r="CM52" t="n">
        <v>1275</v>
      </c>
      <c r="CN52" t="n">
        <v>2020</v>
      </c>
    </row>
    <row r="53">
      <c r="A53" t="n">
        <v>75189092</v>
      </c>
      <c r="B53" s="3" t="inlineStr">
        <is>
          <t>Цистерна для перевозки продуктов</t>
        </is>
      </c>
      <c r="C53" t="inlineStr">
        <is>
          <t>15-1219-1П</t>
        </is>
      </c>
      <c r="D53" t="inlineStr">
        <is>
          <t>14.10.2020</t>
        </is>
      </c>
      <c r="E53" t="n">
        <v>2020</v>
      </c>
      <c r="F53" t="inlineStr">
        <is>
          <t>14.10.2050</t>
        </is>
      </c>
      <c r="G53" t="inlineStr">
        <is>
          <t>29.11.2025</t>
        </is>
      </c>
      <c r="H53" t="inlineStr">
        <is>
          <t>ВРД Зелецино - филиал ООО "НВК"</t>
        </is>
      </c>
      <c r="K53" t="inlineStr">
        <is>
          <t>Деповской</t>
        </is>
      </c>
      <c r="L53" t="inlineStr">
        <is>
          <t>29.11.2027</t>
        </is>
      </c>
      <c r="M53" t="inlineStr">
        <is>
          <t>ООО "ТрансАльянс Запад"</t>
        </is>
      </c>
      <c r="N53" t="n">
        <v>160000</v>
      </c>
      <c r="O53" t="n">
        <v>17214</v>
      </c>
      <c r="P53" t="n">
        <v>142786</v>
      </c>
      <c r="Q53" t="inlineStr">
        <is>
          <t>11.12.2031</t>
        </is>
      </c>
      <c r="R53" t="inlineStr">
        <is>
          <t>29.11.2025</t>
        </is>
      </c>
      <c r="S53" s="72" t="inlineStr">
        <is>
          <t> </t>
        </is>
      </c>
      <c r="T53" t="n">
        <v>445896</v>
      </c>
      <c r="U53" t="inlineStr">
        <is>
          <t>0005</t>
        </is>
      </c>
      <c r="V53" t="n">
        <v>2020</v>
      </c>
      <c r="W53" t="n">
        <v>1173</v>
      </c>
      <c r="X53" t="inlineStr">
        <is>
          <t>ноя.25</t>
        </is>
      </c>
      <c r="Y53" t="n">
        <v>30</v>
      </c>
      <c r="Z53" t="n">
        <v>30</v>
      </c>
      <c r="AA53" t="n">
        <v>63</v>
      </c>
      <c r="AB53" t="n">
        <v>63</v>
      </c>
      <c r="AC53" s="72" t="inlineStr">
        <is>
          <t> </t>
        </is>
      </c>
      <c r="AD53" t="n">
        <v>749447</v>
      </c>
      <c r="AE53" t="inlineStr">
        <is>
          <t>0029</t>
        </is>
      </c>
      <c r="AF53" t="n">
        <v>2020</v>
      </c>
      <c r="AG53" t="n">
        <v>1173</v>
      </c>
      <c r="AH53" t="inlineStr">
        <is>
          <t>ноя.25</t>
        </is>
      </c>
      <c r="AI53" t="n">
        <v>30</v>
      </c>
      <c r="AJ53" t="n">
        <v>30</v>
      </c>
      <c r="AK53" t="n">
        <v>62</v>
      </c>
      <c r="AL53" t="n">
        <v>61</v>
      </c>
      <c r="AM53" s="72" t="inlineStr">
        <is>
          <t> </t>
        </is>
      </c>
      <c r="AN53" t="n">
        <v>748876</v>
      </c>
      <c r="AO53" t="inlineStr">
        <is>
          <t>0029</t>
        </is>
      </c>
      <c r="AP53" t="n">
        <v>2020</v>
      </c>
      <c r="AQ53" t="n">
        <v>1173</v>
      </c>
      <c r="AR53" t="inlineStr">
        <is>
          <t>ноя.25</t>
        </is>
      </c>
      <c r="AS53" t="n">
        <v>30</v>
      </c>
      <c r="AT53" t="n">
        <v>29</v>
      </c>
      <c r="AU53" t="n">
        <v>58</v>
      </c>
      <c r="AV53" t="n">
        <v>58</v>
      </c>
      <c r="AW53" s="72" t="inlineStr">
        <is>
          <t> </t>
        </is>
      </c>
      <c r="AX53" t="n">
        <v>748883</v>
      </c>
      <c r="AY53" t="inlineStr">
        <is>
          <t>0029</t>
        </is>
      </c>
      <c r="AZ53" t="n">
        <v>2020</v>
      </c>
      <c r="BA53" t="n">
        <v>1173</v>
      </c>
      <c r="BB53" t="inlineStr">
        <is>
          <t>ноя.25</t>
        </is>
      </c>
      <c r="BC53" t="n">
        <v>29</v>
      </c>
      <c r="BD53" t="n">
        <v>30</v>
      </c>
      <c r="BE53" t="n">
        <v>60</v>
      </c>
      <c r="BF53" t="n">
        <v>60</v>
      </c>
      <c r="BG53" s="72" t="inlineStr">
        <is>
          <t> </t>
        </is>
      </c>
      <c r="BH53" t="n">
        <v>27702</v>
      </c>
      <c r="BI53" t="n">
        <v>1275</v>
      </c>
      <c r="BJ53" t="n">
        <v>2020</v>
      </c>
      <c r="BM53" s="72" t="inlineStr">
        <is>
          <t> </t>
        </is>
      </c>
      <c r="BN53" t="n">
        <v>27767</v>
      </c>
      <c r="BO53" t="n">
        <v>1275</v>
      </c>
      <c r="BP53" t="n">
        <v>2020</v>
      </c>
      <c r="BS53" s="72" t="inlineStr">
        <is>
          <t> </t>
        </is>
      </c>
      <c r="BT53" t="n">
        <v>46035</v>
      </c>
      <c r="BU53" t="n">
        <v>1275</v>
      </c>
      <c r="BV53" t="n">
        <v>2020</v>
      </c>
      <c r="BY53" s="72" t="inlineStr">
        <is>
          <t> </t>
        </is>
      </c>
      <c r="BZ53" t="n">
        <v>46882</v>
      </c>
      <c r="CA53" t="n">
        <v>1275</v>
      </c>
      <c r="CB53" t="n">
        <v>2020</v>
      </c>
      <c r="CE53" s="72" t="inlineStr">
        <is>
          <t> </t>
        </is>
      </c>
      <c r="CF53" t="n">
        <v>44845</v>
      </c>
      <c r="CG53" t="n">
        <v>1275</v>
      </c>
      <c r="CH53" t="n">
        <v>2020</v>
      </c>
      <c r="CK53" s="72" t="inlineStr">
        <is>
          <t> </t>
        </is>
      </c>
      <c r="CL53" t="n">
        <v>45695</v>
      </c>
      <c r="CM53" t="n">
        <v>1275</v>
      </c>
      <c r="CN53" t="n">
        <v>2020</v>
      </c>
    </row>
    <row r="54">
      <c r="A54" t="n">
        <v>75184192</v>
      </c>
      <c r="B54" s="3" t="inlineStr">
        <is>
          <t>Цистерна для перевозки продуктов</t>
        </is>
      </c>
      <c r="C54" t="inlineStr">
        <is>
          <t>15-1219-1П</t>
        </is>
      </c>
      <c r="D54" t="inlineStr">
        <is>
          <t>08.10.2020</t>
        </is>
      </c>
      <c r="E54" t="n">
        <v>2020</v>
      </c>
      <c r="F54" t="inlineStr">
        <is>
          <t>08.10.2050</t>
        </is>
      </c>
      <c r="G54" t="inlineStr">
        <is>
          <t>11.11.2025</t>
        </is>
      </c>
      <c r="H54" t="inlineStr">
        <is>
          <t>ВРД Зелецино - филиал ООО "НВК"</t>
        </is>
      </c>
      <c r="K54" t="inlineStr">
        <is>
          <t>Деповской</t>
        </is>
      </c>
      <c r="L54" t="inlineStr">
        <is>
          <t>11.11.2027</t>
        </is>
      </c>
      <c r="M54" t="inlineStr">
        <is>
          <t>ООО "ТрансАльянс Запад"</t>
        </is>
      </c>
      <c r="N54" t="n">
        <v>160000</v>
      </c>
      <c r="O54" t="n">
        <v>32719</v>
      </c>
      <c r="P54" t="n">
        <v>127281</v>
      </c>
      <c r="Q54" t="inlineStr">
        <is>
          <t>11.04.2029</t>
        </is>
      </c>
      <c r="R54" t="inlineStr">
        <is>
          <t>11.11.2025</t>
        </is>
      </c>
      <c r="S54" s="72" t="inlineStr">
        <is>
          <t> </t>
        </is>
      </c>
      <c r="T54" t="n">
        <v>448259</v>
      </c>
      <c r="U54" t="inlineStr">
        <is>
          <t>0005</t>
        </is>
      </c>
      <c r="V54" t="n">
        <v>2020</v>
      </c>
      <c r="W54" t="n">
        <v>1173</v>
      </c>
      <c r="X54" t="inlineStr">
        <is>
          <t>ноя.25</t>
        </is>
      </c>
      <c r="Y54" t="n">
        <v>31</v>
      </c>
      <c r="Z54" t="n">
        <v>30</v>
      </c>
      <c r="AA54" t="n">
        <v>52</v>
      </c>
      <c r="AB54" t="n">
        <v>53</v>
      </c>
      <c r="AC54" s="72" t="inlineStr">
        <is>
          <t> </t>
        </is>
      </c>
      <c r="AD54" t="n">
        <v>751736</v>
      </c>
      <c r="AE54" t="inlineStr">
        <is>
          <t>0029</t>
        </is>
      </c>
      <c r="AF54" t="n">
        <v>2020</v>
      </c>
      <c r="AG54" t="n">
        <v>1173</v>
      </c>
      <c r="AH54" t="inlineStr">
        <is>
          <t>ноя.25</t>
        </is>
      </c>
      <c r="AI54" t="n">
        <v>30</v>
      </c>
      <c r="AJ54" t="n">
        <v>30</v>
      </c>
      <c r="AK54" t="n">
        <v>52</v>
      </c>
      <c r="AL54" t="n">
        <v>52</v>
      </c>
      <c r="AM54" s="72" t="inlineStr">
        <is>
          <t> </t>
        </is>
      </c>
      <c r="AN54" t="n">
        <v>751684</v>
      </c>
      <c r="AO54" t="inlineStr">
        <is>
          <t>0029</t>
        </is>
      </c>
      <c r="AP54" t="n">
        <v>2020</v>
      </c>
      <c r="AQ54" t="n">
        <v>1173</v>
      </c>
      <c r="AR54" t="inlineStr">
        <is>
          <t>ноя.25</t>
        </is>
      </c>
      <c r="AS54" t="n">
        <v>30</v>
      </c>
      <c r="AT54" t="n">
        <v>29</v>
      </c>
      <c r="AU54" t="n">
        <v>60</v>
      </c>
      <c r="AV54" t="n">
        <v>61</v>
      </c>
      <c r="AW54" s="72" t="inlineStr">
        <is>
          <t> </t>
        </is>
      </c>
      <c r="AX54" t="n">
        <v>753621</v>
      </c>
      <c r="AY54" t="inlineStr">
        <is>
          <t>0029</t>
        </is>
      </c>
      <c r="AZ54" t="n">
        <v>2020</v>
      </c>
      <c r="BA54" t="n">
        <v>1173</v>
      </c>
      <c r="BB54" t="inlineStr">
        <is>
          <t>ноя.25</t>
        </is>
      </c>
      <c r="BC54" t="n">
        <v>32</v>
      </c>
      <c r="BD54" t="n">
        <v>31</v>
      </c>
      <c r="BE54" t="n">
        <v>53</v>
      </c>
      <c r="BF54" t="n">
        <v>55</v>
      </c>
      <c r="BG54" s="72" t="inlineStr">
        <is>
          <t> </t>
        </is>
      </c>
      <c r="BH54" t="n">
        <v>27528</v>
      </c>
      <c r="BI54" t="n">
        <v>1275</v>
      </c>
      <c r="BJ54" t="n">
        <v>2020</v>
      </c>
      <c r="BM54" s="72" t="inlineStr">
        <is>
          <t> </t>
        </is>
      </c>
      <c r="BN54" t="n">
        <v>27554</v>
      </c>
      <c r="BO54" t="n">
        <v>1275</v>
      </c>
      <c r="BP54" t="n">
        <v>2020</v>
      </c>
      <c r="BS54" s="72" t="inlineStr">
        <is>
          <t> </t>
        </is>
      </c>
      <c r="BT54" t="n">
        <v>45202</v>
      </c>
      <c r="BU54" t="n">
        <v>1275</v>
      </c>
      <c r="BV54" t="n">
        <v>2020</v>
      </c>
      <c r="BY54" s="72" t="inlineStr">
        <is>
          <t> </t>
        </is>
      </c>
      <c r="BZ54" t="n">
        <v>45602</v>
      </c>
      <c r="CA54" t="n">
        <v>1275</v>
      </c>
      <c r="CB54" t="n">
        <v>2020</v>
      </c>
      <c r="CE54" s="72" t="inlineStr">
        <is>
          <t> </t>
        </is>
      </c>
      <c r="CF54" t="n">
        <v>46042</v>
      </c>
      <c r="CG54" t="n">
        <v>1275</v>
      </c>
      <c r="CH54" t="n">
        <v>2020</v>
      </c>
      <c r="CK54" s="72" t="inlineStr">
        <is>
          <t> </t>
        </is>
      </c>
      <c r="CL54" t="n">
        <v>46269</v>
      </c>
      <c r="CM54" t="n">
        <v>1275</v>
      </c>
      <c r="CN54" t="n">
        <v>2020</v>
      </c>
    </row>
    <row r="55">
      <c r="A55" t="n">
        <v>75184499</v>
      </c>
      <c r="B55" s="3" t="inlineStr">
        <is>
          <t>Цистерна для перевозки продуктов</t>
        </is>
      </c>
      <c r="C55" t="inlineStr">
        <is>
          <t>15-1219-1П</t>
        </is>
      </c>
      <c r="D55" t="inlineStr">
        <is>
          <t>08.10.2020</t>
        </is>
      </c>
      <c r="E55" t="n">
        <v>2020</v>
      </c>
      <c r="F55" t="inlineStr">
        <is>
          <t>08.10.2050</t>
        </is>
      </c>
      <c r="G55" t="inlineStr">
        <is>
          <t>10.12.2025</t>
        </is>
      </c>
      <c r="H55" t="inlineStr">
        <is>
          <t>ВРД Зелецино - филиал ООО "НВК"</t>
        </is>
      </c>
      <c r="K55" t="inlineStr">
        <is>
          <t>Деповской</t>
        </is>
      </c>
      <c r="L55" t="inlineStr">
        <is>
          <t>10.12.2027</t>
        </is>
      </c>
      <c r="M55" t="inlineStr">
        <is>
          <t>ООО "ТрансАльянс Запад"</t>
        </is>
      </c>
      <c r="N55" t="n">
        <v>160000</v>
      </c>
      <c r="O55" t="n">
        <v>22865</v>
      </c>
      <c r="P55" t="n">
        <v>137135</v>
      </c>
      <c r="Q55" t="inlineStr">
        <is>
          <t>09.04.2030</t>
        </is>
      </c>
      <c r="R55" t="inlineStr">
        <is>
          <t>10.12.2025</t>
        </is>
      </c>
      <c r="S55" s="72" t="inlineStr">
        <is>
          <t> </t>
        </is>
      </c>
      <c r="T55" t="n">
        <v>752668</v>
      </c>
      <c r="U55" t="inlineStr">
        <is>
          <t>0029</t>
        </is>
      </c>
      <c r="V55" t="n">
        <v>2020</v>
      </c>
      <c r="W55" t="n">
        <v>1173</v>
      </c>
      <c r="X55" t="inlineStr">
        <is>
          <t>дек.25</t>
        </is>
      </c>
      <c r="Y55" t="n">
        <v>29</v>
      </c>
      <c r="Z55" t="n">
        <v>29</v>
      </c>
      <c r="AA55" t="n">
        <v>52</v>
      </c>
      <c r="AB55" t="n">
        <v>53</v>
      </c>
      <c r="AC55" s="72" t="inlineStr">
        <is>
          <t> </t>
        </is>
      </c>
      <c r="AD55" t="n">
        <v>449058</v>
      </c>
      <c r="AE55" t="inlineStr">
        <is>
          <t>0005</t>
        </is>
      </c>
      <c r="AF55" t="n">
        <v>2020</v>
      </c>
      <c r="AG55" t="n">
        <v>1173</v>
      </c>
      <c r="AH55" t="inlineStr">
        <is>
          <t>дек.25</t>
        </is>
      </c>
      <c r="AI55" t="n">
        <v>30</v>
      </c>
      <c r="AJ55" t="n">
        <v>29</v>
      </c>
      <c r="AK55" t="n">
        <v>52</v>
      </c>
      <c r="AL55" t="n">
        <v>53</v>
      </c>
      <c r="AM55" s="72" t="inlineStr">
        <is>
          <t> </t>
        </is>
      </c>
      <c r="AN55" t="n">
        <v>445911</v>
      </c>
      <c r="AO55" t="inlineStr">
        <is>
          <t>0005</t>
        </is>
      </c>
      <c r="AP55" t="n">
        <v>2020</v>
      </c>
      <c r="AQ55" t="n">
        <v>1173</v>
      </c>
      <c r="AR55" t="inlineStr">
        <is>
          <t>дек.25</t>
        </is>
      </c>
      <c r="AS55" t="n">
        <v>30</v>
      </c>
      <c r="AT55" t="n">
        <v>29</v>
      </c>
      <c r="AU55" t="n">
        <v>54</v>
      </c>
      <c r="AV55" t="n">
        <v>55</v>
      </c>
      <c r="AW55" s="72" t="inlineStr">
        <is>
          <t> </t>
        </is>
      </c>
      <c r="AX55" t="n">
        <v>749571</v>
      </c>
      <c r="AY55" t="inlineStr">
        <is>
          <t>0029</t>
        </is>
      </c>
      <c r="AZ55" t="n">
        <v>2020</v>
      </c>
      <c r="BA55" t="n">
        <v>1173</v>
      </c>
      <c r="BB55" t="inlineStr">
        <is>
          <t>дек.25</t>
        </is>
      </c>
      <c r="BC55" t="n">
        <v>29</v>
      </c>
      <c r="BD55" t="n">
        <v>30</v>
      </c>
      <c r="BE55" t="n">
        <v>61</v>
      </c>
      <c r="BF55" t="n">
        <v>61</v>
      </c>
      <c r="BG55" s="72" t="inlineStr">
        <is>
          <t> </t>
        </is>
      </c>
      <c r="BH55" t="n">
        <v>27561</v>
      </c>
      <c r="BI55" t="n">
        <v>1275</v>
      </c>
      <c r="BJ55" t="n">
        <v>2020</v>
      </c>
      <c r="BM55" s="72" t="inlineStr">
        <is>
          <t> </t>
        </is>
      </c>
      <c r="BN55" t="n">
        <v>27511</v>
      </c>
      <c r="BO55" t="n">
        <v>1275</v>
      </c>
      <c r="BP55" t="n">
        <v>2020</v>
      </c>
      <c r="BS55" s="72" t="inlineStr">
        <is>
          <t> </t>
        </is>
      </c>
      <c r="BT55" t="n">
        <v>45859</v>
      </c>
      <c r="BU55" t="n">
        <v>1275</v>
      </c>
      <c r="BV55" t="n">
        <v>2020</v>
      </c>
      <c r="BY55" s="72" t="inlineStr">
        <is>
          <t> </t>
        </is>
      </c>
      <c r="BZ55" t="n">
        <v>45938</v>
      </c>
      <c r="CA55" t="n">
        <v>1275</v>
      </c>
      <c r="CB55" t="n">
        <v>2020</v>
      </c>
      <c r="CE55" s="72" t="inlineStr">
        <is>
          <t> </t>
        </is>
      </c>
      <c r="CF55" t="n">
        <v>45705</v>
      </c>
      <c r="CG55" t="n">
        <v>1275</v>
      </c>
      <c r="CH55" t="n">
        <v>2020</v>
      </c>
      <c r="CK55" s="72" t="inlineStr">
        <is>
          <t> </t>
        </is>
      </c>
      <c r="CL55" t="n">
        <v>45987</v>
      </c>
      <c r="CM55" t="n">
        <v>1275</v>
      </c>
      <c r="CN55" t="n">
        <v>2020</v>
      </c>
    </row>
    <row r="56">
      <c r="A56" t="n">
        <v>75184697</v>
      </c>
      <c r="B56" s="3" t="inlineStr">
        <is>
          <t>Цистерна для перевозки продуктов</t>
        </is>
      </c>
      <c r="C56" t="inlineStr">
        <is>
          <t>15-1219-1П</t>
        </is>
      </c>
      <c r="D56" t="inlineStr">
        <is>
          <t>08.10.2020</t>
        </is>
      </c>
      <c r="E56" t="n">
        <v>2020</v>
      </c>
      <c r="F56" t="inlineStr">
        <is>
          <t>08.10.2050</t>
        </is>
      </c>
      <c r="G56" t="inlineStr">
        <is>
          <t>02.11.2025</t>
        </is>
      </c>
      <c r="H56" t="inlineStr">
        <is>
          <t>ВРД Кочетовка – филиал ООО "НВК"</t>
        </is>
      </c>
      <c r="K56" t="inlineStr">
        <is>
          <t>Деповской</t>
        </is>
      </c>
      <c r="L56" t="inlineStr">
        <is>
          <t>02.11.2027</t>
        </is>
      </c>
      <c r="M56" t="inlineStr">
        <is>
          <t>ООО "ТрансАльянс Запад"</t>
        </is>
      </c>
      <c r="N56" t="n">
        <v>160000</v>
      </c>
      <c r="O56" t="n">
        <v>24389</v>
      </c>
      <c r="P56" t="n">
        <v>135611</v>
      </c>
      <c r="Q56" t="inlineStr">
        <is>
          <t>31.07.2030</t>
        </is>
      </c>
      <c r="R56" t="inlineStr">
        <is>
          <t>02.11.2025</t>
        </is>
      </c>
      <c r="S56" s="72" t="inlineStr">
        <is>
          <t> </t>
        </is>
      </c>
      <c r="T56" t="n">
        <v>448185</v>
      </c>
      <c r="U56" t="inlineStr">
        <is>
          <t>0005</t>
        </is>
      </c>
      <c r="V56" t="n">
        <v>2020</v>
      </c>
      <c r="W56" t="n">
        <v>301</v>
      </c>
      <c r="X56" t="inlineStr">
        <is>
          <t>ноя.25</t>
        </is>
      </c>
      <c r="Y56" t="n">
        <v>31</v>
      </c>
      <c r="Z56" t="n">
        <v>31</v>
      </c>
      <c r="AA56" t="n">
        <v>63</v>
      </c>
      <c r="AB56" t="n">
        <v>63</v>
      </c>
      <c r="AC56" s="72" t="inlineStr">
        <is>
          <t> </t>
        </is>
      </c>
      <c r="AD56" t="n">
        <v>151452</v>
      </c>
      <c r="AE56" t="inlineStr">
        <is>
          <t>0029</t>
        </is>
      </c>
      <c r="AF56" t="n">
        <v>2020</v>
      </c>
      <c r="AG56" t="n">
        <v>301</v>
      </c>
      <c r="AH56" t="inlineStr">
        <is>
          <t>ноя.25</t>
        </is>
      </c>
      <c r="AI56" t="n">
        <v>32</v>
      </c>
      <c r="AJ56" t="n">
        <v>32</v>
      </c>
      <c r="AK56" t="n">
        <v>63</v>
      </c>
      <c r="AL56" t="n">
        <v>63</v>
      </c>
      <c r="AM56" s="72" t="inlineStr">
        <is>
          <t> </t>
        </is>
      </c>
      <c r="AN56" t="n">
        <v>446166</v>
      </c>
      <c r="AO56" t="inlineStr">
        <is>
          <t>0005</t>
        </is>
      </c>
      <c r="AP56" t="n">
        <v>2020</v>
      </c>
      <c r="AQ56" t="n">
        <v>301</v>
      </c>
      <c r="AR56" t="inlineStr">
        <is>
          <t>ноя.25</t>
        </is>
      </c>
      <c r="AS56" t="n">
        <v>30</v>
      </c>
      <c r="AT56" t="n">
        <v>30</v>
      </c>
      <c r="AU56" t="n">
        <v>63</v>
      </c>
      <c r="AV56" t="n">
        <v>63</v>
      </c>
      <c r="AW56" s="72" t="inlineStr">
        <is>
          <t> </t>
        </is>
      </c>
      <c r="AX56" t="n">
        <v>744714</v>
      </c>
      <c r="AY56" t="inlineStr">
        <is>
          <t>0029</t>
        </is>
      </c>
      <c r="AZ56" t="n">
        <v>2020</v>
      </c>
      <c r="BA56" t="n">
        <v>301</v>
      </c>
      <c r="BB56" t="inlineStr">
        <is>
          <t>ноя.25</t>
        </is>
      </c>
      <c r="BC56" t="n">
        <v>32</v>
      </c>
      <c r="BD56" t="n">
        <v>32</v>
      </c>
      <c r="BE56" t="n">
        <v>64</v>
      </c>
      <c r="BF56" t="n">
        <v>64</v>
      </c>
      <c r="BG56" s="72" t="inlineStr">
        <is>
          <t> </t>
        </is>
      </c>
      <c r="BH56" t="n">
        <v>27485</v>
      </c>
      <c r="BI56" t="n">
        <v>1275</v>
      </c>
      <c r="BJ56" t="n">
        <v>2020</v>
      </c>
      <c r="BM56" s="72" t="inlineStr">
        <is>
          <t> </t>
        </is>
      </c>
      <c r="BN56" t="n">
        <v>27636</v>
      </c>
      <c r="BO56" t="n">
        <v>1275</v>
      </c>
      <c r="BP56" t="n">
        <v>2020</v>
      </c>
      <c r="BS56" s="72" t="inlineStr">
        <is>
          <t> </t>
        </is>
      </c>
      <c r="BT56" t="n">
        <v>46358</v>
      </c>
      <c r="BU56" t="n">
        <v>1275</v>
      </c>
      <c r="BV56" t="n">
        <v>2020</v>
      </c>
      <c r="BY56" s="72" t="inlineStr">
        <is>
          <t> </t>
        </is>
      </c>
      <c r="BZ56" t="n">
        <v>45693</v>
      </c>
      <c r="CA56" t="n">
        <v>1275</v>
      </c>
      <c r="CB56" t="n">
        <v>2020</v>
      </c>
      <c r="CE56" s="72" t="inlineStr">
        <is>
          <t> </t>
        </is>
      </c>
      <c r="CF56" t="n">
        <v>46379</v>
      </c>
      <c r="CG56" t="n">
        <v>1275</v>
      </c>
      <c r="CH56" t="n">
        <v>2020</v>
      </c>
      <c r="CK56" s="72" t="inlineStr">
        <is>
          <t> </t>
        </is>
      </c>
      <c r="CL56" t="n">
        <v>46147</v>
      </c>
      <c r="CM56" t="n">
        <v>1275</v>
      </c>
      <c r="CN56" t="n">
        <v>2020</v>
      </c>
    </row>
    <row r="57">
      <c r="A57" t="n">
        <v>75183392</v>
      </c>
      <c r="B57" s="3" t="inlineStr">
        <is>
          <t>Цистерна для перевозки продуктов</t>
        </is>
      </c>
      <c r="C57" t="inlineStr">
        <is>
          <t>15-1219-1П</t>
        </is>
      </c>
      <c r="D57" t="inlineStr">
        <is>
          <t>08.10.2020</t>
        </is>
      </c>
      <c r="E57" t="n">
        <v>2020</v>
      </c>
      <c r="F57" t="inlineStr">
        <is>
          <t>08.10.2050</t>
        </is>
      </c>
      <c r="G57" t="inlineStr">
        <is>
          <t>02.11.2025</t>
        </is>
      </c>
      <c r="H57" t="inlineStr">
        <is>
          <t>ВРД Кочетовка – филиал ООО "НВК"</t>
        </is>
      </c>
      <c r="K57" t="inlineStr">
        <is>
          <t>Деповской</t>
        </is>
      </c>
      <c r="L57" t="inlineStr">
        <is>
          <t>02.11.2027</t>
        </is>
      </c>
      <c r="M57" t="inlineStr">
        <is>
          <t>ООО "ТрансАльянс Запад"</t>
        </is>
      </c>
      <c r="N57" t="n">
        <v>160000</v>
      </c>
      <c r="O57" t="n">
        <v>27197</v>
      </c>
      <c r="P57" t="n">
        <v>132803</v>
      </c>
      <c r="Q57" t="inlineStr">
        <is>
          <t>02.02.2030</t>
        </is>
      </c>
      <c r="R57" t="inlineStr">
        <is>
          <t>02.11.2025</t>
        </is>
      </c>
      <c r="S57" s="72" t="inlineStr">
        <is>
          <t> </t>
        </is>
      </c>
      <c r="T57" t="n">
        <v>446706</v>
      </c>
      <c r="U57" t="inlineStr">
        <is>
          <t>0005</t>
        </is>
      </c>
      <c r="V57" t="n">
        <v>2020</v>
      </c>
      <c r="W57" t="n">
        <v>301</v>
      </c>
      <c r="X57" t="inlineStr">
        <is>
          <t>ноя.25</t>
        </is>
      </c>
      <c r="Y57" t="n">
        <v>31</v>
      </c>
      <c r="Z57" t="n">
        <v>31</v>
      </c>
      <c r="AA57" t="n">
        <v>55</v>
      </c>
      <c r="AB57" t="n">
        <v>55</v>
      </c>
      <c r="AC57" s="72" t="inlineStr">
        <is>
          <t> </t>
        </is>
      </c>
      <c r="AD57" t="n">
        <v>744703</v>
      </c>
      <c r="AE57" t="inlineStr">
        <is>
          <t>0029</t>
        </is>
      </c>
      <c r="AF57" t="n">
        <v>2020</v>
      </c>
      <c r="AG57" t="n">
        <v>301</v>
      </c>
      <c r="AH57" t="inlineStr">
        <is>
          <t>ноя.25</t>
        </is>
      </c>
      <c r="AI57" t="n">
        <v>31</v>
      </c>
      <c r="AJ57" t="n">
        <v>31</v>
      </c>
      <c r="AK57" t="n">
        <v>61</v>
      </c>
      <c r="AL57" t="n">
        <v>61</v>
      </c>
      <c r="AM57" s="72" t="inlineStr">
        <is>
          <t> </t>
        </is>
      </c>
      <c r="AN57" t="n">
        <v>446485</v>
      </c>
      <c r="AO57" t="inlineStr">
        <is>
          <t>0005</t>
        </is>
      </c>
      <c r="AP57" t="n">
        <v>2020</v>
      </c>
      <c r="AQ57" t="n">
        <v>301</v>
      </c>
      <c r="AR57" t="inlineStr">
        <is>
          <t>ноя.25</t>
        </is>
      </c>
      <c r="AS57" t="n">
        <v>30</v>
      </c>
      <c r="AT57" t="n">
        <v>30</v>
      </c>
      <c r="AU57" t="n">
        <v>63</v>
      </c>
      <c r="AV57" t="n">
        <v>63</v>
      </c>
      <c r="AW57" s="72" t="inlineStr">
        <is>
          <t> </t>
        </is>
      </c>
      <c r="AX57" t="n">
        <v>12291</v>
      </c>
      <c r="AY57" t="n">
        <v>2002</v>
      </c>
      <c r="AZ57" t="n">
        <v>2020</v>
      </c>
      <c r="BA57" t="n">
        <v>301</v>
      </c>
      <c r="BB57" t="inlineStr">
        <is>
          <t>ноя.25</t>
        </is>
      </c>
      <c r="BC57" t="n">
        <v>30</v>
      </c>
      <c r="BD57" t="n">
        <v>30</v>
      </c>
      <c r="BE57" t="n">
        <v>65</v>
      </c>
      <c r="BF57" t="n">
        <v>65</v>
      </c>
      <c r="BG57" s="72" t="inlineStr">
        <is>
          <t> </t>
        </is>
      </c>
      <c r="BH57" t="n">
        <v>27409</v>
      </c>
      <c r="BI57" t="n">
        <v>1275</v>
      </c>
      <c r="BJ57" t="n">
        <v>2020</v>
      </c>
      <c r="BM57" s="72" t="inlineStr">
        <is>
          <t> </t>
        </is>
      </c>
      <c r="BN57" t="n">
        <v>27297</v>
      </c>
      <c r="BO57" t="n">
        <v>1275</v>
      </c>
      <c r="BP57" t="n">
        <v>2020</v>
      </c>
      <c r="BS57" s="72" t="inlineStr">
        <is>
          <t> </t>
        </is>
      </c>
      <c r="BT57" t="n">
        <v>45643</v>
      </c>
      <c r="BU57" t="n">
        <v>1275</v>
      </c>
      <c r="BV57" t="n">
        <v>2020</v>
      </c>
      <c r="BY57" s="72" t="inlineStr">
        <is>
          <t> </t>
        </is>
      </c>
      <c r="BZ57" t="n">
        <v>45648</v>
      </c>
      <c r="CA57" t="n">
        <v>1275</v>
      </c>
      <c r="CB57" t="n">
        <v>2020</v>
      </c>
      <c r="CE57" s="72" t="inlineStr">
        <is>
          <t> </t>
        </is>
      </c>
      <c r="CF57" t="n">
        <v>44763</v>
      </c>
      <c r="CG57" t="n">
        <v>1275</v>
      </c>
      <c r="CH57" t="n">
        <v>2020</v>
      </c>
      <c r="CK57" s="72" t="inlineStr">
        <is>
          <t> </t>
        </is>
      </c>
      <c r="CL57" t="n">
        <v>45664</v>
      </c>
      <c r="CM57" t="n">
        <v>1275</v>
      </c>
      <c r="CN57" t="n">
        <v>2020</v>
      </c>
    </row>
    <row r="58">
      <c r="A58" t="n">
        <v>75165092</v>
      </c>
      <c r="B58" s="3" t="inlineStr">
        <is>
          <t>Цистерна для перевозки продуктов</t>
        </is>
      </c>
      <c r="C58" t="inlineStr">
        <is>
          <t>15-1219-1П</t>
        </is>
      </c>
      <c r="D58" t="inlineStr">
        <is>
          <t>29.09.2020</t>
        </is>
      </c>
      <c r="E58" t="n">
        <v>2020</v>
      </c>
      <c r="F58" t="inlineStr">
        <is>
          <t>29.09.2050</t>
        </is>
      </c>
      <c r="G58" t="inlineStr">
        <is>
          <t>16.09.2025</t>
        </is>
      </c>
      <c r="H58" t="inlineStr">
        <is>
          <t>ВРД Зелецино - филиал ООО "НВК"</t>
        </is>
      </c>
      <c r="K58" t="inlineStr">
        <is>
          <t>Деповской</t>
        </is>
      </c>
      <c r="L58" t="inlineStr">
        <is>
          <t>16.09.2027</t>
        </is>
      </c>
      <c r="M58" t="inlineStr">
        <is>
          <t>ООО "ТрансАльянс Запад"</t>
        </is>
      </c>
      <c r="N58" t="n">
        <v>160000</v>
      </c>
      <c r="O58" t="n">
        <v>28723</v>
      </c>
      <c r="P58" t="n">
        <v>131277</v>
      </c>
      <c r="Q58" t="inlineStr">
        <is>
          <t>14.06.2030</t>
        </is>
      </c>
      <c r="R58" t="inlineStr">
        <is>
          <t>16.09.2025</t>
        </is>
      </c>
      <c r="S58" s="72" t="inlineStr">
        <is>
          <t> </t>
        </is>
      </c>
      <c r="T58" t="n">
        <v>730973</v>
      </c>
      <c r="U58" t="inlineStr">
        <is>
          <t>0029</t>
        </is>
      </c>
      <c r="V58" t="n">
        <v>2020</v>
      </c>
      <c r="W58" t="n">
        <v>1173</v>
      </c>
      <c r="X58" t="inlineStr">
        <is>
          <t>сен.25</t>
        </is>
      </c>
      <c r="Y58" t="n">
        <v>29</v>
      </c>
      <c r="Z58" t="n">
        <v>29</v>
      </c>
      <c r="AA58" t="n">
        <v>63</v>
      </c>
      <c r="AB58" t="n">
        <v>64</v>
      </c>
      <c r="AC58" s="72" t="inlineStr">
        <is>
          <t> </t>
        </is>
      </c>
      <c r="AD58" t="n">
        <v>746788</v>
      </c>
      <c r="AE58" t="inlineStr">
        <is>
          <t>0029</t>
        </is>
      </c>
      <c r="AF58" t="n">
        <v>2020</v>
      </c>
      <c r="AG58" t="n">
        <v>1173</v>
      </c>
      <c r="AH58" t="inlineStr">
        <is>
          <t>сен.25</t>
        </is>
      </c>
      <c r="AI58" t="n">
        <v>29</v>
      </c>
      <c r="AJ58" t="n">
        <v>30</v>
      </c>
      <c r="AK58" t="n">
        <v>63</v>
      </c>
      <c r="AL58" t="n">
        <v>63</v>
      </c>
      <c r="AM58" s="72" t="inlineStr">
        <is>
          <t> </t>
        </is>
      </c>
      <c r="AN58" t="n">
        <v>746753</v>
      </c>
      <c r="AO58" t="inlineStr">
        <is>
          <t>0029</t>
        </is>
      </c>
      <c r="AP58" t="n">
        <v>2020</v>
      </c>
      <c r="AQ58" t="n">
        <v>1173</v>
      </c>
      <c r="AR58" t="inlineStr">
        <is>
          <t>сен.25</t>
        </is>
      </c>
      <c r="AS58" t="n">
        <v>29</v>
      </c>
      <c r="AT58" t="n">
        <v>29</v>
      </c>
      <c r="AU58" t="n">
        <v>63</v>
      </c>
      <c r="AV58" t="n">
        <v>64</v>
      </c>
      <c r="AW58" s="72" t="inlineStr">
        <is>
          <t> </t>
        </is>
      </c>
      <c r="AX58" t="n">
        <v>734696</v>
      </c>
      <c r="AY58" t="inlineStr">
        <is>
          <t>0029</t>
        </is>
      </c>
      <c r="AZ58" t="n">
        <v>2020</v>
      </c>
      <c r="BA58" t="n">
        <v>1173</v>
      </c>
      <c r="BB58" t="inlineStr">
        <is>
          <t>сен.25</t>
        </is>
      </c>
      <c r="BC58" t="n">
        <v>29</v>
      </c>
      <c r="BD58" t="n">
        <v>29</v>
      </c>
      <c r="BE58" t="n">
        <v>63</v>
      </c>
      <c r="BF58" t="n">
        <v>62</v>
      </c>
      <c r="BG58" s="72" t="inlineStr">
        <is>
          <t> </t>
        </is>
      </c>
      <c r="BH58" t="n">
        <v>26462</v>
      </c>
      <c r="BI58" t="n">
        <v>1275</v>
      </c>
      <c r="BJ58" t="n">
        <v>2020</v>
      </c>
      <c r="BM58" s="72" t="inlineStr">
        <is>
          <t> </t>
        </is>
      </c>
      <c r="BN58" t="n">
        <v>26724</v>
      </c>
      <c r="BO58" t="n">
        <v>1275</v>
      </c>
      <c r="BP58" t="n">
        <v>2020</v>
      </c>
      <c r="BS58" s="72" t="inlineStr">
        <is>
          <t> </t>
        </is>
      </c>
      <c r="BT58" t="n">
        <v>37203</v>
      </c>
      <c r="BU58" t="n">
        <v>1275</v>
      </c>
      <c r="BV58" t="n">
        <v>2020</v>
      </c>
      <c r="BY58" s="72" t="inlineStr">
        <is>
          <t> </t>
        </is>
      </c>
      <c r="BZ58" t="n">
        <v>41890</v>
      </c>
      <c r="CA58" t="n">
        <v>1275</v>
      </c>
      <c r="CB58" t="n">
        <v>2020</v>
      </c>
      <c r="CE58" s="72" t="inlineStr">
        <is>
          <t> </t>
        </is>
      </c>
      <c r="CF58" t="n">
        <v>41986</v>
      </c>
      <c r="CG58" t="n">
        <v>1275</v>
      </c>
      <c r="CH58" t="n">
        <v>2020</v>
      </c>
      <c r="CK58" s="72" t="inlineStr">
        <is>
          <t> </t>
        </is>
      </c>
      <c r="CL58" t="n">
        <v>41900</v>
      </c>
      <c r="CM58" t="n">
        <v>1275</v>
      </c>
      <c r="CN58" t="n">
        <v>2020</v>
      </c>
    </row>
    <row r="59">
      <c r="A59" t="n">
        <v>75163899</v>
      </c>
      <c r="B59" s="3" t="inlineStr">
        <is>
          <t>Цистерна для перевозки продуктов</t>
        </is>
      </c>
      <c r="C59" t="inlineStr">
        <is>
          <t>15-1219-1П</t>
        </is>
      </c>
      <c r="D59" t="inlineStr">
        <is>
          <t>29.09.2020</t>
        </is>
      </c>
      <c r="E59" t="n">
        <v>2020</v>
      </c>
      <c r="F59" t="inlineStr">
        <is>
          <t>29.09.2050</t>
        </is>
      </c>
      <c r="G59" t="inlineStr">
        <is>
          <t>14.10.2025</t>
        </is>
      </c>
      <c r="H59" t="inlineStr">
        <is>
          <t>ВРЗ Челябинск – филиал ООО "НВК"</t>
        </is>
      </c>
      <c r="K59" t="inlineStr">
        <is>
          <t>Деповской</t>
        </is>
      </c>
      <c r="L59" t="inlineStr">
        <is>
          <t>14.10.2027</t>
        </is>
      </c>
      <c r="M59" t="inlineStr">
        <is>
          <t>ООО "ТрансАльянс Запад"</t>
        </is>
      </c>
      <c r="N59" t="n">
        <v>160000</v>
      </c>
      <c r="O59" t="n">
        <v>26006</v>
      </c>
      <c r="P59" t="n">
        <v>133994</v>
      </c>
      <c r="Q59" t="inlineStr">
        <is>
          <t>21.07.2030</t>
        </is>
      </c>
      <c r="R59" t="inlineStr">
        <is>
          <t>14.10.2025</t>
        </is>
      </c>
      <c r="S59" s="72" t="inlineStr">
        <is>
          <t> </t>
        </is>
      </c>
      <c r="T59" t="n">
        <v>747121</v>
      </c>
      <c r="U59" t="inlineStr">
        <is>
          <t>0029</t>
        </is>
      </c>
      <c r="V59" t="n">
        <v>2020</v>
      </c>
      <c r="W59" t="n">
        <v>600</v>
      </c>
      <c r="X59" t="inlineStr">
        <is>
          <t>окт.25</t>
        </is>
      </c>
      <c r="Y59" t="n">
        <v>30</v>
      </c>
      <c r="Z59" t="n">
        <v>30</v>
      </c>
      <c r="AA59" t="n">
        <v>47</v>
      </c>
      <c r="AB59" t="n">
        <v>47</v>
      </c>
      <c r="AC59" s="72" t="inlineStr">
        <is>
          <t> </t>
        </is>
      </c>
      <c r="AD59" t="n">
        <v>444751</v>
      </c>
      <c r="AE59" t="inlineStr">
        <is>
          <t>0005</t>
        </is>
      </c>
      <c r="AF59" t="n">
        <v>2020</v>
      </c>
      <c r="AG59" t="n">
        <v>600</v>
      </c>
      <c r="AH59" t="inlineStr">
        <is>
          <t>окт.25</t>
        </is>
      </c>
      <c r="AI59" t="n">
        <v>30</v>
      </c>
      <c r="AJ59" t="n">
        <v>30</v>
      </c>
      <c r="AK59" t="n">
        <v>54</v>
      </c>
      <c r="AL59" t="n">
        <v>53</v>
      </c>
      <c r="AM59" s="72" t="inlineStr">
        <is>
          <t> </t>
        </is>
      </c>
      <c r="AN59" t="n">
        <v>745690</v>
      </c>
      <c r="AO59" t="inlineStr">
        <is>
          <t>0029</t>
        </is>
      </c>
      <c r="AP59" t="n">
        <v>2020</v>
      </c>
      <c r="AQ59" t="n">
        <v>600</v>
      </c>
      <c r="AR59" t="inlineStr">
        <is>
          <t>окт.25</t>
        </is>
      </c>
      <c r="AS59" t="n">
        <v>30</v>
      </c>
      <c r="AT59" t="n">
        <v>30</v>
      </c>
      <c r="AU59" t="n">
        <v>58</v>
      </c>
      <c r="AV59" t="n">
        <v>59</v>
      </c>
      <c r="AW59" s="72" t="inlineStr">
        <is>
          <t> </t>
        </is>
      </c>
      <c r="AX59" t="n">
        <v>731649</v>
      </c>
      <c r="AY59" t="inlineStr">
        <is>
          <t>0029</t>
        </is>
      </c>
      <c r="AZ59" t="n">
        <v>2020</v>
      </c>
      <c r="BA59" t="n">
        <v>600</v>
      </c>
      <c r="BB59" t="inlineStr">
        <is>
          <t>окт.25</t>
        </is>
      </c>
      <c r="BC59" t="n">
        <v>30</v>
      </c>
      <c r="BD59" t="n">
        <v>30</v>
      </c>
      <c r="BE59" t="n">
        <v>62</v>
      </c>
      <c r="BF59" t="n">
        <v>62</v>
      </c>
      <c r="BG59" s="72" t="inlineStr">
        <is>
          <t> </t>
        </is>
      </c>
      <c r="BH59" t="n">
        <v>26284</v>
      </c>
      <c r="BI59" t="n">
        <v>1275</v>
      </c>
      <c r="BJ59" t="n">
        <v>2020</v>
      </c>
      <c r="BM59" s="72" t="inlineStr">
        <is>
          <t> </t>
        </is>
      </c>
      <c r="BN59" t="n">
        <v>26222</v>
      </c>
      <c r="BO59" t="n">
        <v>1275</v>
      </c>
      <c r="BP59" t="n">
        <v>2020</v>
      </c>
      <c r="BS59" s="72" t="inlineStr">
        <is>
          <t> </t>
        </is>
      </c>
      <c r="BT59" t="n">
        <v>43522</v>
      </c>
      <c r="BU59" t="n">
        <v>1275</v>
      </c>
      <c r="BV59" t="n">
        <v>2020</v>
      </c>
      <c r="BY59" s="72" t="inlineStr">
        <is>
          <t> </t>
        </is>
      </c>
      <c r="BZ59" t="n">
        <v>43061</v>
      </c>
      <c r="CA59" t="n">
        <v>1275</v>
      </c>
      <c r="CB59" t="n">
        <v>2020</v>
      </c>
      <c r="CE59" s="72" t="inlineStr">
        <is>
          <t> </t>
        </is>
      </c>
      <c r="CF59" t="n">
        <v>43591</v>
      </c>
      <c r="CG59" t="n">
        <v>1275</v>
      </c>
      <c r="CH59" t="n">
        <v>2020</v>
      </c>
      <c r="CK59" s="72" t="inlineStr">
        <is>
          <t> </t>
        </is>
      </c>
      <c r="CL59" t="n">
        <v>42700</v>
      </c>
      <c r="CM59" t="n">
        <v>1275</v>
      </c>
      <c r="CN59" t="n">
        <v>2020</v>
      </c>
    </row>
    <row r="60">
      <c r="A60" t="n">
        <v>75165191</v>
      </c>
      <c r="B60" s="3" t="inlineStr">
        <is>
          <t>Цистерна для перевозки продуктов</t>
        </is>
      </c>
      <c r="C60" t="inlineStr">
        <is>
          <t>15-1219-1П</t>
        </is>
      </c>
      <c r="D60" t="inlineStr">
        <is>
          <t>29.09.2020</t>
        </is>
      </c>
      <c r="E60" t="n">
        <v>2020</v>
      </c>
      <c r="F60" t="inlineStr">
        <is>
          <t>29.09.2050</t>
        </is>
      </c>
      <c r="G60" t="inlineStr">
        <is>
          <t>14.10.2025</t>
        </is>
      </c>
      <c r="H60" t="inlineStr">
        <is>
          <t>ВРЗ Челябинск – филиал ООО "НВК"</t>
        </is>
      </c>
      <c r="K60" t="inlineStr">
        <is>
          <t>Деповской</t>
        </is>
      </c>
      <c r="L60" t="inlineStr">
        <is>
          <t>14.10.2027</t>
        </is>
      </c>
      <c r="M60" t="inlineStr">
        <is>
          <t>ООО "ТрансАльянс Запад"</t>
        </is>
      </c>
      <c r="N60" t="n">
        <v>160000</v>
      </c>
      <c r="O60" t="n">
        <v>22560</v>
      </c>
      <c r="P60" t="n">
        <v>137440</v>
      </c>
      <c r="Q60" t="inlineStr">
        <is>
          <t>13.04.2031</t>
        </is>
      </c>
      <c r="R60" t="inlineStr">
        <is>
          <t>14.10.2025</t>
        </is>
      </c>
      <c r="S60" s="72" t="inlineStr">
        <is>
          <t> </t>
        </is>
      </c>
      <c r="T60" t="n">
        <v>746993</v>
      </c>
      <c r="U60" t="inlineStr">
        <is>
          <t>0029</t>
        </is>
      </c>
      <c r="V60" t="n">
        <v>2020</v>
      </c>
      <c r="W60" t="n">
        <v>600</v>
      </c>
      <c r="X60" t="inlineStr">
        <is>
          <t>окт.25</t>
        </is>
      </c>
      <c r="Y60" t="n">
        <v>30</v>
      </c>
      <c r="Z60" t="n">
        <v>30</v>
      </c>
      <c r="AA60" t="n">
        <v>54</v>
      </c>
      <c r="AB60" t="n">
        <v>54</v>
      </c>
      <c r="AC60" s="72" t="inlineStr">
        <is>
          <t> </t>
        </is>
      </c>
      <c r="AD60" t="n">
        <v>733312</v>
      </c>
      <c r="AE60" t="inlineStr">
        <is>
          <t>0029</t>
        </is>
      </c>
      <c r="AF60" t="n">
        <v>2020</v>
      </c>
      <c r="AG60" t="n">
        <v>600</v>
      </c>
      <c r="AH60" t="inlineStr">
        <is>
          <t>окт.25</t>
        </is>
      </c>
      <c r="AI60" t="n">
        <v>30</v>
      </c>
      <c r="AJ60" t="n">
        <v>30</v>
      </c>
      <c r="AK60" t="n">
        <v>56</v>
      </c>
      <c r="AL60" t="n">
        <v>56</v>
      </c>
      <c r="AM60" s="72" t="inlineStr">
        <is>
          <t> </t>
        </is>
      </c>
      <c r="AN60" t="n">
        <v>733288</v>
      </c>
      <c r="AO60" t="inlineStr">
        <is>
          <t>0029</t>
        </is>
      </c>
      <c r="AP60" t="n">
        <v>2020</v>
      </c>
      <c r="AQ60" t="n">
        <v>600</v>
      </c>
      <c r="AR60" t="inlineStr">
        <is>
          <t>окт.25</t>
        </is>
      </c>
      <c r="AS60" t="n">
        <v>30</v>
      </c>
      <c r="AT60" t="n">
        <v>30</v>
      </c>
      <c r="AU60" t="n">
        <v>57</v>
      </c>
      <c r="AV60" t="n">
        <v>57</v>
      </c>
      <c r="AW60" s="72" t="inlineStr">
        <is>
          <t> </t>
        </is>
      </c>
      <c r="AX60" t="n">
        <v>731202</v>
      </c>
      <c r="AY60" t="inlineStr">
        <is>
          <t>0029</t>
        </is>
      </c>
      <c r="AZ60" t="n">
        <v>2020</v>
      </c>
      <c r="BA60" t="n">
        <v>600</v>
      </c>
      <c r="BB60" t="inlineStr">
        <is>
          <t>окт.25</t>
        </is>
      </c>
      <c r="BC60" t="n">
        <v>30</v>
      </c>
      <c r="BD60" t="n">
        <v>30</v>
      </c>
      <c r="BE60" t="n">
        <v>57</v>
      </c>
      <c r="BF60" t="n">
        <v>57</v>
      </c>
      <c r="BG60" s="72" t="inlineStr">
        <is>
          <t> </t>
        </is>
      </c>
      <c r="BH60" t="n">
        <v>25908</v>
      </c>
      <c r="BI60" t="n">
        <v>1275</v>
      </c>
      <c r="BJ60" t="n">
        <v>2020</v>
      </c>
      <c r="BM60" s="72" t="inlineStr">
        <is>
          <t> </t>
        </is>
      </c>
      <c r="BN60" t="n">
        <v>25772</v>
      </c>
      <c r="BO60" t="n">
        <v>1275</v>
      </c>
      <c r="BP60" t="n">
        <v>2020</v>
      </c>
      <c r="BS60" s="72" t="inlineStr">
        <is>
          <t> </t>
        </is>
      </c>
      <c r="BT60" t="n">
        <v>28960</v>
      </c>
      <c r="BU60" t="n">
        <v>1275</v>
      </c>
      <c r="BV60" t="n">
        <v>2020</v>
      </c>
      <c r="BY60" s="72" t="inlineStr">
        <is>
          <t> </t>
        </is>
      </c>
      <c r="BZ60" t="n">
        <v>37655</v>
      </c>
      <c r="CA60" t="n">
        <v>1275</v>
      </c>
      <c r="CB60" t="n">
        <v>2020</v>
      </c>
      <c r="CE60" s="72" t="inlineStr">
        <is>
          <t> </t>
        </is>
      </c>
      <c r="CF60" t="n">
        <v>39082</v>
      </c>
      <c r="CG60" t="n">
        <v>1275</v>
      </c>
      <c r="CH60" t="n">
        <v>2020</v>
      </c>
      <c r="CK60" s="72" t="inlineStr">
        <is>
          <t> </t>
        </is>
      </c>
      <c r="CL60" t="n">
        <v>40830</v>
      </c>
      <c r="CM60" t="n">
        <v>1275</v>
      </c>
      <c r="CN60" t="n">
        <v>2020</v>
      </c>
    </row>
    <row r="61">
      <c r="A61" t="n">
        <v>75175596</v>
      </c>
      <c r="B61" s="3" t="inlineStr">
        <is>
          <t>Цистерна для перевозки продуктов</t>
        </is>
      </c>
      <c r="C61" t="inlineStr">
        <is>
          <t>15-1219-1П</t>
        </is>
      </c>
      <c r="D61" t="inlineStr">
        <is>
          <t>05.10.2020</t>
        </is>
      </c>
      <c r="E61" t="n">
        <v>2020</v>
      </c>
      <c r="F61" t="inlineStr">
        <is>
          <t>05.10.2050</t>
        </is>
      </c>
      <c r="G61" t="inlineStr">
        <is>
          <t>16.12.2025</t>
        </is>
      </c>
      <c r="H61" t="inlineStr">
        <is>
          <t>ВРД Кочетовка – филиал ООО "НВК"</t>
        </is>
      </c>
      <c r="K61" t="inlineStr">
        <is>
          <t>Деповской</t>
        </is>
      </c>
      <c r="L61" t="inlineStr">
        <is>
          <t>16.12.2027</t>
        </is>
      </c>
      <c r="M61" t="inlineStr">
        <is>
          <t>ООО "ТрансАльянс Запад"</t>
        </is>
      </c>
      <c r="N61" t="n">
        <v>160000</v>
      </c>
      <c r="O61" t="n">
        <v>27733</v>
      </c>
      <c r="P61" t="n">
        <v>132267</v>
      </c>
      <c r="Q61" t="inlineStr">
        <is>
          <t>07.06.2029</t>
        </is>
      </c>
      <c r="R61" t="inlineStr">
        <is>
          <t>16.12.2025</t>
        </is>
      </c>
      <c r="S61" s="72" t="inlineStr">
        <is>
          <t> </t>
        </is>
      </c>
      <c r="T61" t="n">
        <v>419148</v>
      </c>
      <c r="U61" t="inlineStr">
        <is>
          <t>0005</t>
        </is>
      </c>
      <c r="V61" t="n">
        <v>2020</v>
      </c>
      <c r="W61" t="n">
        <v>301</v>
      </c>
      <c r="X61" t="inlineStr">
        <is>
          <t>дек.25</t>
        </is>
      </c>
      <c r="Y61" t="n">
        <v>30</v>
      </c>
      <c r="Z61" t="n">
        <v>30</v>
      </c>
      <c r="AA61" t="n">
        <v>53</v>
      </c>
      <c r="AB61" t="n">
        <v>53</v>
      </c>
      <c r="AC61" s="72" t="inlineStr">
        <is>
          <t> </t>
        </is>
      </c>
      <c r="AD61" t="n">
        <v>302292</v>
      </c>
      <c r="AE61" t="inlineStr">
        <is>
          <t>0005</t>
        </is>
      </c>
      <c r="AF61" t="n">
        <v>2019</v>
      </c>
      <c r="AG61" t="n">
        <v>301</v>
      </c>
      <c r="AH61" t="inlineStr">
        <is>
          <t>дек.25</t>
        </is>
      </c>
      <c r="AI61" t="n">
        <v>30</v>
      </c>
      <c r="AJ61" t="n">
        <v>30</v>
      </c>
      <c r="AK61" t="n">
        <v>55</v>
      </c>
      <c r="AL61" t="n">
        <v>55</v>
      </c>
      <c r="AM61" s="72" t="inlineStr">
        <is>
          <t> </t>
        </is>
      </c>
      <c r="AN61" t="n">
        <v>302540</v>
      </c>
      <c r="AO61" t="inlineStr">
        <is>
          <t>0005</t>
        </is>
      </c>
      <c r="AP61" t="n">
        <v>2019</v>
      </c>
      <c r="AQ61" t="n">
        <v>301</v>
      </c>
      <c r="AR61" t="inlineStr">
        <is>
          <t>дек.25</t>
        </is>
      </c>
      <c r="AS61" t="n">
        <v>31</v>
      </c>
      <c r="AT61" t="n">
        <v>31</v>
      </c>
      <c r="AU61" t="n">
        <v>49</v>
      </c>
      <c r="AV61" t="n">
        <v>49</v>
      </c>
      <c r="AW61" s="72" t="inlineStr">
        <is>
          <t> </t>
        </is>
      </c>
      <c r="AX61" t="n">
        <v>302301</v>
      </c>
      <c r="AY61" t="inlineStr">
        <is>
          <t>0005</t>
        </is>
      </c>
      <c r="AZ61" t="n">
        <v>2019</v>
      </c>
      <c r="BA61" t="n">
        <v>301</v>
      </c>
      <c r="BB61" t="inlineStr">
        <is>
          <t>дек.25</t>
        </is>
      </c>
      <c r="BC61" t="n">
        <v>31</v>
      </c>
      <c r="BD61" t="n">
        <v>31</v>
      </c>
      <c r="BE61" t="n">
        <v>49</v>
      </c>
      <c r="BF61" t="n">
        <v>49</v>
      </c>
      <c r="BG61" s="72" t="inlineStr">
        <is>
          <t> </t>
        </is>
      </c>
      <c r="BH61" t="n">
        <v>26604</v>
      </c>
      <c r="BI61" t="n">
        <v>1275</v>
      </c>
      <c r="BJ61" t="n">
        <v>2020</v>
      </c>
      <c r="BM61" s="72" t="inlineStr">
        <is>
          <t> </t>
        </is>
      </c>
      <c r="BN61" t="n">
        <v>26376</v>
      </c>
      <c r="BO61" t="n">
        <v>1275</v>
      </c>
      <c r="BP61" t="n">
        <v>2020</v>
      </c>
      <c r="BS61" s="72" t="inlineStr">
        <is>
          <t> </t>
        </is>
      </c>
      <c r="BT61" t="n">
        <v>44838</v>
      </c>
      <c r="BU61" t="n">
        <v>1275</v>
      </c>
      <c r="BV61" t="n">
        <v>2020</v>
      </c>
      <c r="BY61" s="72" t="inlineStr">
        <is>
          <t> </t>
        </is>
      </c>
      <c r="BZ61" t="n">
        <v>44724</v>
      </c>
      <c r="CA61" t="n">
        <v>1275</v>
      </c>
      <c r="CB61" t="n">
        <v>2020</v>
      </c>
      <c r="CE61" s="72" t="inlineStr">
        <is>
          <t> </t>
        </is>
      </c>
      <c r="CF61" t="n">
        <v>44690</v>
      </c>
      <c r="CG61" t="n">
        <v>1275</v>
      </c>
      <c r="CH61" t="n">
        <v>2020</v>
      </c>
      <c r="CK61" s="72" t="inlineStr">
        <is>
          <t> </t>
        </is>
      </c>
      <c r="CL61" t="n">
        <v>44697</v>
      </c>
      <c r="CM61" t="n">
        <v>1275</v>
      </c>
      <c r="CN61" t="n">
        <v>2020</v>
      </c>
    </row>
    <row r="62">
      <c r="A62" t="n">
        <v>75187393</v>
      </c>
      <c r="B62" s="3" t="inlineStr">
        <is>
          <t>Цистерна для перевозки продуктов</t>
        </is>
      </c>
      <c r="C62" t="inlineStr">
        <is>
          <t>15-1219-1П</t>
        </is>
      </c>
      <c r="D62" t="inlineStr">
        <is>
          <t>14.10.2020</t>
        </is>
      </c>
      <c r="E62" t="n">
        <v>2020</v>
      </c>
      <c r="F62" t="inlineStr">
        <is>
          <t>14.10.2050</t>
        </is>
      </c>
      <c r="G62" t="inlineStr">
        <is>
          <t>27.11.2025</t>
        </is>
      </c>
      <c r="H62" t="inlineStr">
        <is>
          <t>ВРД Зелецино - филиал ООО "НВК"</t>
        </is>
      </c>
      <c r="K62" t="inlineStr">
        <is>
          <t>Деповской</t>
        </is>
      </c>
      <c r="L62" t="inlineStr">
        <is>
          <t>27.11.2027</t>
        </is>
      </c>
      <c r="M62" t="inlineStr">
        <is>
          <t>ООО "ТрансАльянс Запад"</t>
        </is>
      </c>
      <c r="N62" t="n">
        <v>160000</v>
      </c>
      <c r="O62" t="n">
        <v>16855</v>
      </c>
      <c r="P62" t="n">
        <v>143145</v>
      </c>
      <c r="Q62" t="inlineStr">
        <is>
          <t>13.02.2032</t>
        </is>
      </c>
      <c r="R62" t="inlineStr">
        <is>
          <t>27.11.2025</t>
        </is>
      </c>
      <c r="S62" s="72" t="inlineStr">
        <is>
          <t> </t>
        </is>
      </c>
      <c r="T62" t="n">
        <v>447713</v>
      </c>
      <c r="U62" t="inlineStr">
        <is>
          <t>0005</t>
        </is>
      </c>
      <c r="V62" t="n">
        <v>2020</v>
      </c>
      <c r="W62" t="n">
        <v>1173</v>
      </c>
      <c r="X62" t="inlineStr">
        <is>
          <t>ноя.25</t>
        </is>
      </c>
      <c r="Y62" t="n">
        <v>30</v>
      </c>
      <c r="Z62" t="n">
        <v>30</v>
      </c>
      <c r="AA62" t="n">
        <v>62</v>
      </c>
      <c r="AB62" t="n">
        <v>64</v>
      </c>
      <c r="AC62" s="72" t="inlineStr">
        <is>
          <t> </t>
        </is>
      </c>
      <c r="AD62" t="n">
        <v>751815</v>
      </c>
      <c r="AE62" t="inlineStr">
        <is>
          <t>0029</t>
        </is>
      </c>
      <c r="AF62" t="n">
        <v>2020</v>
      </c>
      <c r="AG62" t="n">
        <v>1173</v>
      </c>
      <c r="AH62" t="inlineStr">
        <is>
          <t>ноя.25</t>
        </is>
      </c>
      <c r="AI62" t="n">
        <v>29</v>
      </c>
      <c r="AJ62" t="n">
        <v>30</v>
      </c>
      <c r="AK62" t="n">
        <v>62</v>
      </c>
      <c r="AL62" t="n">
        <v>60</v>
      </c>
      <c r="AM62" s="72" t="inlineStr">
        <is>
          <t> </t>
        </is>
      </c>
      <c r="AN62" t="n">
        <v>448186</v>
      </c>
      <c r="AO62" t="inlineStr">
        <is>
          <t>0005</t>
        </is>
      </c>
      <c r="AP62" t="n">
        <v>2020</v>
      </c>
      <c r="AQ62" t="n">
        <v>1173</v>
      </c>
      <c r="AR62" t="inlineStr">
        <is>
          <t>ноя.25</t>
        </is>
      </c>
      <c r="AS62" t="n">
        <v>30</v>
      </c>
      <c r="AT62" t="n">
        <v>30</v>
      </c>
      <c r="AU62" t="n">
        <v>58</v>
      </c>
      <c r="AV62" t="n">
        <v>57</v>
      </c>
      <c r="AW62" s="72" t="inlineStr">
        <is>
          <t> </t>
        </is>
      </c>
      <c r="AX62" t="n">
        <v>753569</v>
      </c>
      <c r="AY62" t="inlineStr">
        <is>
          <t>0029</t>
        </is>
      </c>
      <c r="AZ62" t="n">
        <v>2020</v>
      </c>
      <c r="BA62" t="n">
        <v>1173</v>
      </c>
      <c r="BB62" t="inlineStr">
        <is>
          <t>ноя.25</t>
        </is>
      </c>
      <c r="BC62" t="n">
        <v>30</v>
      </c>
      <c r="BD62" t="n">
        <v>29</v>
      </c>
      <c r="BE62" t="n">
        <v>57</v>
      </c>
      <c r="BF62" t="n">
        <v>58</v>
      </c>
      <c r="BG62" s="72" t="inlineStr">
        <is>
          <t> </t>
        </is>
      </c>
      <c r="BH62" t="n">
        <v>27644</v>
      </c>
      <c r="BI62" t="n">
        <v>1275</v>
      </c>
      <c r="BJ62" t="n">
        <v>2020</v>
      </c>
      <c r="BM62" s="72" t="inlineStr">
        <is>
          <t> </t>
        </is>
      </c>
      <c r="BN62" t="n">
        <v>27566</v>
      </c>
      <c r="BO62" t="n">
        <v>1275</v>
      </c>
      <c r="BP62" t="n">
        <v>2020</v>
      </c>
      <c r="BS62" s="72" t="inlineStr">
        <is>
          <t> </t>
        </is>
      </c>
      <c r="BT62" t="n">
        <v>45529</v>
      </c>
      <c r="BU62" t="n">
        <v>1275</v>
      </c>
      <c r="BV62" t="n">
        <v>2020</v>
      </c>
      <c r="BY62" s="72" t="inlineStr">
        <is>
          <t> </t>
        </is>
      </c>
      <c r="BZ62" t="n">
        <v>46180</v>
      </c>
      <c r="CA62" t="n">
        <v>1275</v>
      </c>
      <c r="CB62" t="n">
        <v>2020</v>
      </c>
      <c r="CE62" s="72" t="inlineStr">
        <is>
          <t> </t>
        </is>
      </c>
      <c r="CF62" t="n">
        <v>45672</v>
      </c>
      <c r="CG62" t="n">
        <v>1275</v>
      </c>
      <c r="CH62" t="n">
        <v>2020</v>
      </c>
      <c r="CK62" s="72" t="inlineStr">
        <is>
          <t> </t>
        </is>
      </c>
      <c r="CL62" t="n">
        <v>46470</v>
      </c>
      <c r="CM62" t="n">
        <v>1275</v>
      </c>
      <c r="CN62" t="n">
        <v>2020</v>
      </c>
    </row>
    <row r="63">
      <c r="A63" t="n">
        <v>75188698</v>
      </c>
      <c r="B63" s="3" t="inlineStr">
        <is>
          <t>Цистерна для перевозки продуктов</t>
        </is>
      </c>
      <c r="C63" t="inlineStr">
        <is>
          <t>15-1219-1П</t>
        </is>
      </c>
      <c r="D63" t="inlineStr">
        <is>
          <t>14.10.2020</t>
        </is>
      </c>
      <c r="E63" t="n">
        <v>2020</v>
      </c>
      <c r="F63" t="inlineStr">
        <is>
          <t>14.10.2050</t>
        </is>
      </c>
      <c r="G63" t="inlineStr">
        <is>
          <t>23.09.2025</t>
        </is>
      </c>
      <c r="H63" t="inlineStr">
        <is>
          <t>ВРД Зелецино - филиал ООО "НВК"</t>
        </is>
      </c>
      <c r="K63" t="inlineStr">
        <is>
          <t>Деповской</t>
        </is>
      </c>
      <c r="L63" t="inlineStr">
        <is>
          <t>23.09.2027</t>
        </is>
      </c>
      <c r="M63" t="inlineStr">
        <is>
          <t>ООО "ТрансАльянс Запад"</t>
        </is>
      </c>
      <c r="N63" t="n">
        <v>160000</v>
      </c>
      <c r="O63" t="n">
        <v>26582</v>
      </c>
      <c r="P63" t="n">
        <v>133418</v>
      </c>
      <c r="Q63" t="inlineStr">
        <is>
          <t>27.09.2030</t>
        </is>
      </c>
      <c r="R63" t="inlineStr">
        <is>
          <t>23.09.2025</t>
        </is>
      </c>
      <c r="S63" s="72" t="inlineStr">
        <is>
          <t> </t>
        </is>
      </c>
      <c r="T63" t="n">
        <v>749182</v>
      </c>
      <c r="U63" t="inlineStr">
        <is>
          <t>0029</t>
        </is>
      </c>
      <c r="V63" t="n">
        <v>2020</v>
      </c>
      <c r="W63" t="n">
        <v>1173</v>
      </c>
      <c r="X63" t="inlineStr">
        <is>
          <t>сен.25</t>
        </is>
      </c>
      <c r="Y63" t="n">
        <v>29</v>
      </c>
      <c r="Z63" t="n">
        <v>29</v>
      </c>
      <c r="AA63" t="n">
        <v>63</v>
      </c>
      <c r="AB63" t="n">
        <v>63</v>
      </c>
      <c r="AC63" s="72" t="inlineStr">
        <is>
          <t> </t>
        </is>
      </c>
      <c r="AD63" t="n">
        <v>749069</v>
      </c>
      <c r="AE63" t="inlineStr">
        <is>
          <t>0029</t>
        </is>
      </c>
      <c r="AF63" t="n">
        <v>2020</v>
      </c>
      <c r="AG63" t="n">
        <v>1173</v>
      </c>
      <c r="AH63" t="inlineStr">
        <is>
          <t>сен.25</t>
        </is>
      </c>
      <c r="AI63" t="n">
        <v>30</v>
      </c>
      <c r="AJ63" t="n">
        <v>30</v>
      </c>
      <c r="AK63" t="n">
        <v>59</v>
      </c>
      <c r="AL63" t="n">
        <v>60</v>
      </c>
      <c r="AM63" s="72" t="inlineStr">
        <is>
          <t> </t>
        </is>
      </c>
      <c r="AN63" t="n">
        <v>9773</v>
      </c>
      <c r="AO63" t="n">
        <v>2002</v>
      </c>
      <c r="AP63" t="n">
        <v>2020</v>
      </c>
      <c r="AQ63" t="n">
        <v>1173</v>
      </c>
      <c r="AR63" t="inlineStr">
        <is>
          <t>сен.25</t>
        </is>
      </c>
      <c r="AS63" t="n">
        <v>29</v>
      </c>
      <c r="AT63" t="n">
        <v>30</v>
      </c>
      <c r="AU63" t="n">
        <v>58</v>
      </c>
      <c r="AV63" t="n">
        <v>60</v>
      </c>
      <c r="AW63" s="72" t="inlineStr">
        <is>
          <t> </t>
        </is>
      </c>
      <c r="AX63" t="n">
        <v>444832</v>
      </c>
      <c r="AY63" t="inlineStr">
        <is>
          <t>0005</t>
        </is>
      </c>
      <c r="AZ63" t="n">
        <v>2020</v>
      </c>
      <c r="BA63" t="n">
        <v>1173</v>
      </c>
      <c r="BB63" t="inlineStr">
        <is>
          <t>сен.25</t>
        </is>
      </c>
      <c r="BC63" t="n">
        <v>30</v>
      </c>
      <c r="BD63" t="n">
        <v>29</v>
      </c>
      <c r="BE63" t="n">
        <v>61</v>
      </c>
      <c r="BF63" t="n">
        <v>62</v>
      </c>
      <c r="BG63" s="72" t="inlineStr">
        <is>
          <t> </t>
        </is>
      </c>
      <c r="BH63" t="n">
        <v>27629</v>
      </c>
      <c r="BI63" t="n">
        <v>1275</v>
      </c>
      <c r="BJ63" t="n">
        <v>2020</v>
      </c>
      <c r="BM63" s="72" t="inlineStr">
        <is>
          <t> </t>
        </is>
      </c>
      <c r="BN63" t="n">
        <v>27618</v>
      </c>
      <c r="BO63" t="n">
        <v>1275</v>
      </c>
      <c r="BP63" t="n">
        <v>2020</v>
      </c>
      <c r="BS63" s="72" t="inlineStr">
        <is>
          <t> </t>
        </is>
      </c>
      <c r="BT63" t="n">
        <v>45543</v>
      </c>
      <c r="BU63" t="n">
        <v>1275</v>
      </c>
      <c r="BV63" t="n">
        <v>2020</v>
      </c>
      <c r="BY63" s="72" t="inlineStr">
        <is>
          <t> </t>
        </is>
      </c>
      <c r="BZ63" t="n">
        <v>46196</v>
      </c>
      <c r="CA63" t="n">
        <v>1275</v>
      </c>
      <c r="CB63" t="n">
        <v>2020</v>
      </c>
      <c r="CE63" s="72" t="inlineStr">
        <is>
          <t> </t>
        </is>
      </c>
      <c r="CF63" t="n">
        <v>46115</v>
      </c>
      <c r="CG63" t="n">
        <v>1275</v>
      </c>
      <c r="CH63" t="n">
        <v>2020</v>
      </c>
      <c r="CK63" s="72" t="inlineStr">
        <is>
          <t> </t>
        </is>
      </c>
      <c r="CL63" t="n">
        <v>46214</v>
      </c>
      <c r="CM63" t="n">
        <v>1275</v>
      </c>
      <c r="CN63" t="n">
        <v>2020</v>
      </c>
    </row>
    <row r="64">
      <c r="A64" t="n">
        <v>75165597</v>
      </c>
      <c r="B64" s="3" t="inlineStr">
        <is>
          <t>Цистерна для перевозки продуктов</t>
        </is>
      </c>
      <c r="C64" t="inlineStr">
        <is>
          <t>15-1219-1П</t>
        </is>
      </c>
      <c r="D64" t="inlineStr">
        <is>
          <t>29.09.2020</t>
        </is>
      </c>
      <c r="E64" t="n">
        <v>2020</v>
      </c>
      <c r="F64" t="inlineStr">
        <is>
          <t>29.09.2050</t>
        </is>
      </c>
      <c r="G64" t="inlineStr">
        <is>
          <t>28.11.2025</t>
        </is>
      </c>
      <c r="H64" t="inlineStr">
        <is>
          <t>ВРД Зелецино - филиал ООО "НВК"</t>
        </is>
      </c>
      <c r="K64" t="inlineStr">
        <is>
          <t>Деповской</t>
        </is>
      </c>
      <c r="L64" t="inlineStr">
        <is>
          <t>28.11.2027</t>
        </is>
      </c>
      <c r="M64" t="inlineStr">
        <is>
          <t>ООО "ТрансАльянс Запад"</t>
        </is>
      </c>
      <c r="N64" t="n">
        <v>160000</v>
      </c>
      <c r="O64" t="n">
        <v>16761</v>
      </c>
      <c r="P64" t="n">
        <v>143239</v>
      </c>
      <c r="Q64" t="inlineStr">
        <is>
          <t>17.02.2032</t>
        </is>
      </c>
      <c r="R64" t="inlineStr">
        <is>
          <t>28.11.2025</t>
        </is>
      </c>
      <c r="S64" s="72" t="inlineStr">
        <is>
          <t> </t>
        </is>
      </c>
      <c r="T64" t="n">
        <v>419457</v>
      </c>
      <c r="U64" t="inlineStr">
        <is>
          <t>0005</t>
        </is>
      </c>
      <c r="V64" t="n">
        <v>2020</v>
      </c>
      <c r="W64" t="n">
        <v>1173</v>
      </c>
      <c r="X64" t="inlineStr">
        <is>
          <t>ноя.25</t>
        </is>
      </c>
      <c r="Y64" t="n">
        <v>30</v>
      </c>
      <c r="Z64" t="n">
        <v>31</v>
      </c>
      <c r="AA64" t="n">
        <v>57</v>
      </c>
      <c r="AB64" t="n">
        <v>57</v>
      </c>
      <c r="AC64" s="72" t="inlineStr">
        <is>
          <t> </t>
        </is>
      </c>
      <c r="AD64" t="n">
        <v>419207</v>
      </c>
      <c r="AE64" t="inlineStr">
        <is>
          <t>0005</t>
        </is>
      </c>
      <c r="AF64" t="n">
        <v>2020</v>
      </c>
      <c r="AG64" t="n">
        <v>1173</v>
      </c>
      <c r="AH64" t="inlineStr">
        <is>
          <t>ноя.25</t>
        </is>
      </c>
      <c r="AI64" t="n">
        <v>30</v>
      </c>
      <c r="AJ64" t="n">
        <v>30</v>
      </c>
      <c r="AK64" t="n">
        <v>61</v>
      </c>
      <c r="AL64" t="n">
        <v>60</v>
      </c>
      <c r="AM64" s="72" t="inlineStr">
        <is>
          <t> </t>
        </is>
      </c>
      <c r="AN64" t="n">
        <v>419383</v>
      </c>
      <c r="AO64" t="inlineStr">
        <is>
          <t>0005</t>
        </is>
      </c>
      <c r="AP64" t="n">
        <v>2020</v>
      </c>
      <c r="AQ64" t="n">
        <v>1173</v>
      </c>
      <c r="AR64" t="inlineStr">
        <is>
          <t>ноя.25</t>
        </is>
      </c>
      <c r="AS64" t="n">
        <v>30</v>
      </c>
      <c r="AT64" t="n">
        <v>30</v>
      </c>
      <c r="AU64" t="n">
        <v>54</v>
      </c>
      <c r="AV64" t="n">
        <v>55</v>
      </c>
      <c r="AW64" s="72" t="inlineStr">
        <is>
          <t> </t>
        </is>
      </c>
      <c r="AX64" t="n">
        <v>419427</v>
      </c>
      <c r="AY64" t="inlineStr">
        <is>
          <t>0005</t>
        </is>
      </c>
      <c r="AZ64" t="n">
        <v>2020</v>
      </c>
      <c r="BA64" t="n">
        <v>1173</v>
      </c>
      <c r="BB64" t="inlineStr">
        <is>
          <t>ноя.25</t>
        </is>
      </c>
      <c r="BC64" t="n">
        <v>30</v>
      </c>
      <c r="BD64" t="n">
        <v>30</v>
      </c>
      <c r="BE64" t="n">
        <v>59</v>
      </c>
      <c r="BF64" t="n">
        <v>59</v>
      </c>
      <c r="BG64" s="72" t="inlineStr">
        <is>
          <t> </t>
        </is>
      </c>
      <c r="BH64" t="n">
        <v>22856</v>
      </c>
      <c r="BI64" t="n">
        <v>1275</v>
      </c>
      <c r="BJ64" t="n">
        <v>2020</v>
      </c>
      <c r="BM64" s="72" t="inlineStr">
        <is>
          <t> </t>
        </is>
      </c>
      <c r="BN64" t="n">
        <v>22560</v>
      </c>
      <c r="BO64" t="n">
        <v>1275</v>
      </c>
      <c r="BP64" t="n">
        <v>2020</v>
      </c>
      <c r="BS64" s="72" t="inlineStr">
        <is>
          <t> </t>
        </is>
      </c>
      <c r="BT64" t="n">
        <v>43361</v>
      </c>
      <c r="BU64" t="n">
        <v>1275</v>
      </c>
      <c r="BV64" t="n">
        <v>2020</v>
      </c>
      <c r="BY64" s="72" t="inlineStr">
        <is>
          <t> </t>
        </is>
      </c>
      <c r="BZ64" t="n">
        <v>43721</v>
      </c>
      <c r="CA64" t="n">
        <v>1275</v>
      </c>
      <c r="CB64" t="n">
        <v>2020</v>
      </c>
      <c r="CE64" s="72" t="inlineStr">
        <is>
          <t> </t>
        </is>
      </c>
      <c r="CF64" t="n">
        <v>43172</v>
      </c>
      <c r="CG64" t="n">
        <v>1275</v>
      </c>
      <c r="CH64" t="n">
        <v>2020</v>
      </c>
      <c r="CK64" s="72" t="inlineStr">
        <is>
          <t> </t>
        </is>
      </c>
      <c r="CL64" t="n">
        <v>43786</v>
      </c>
      <c r="CM64" t="n">
        <v>1275</v>
      </c>
      <c r="CN64" t="n">
        <v>2020</v>
      </c>
    </row>
    <row r="65">
      <c r="A65" t="n">
        <v>75164392</v>
      </c>
      <c r="B65" s="3" t="inlineStr">
        <is>
          <t>Цистерна для перевозки продуктов</t>
        </is>
      </c>
      <c r="C65" t="inlineStr">
        <is>
          <t>15-1219-1П</t>
        </is>
      </c>
      <c r="D65" t="inlineStr">
        <is>
          <t>29.09.2020</t>
        </is>
      </c>
      <c r="E65" t="n">
        <v>2020</v>
      </c>
      <c r="F65" t="inlineStr">
        <is>
          <t>29.09.2050</t>
        </is>
      </c>
      <c r="G65" t="inlineStr">
        <is>
          <t>15.01.2026</t>
        </is>
      </c>
      <c r="H65" t="inlineStr">
        <is>
          <t>ВРД Зелецино - филиал ООО "НВК"</t>
        </is>
      </c>
      <c r="K65" t="inlineStr">
        <is>
          <t>Деповской</t>
        </is>
      </c>
      <c r="L65" t="inlineStr">
        <is>
          <t>15.01.2028</t>
        </is>
      </c>
      <c r="M65" t="inlineStr">
        <is>
          <t>ООО "ТрансАльянс Запад"</t>
        </is>
      </c>
      <c r="N65" t="n">
        <v>160000</v>
      </c>
      <c r="O65" t="n">
        <v>24113</v>
      </c>
      <c r="P65" t="n">
        <v>135887</v>
      </c>
      <c r="Q65" t="inlineStr">
        <is>
          <t>29.06.2029</t>
        </is>
      </c>
      <c r="R65" t="inlineStr">
        <is>
          <t>15.01.2026</t>
        </is>
      </c>
      <c r="S65" s="72" t="inlineStr">
        <is>
          <t> </t>
        </is>
      </c>
      <c r="T65" t="n">
        <v>746188</v>
      </c>
      <c r="U65" t="inlineStr">
        <is>
          <t>0029</t>
        </is>
      </c>
      <c r="V65" t="n">
        <v>2020</v>
      </c>
      <c r="W65" t="n">
        <v>1173</v>
      </c>
      <c r="X65" t="inlineStr">
        <is>
          <t>янв.26</t>
        </is>
      </c>
      <c r="Y65" t="n">
        <v>29</v>
      </c>
      <c r="Z65" t="n">
        <v>30</v>
      </c>
      <c r="AA65" t="n">
        <v>59</v>
      </c>
      <c r="AB65" t="n">
        <v>59</v>
      </c>
      <c r="AC65" s="72" t="inlineStr">
        <is>
          <t> </t>
        </is>
      </c>
      <c r="AD65" t="n">
        <v>728819</v>
      </c>
      <c r="AE65" t="inlineStr">
        <is>
          <t>0029</t>
        </is>
      </c>
      <c r="AF65" t="n">
        <v>2020</v>
      </c>
      <c r="AG65" t="n">
        <v>1173</v>
      </c>
      <c r="AH65" t="inlineStr">
        <is>
          <t>янв.26</t>
        </is>
      </c>
      <c r="AI65" t="n">
        <v>30</v>
      </c>
      <c r="AJ65" t="n">
        <v>29</v>
      </c>
      <c r="AK65" t="n">
        <v>60</v>
      </c>
      <c r="AL65" t="n">
        <v>60</v>
      </c>
      <c r="AM65" s="72" t="inlineStr">
        <is>
          <t> </t>
        </is>
      </c>
      <c r="AN65" t="n">
        <v>444912</v>
      </c>
      <c r="AO65" t="inlineStr">
        <is>
          <t>0005</t>
        </is>
      </c>
      <c r="AP65" t="n">
        <v>2020</v>
      </c>
      <c r="AQ65" t="n">
        <v>1173</v>
      </c>
      <c r="AR65" t="inlineStr">
        <is>
          <t>янв.26</t>
        </is>
      </c>
      <c r="AS65" t="n">
        <v>30</v>
      </c>
      <c r="AT65" t="n">
        <v>29</v>
      </c>
      <c r="AU65" t="n">
        <v>56</v>
      </c>
      <c r="AV65" t="n">
        <v>56</v>
      </c>
      <c r="AW65" s="72" t="inlineStr">
        <is>
          <t> </t>
        </is>
      </c>
      <c r="AX65" t="n">
        <v>747213</v>
      </c>
      <c r="AY65" t="inlineStr">
        <is>
          <t>0029</t>
        </is>
      </c>
      <c r="AZ65" t="n">
        <v>2020</v>
      </c>
      <c r="BA65" t="n">
        <v>1173</v>
      </c>
      <c r="BB65" t="inlineStr">
        <is>
          <t>янв.26</t>
        </is>
      </c>
      <c r="BC65" t="n">
        <v>30</v>
      </c>
      <c r="BD65" t="n">
        <v>30</v>
      </c>
      <c r="BE65" t="n">
        <v>57</v>
      </c>
      <c r="BF65" t="n">
        <v>57</v>
      </c>
      <c r="BG65" s="72" t="inlineStr">
        <is>
          <t> </t>
        </is>
      </c>
      <c r="BH65" t="n">
        <v>25993</v>
      </c>
      <c r="BI65" t="n">
        <v>1275</v>
      </c>
      <c r="BJ65" t="n">
        <v>2020</v>
      </c>
      <c r="BM65" s="72" t="inlineStr">
        <is>
          <t> </t>
        </is>
      </c>
      <c r="BN65" t="n">
        <v>24731</v>
      </c>
      <c r="BO65" t="n">
        <v>1275</v>
      </c>
      <c r="BP65" t="n">
        <v>2020</v>
      </c>
      <c r="BS65" s="72" t="inlineStr">
        <is>
          <t> </t>
        </is>
      </c>
      <c r="BT65" t="n">
        <v>42740</v>
      </c>
      <c r="BU65" t="n">
        <v>1275</v>
      </c>
      <c r="BV65" t="n">
        <v>2020</v>
      </c>
      <c r="BY65" s="72" t="inlineStr">
        <is>
          <t> </t>
        </is>
      </c>
      <c r="BZ65" t="n">
        <v>43658</v>
      </c>
      <c r="CA65" t="n">
        <v>1275</v>
      </c>
      <c r="CB65" t="n">
        <v>2020</v>
      </c>
      <c r="CE65" s="72" t="inlineStr">
        <is>
          <t> </t>
        </is>
      </c>
      <c r="CF65" t="n">
        <v>43451</v>
      </c>
      <c r="CG65" t="n">
        <v>1275</v>
      </c>
      <c r="CH65" t="n">
        <v>2020</v>
      </c>
      <c r="CK65" s="72" t="inlineStr">
        <is>
          <t> </t>
        </is>
      </c>
      <c r="CL65" t="n">
        <v>43204</v>
      </c>
      <c r="CM65" t="n">
        <v>1275</v>
      </c>
      <c r="CN65" t="n">
        <v>2020</v>
      </c>
    </row>
    <row r="66">
      <c r="A66" t="n">
        <v>77221786</v>
      </c>
      <c r="B66" s="3" t="inlineStr">
        <is>
          <t>Цистерна для перевозки продуктов</t>
        </is>
      </c>
      <c r="C66" t="inlineStr">
        <is>
          <t>15-5103-7П</t>
        </is>
      </c>
      <c r="D66" t="inlineStr">
        <is>
          <t>05.09.2011</t>
        </is>
      </c>
      <c r="E66" t="n">
        <v>2011</v>
      </c>
      <c r="F66" t="inlineStr">
        <is>
          <t>05.09.2043</t>
        </is>
      </c>
      <c r="G66" t="inlineStr">
        <is>
          <t>30.01.2023</t>
        </is>
      </c>
      <c r="H66" t="inlineStr">
        <is>
          <t>ВРД Кочетовка – филиал ООО "НВК"</t>
        </is>
      </c>
      <c r="I66" t="inlineStr">
        <is>
          <t>27.08.2025</t>
        </is>
      </c>
      <c r="J66" t="inlineStr">
        <is>
          <t>ВРЗ Челябинск – филиал ООО "НВК"</t>
        </is>
      </c>
      <c r="K66" t="inlineStr">
        <is>
          <t>Деповской</t>
        </is>
      </c>
      <c r="L66" t="inlineStr">
        <is>
          <t>27.08.2028</t>
        </is>
      </c>
      <c r="M66" t="inlineStr">
        <is>
          <t>ООО "ТрансАльянс Запад"</t>
        </is>
      </c>
      <c r="N66" t="n">
        <v>160000</v>
      </c>
      <c r="O66" t="n">
        <v>32538</v>
      </c>
      <c r="P66" t="n">
        <v>127462</v>
      </c>
      <c r="Q66" t="inlineStr">
        <is>
          <t>10.02.2030</t>
        </is>
      </c>
      <c r="R66" t="inlineStr">
        <is>
          <t>27.08.2025</t>
        </is>
      </c>
      <c r="S66" s="72" t="inlineStr">
        <is>
          <t> </t>
        </is>
      </c>
      <c r="T66" t="n">
        <v>89405</v>
      </c>
      <c r="U66" t="n">
        <v>1175</v>
      </c>
      <c r="V66" t="n">
        <v>2010</v>
      </c>
      <c r="W66" t="n">
        <v>600</v>
      </c>
      <c r="X66" t="inlineStr">
        <is>
          <t>авг.25</t>
        </is>
      </c>
      <c r="Y66" t="n">
        <v>30</v>
      </c>
      <c r="Z66" t="n">
        <v>30</v>
      </c>
      <c r="AA66" t="n">
        <v>68</v>
      </c>
      <c r="AB66" t="n">
        <v>69</v>
      </c>
      <c r="AC66" s="72" t="inlineStr">
        <is>
          <t> </t>
        </is>
      </c>
      <c r="AD66" t="n">
        <v>285203</v>
      </c>
      <c r="AE66" t="inlineStr">
        <is>
          <t>0005</t>
        </is>
      </c>
      <c r="AF66" t="n">
        <v>2011</v>
      </c>
      <c r="AG66" t="n">
        <v>600</v>
      </c>
      <c r="AH66" t="inlineStr">
        <is>
          <t>авг.25</t>
        </is>
      </c>
      <c r="AI66" t="n">
        <v>30</v>
      </c>
      <c r="AJ66" t="n">
        <v>30</v>
      </c>
      <c r="AK66" t="n">
        <v>68</v>
      </c>
      <c r="AL66" t="n">
        <v>68</v>
      </c>
      <c r="AM66" s="72" t="inlineStr">
        <is>
          <t> </t>
        </is>
      </c>
      <c r="AN66" t="n">
        <v>8283</v>
      </c>
      <c r="AO66" t="n">
        <v>1175</v>
      </c>
      <c r="AP66" t="n">
        <v>2001</v>
      </c>
      <c r="AQ66" t="n">
        <v>600</v>
      </c>
      <c r="AR66" t="inlineStr">
        <is>
          <t>авг.25</t>
        </is>
      </c>
      <c r="AS66" t="n">
        <v>30</v>
      </c>
      <c r="AT66" t="n">
        <v>30</v>
      </c>
      <c r="AU66" t="n">
        <v>69</v>
      </c>
      <c r="AV66" t="n">
        <v>68</v>
      </c>
      <c r="AW66" s="72" t="inlineStr">
        <is>
          <t> </t>
        </is>
      </c>
      <c r="AX66" t="n">
        <v>277301</v>
      </c>
      <c r="AY66" t="inlineStr">
        <is>
          <t>0005</t>
        </is>
      </c>
      <c r="AZ66" t="n">
        <v>2011</v>
      </c>
      <c r="BA66" t="n">
        <v>600</v>
      </c>
      <c r="BB66" t="inlineStr">
        <is>
          <t>авг.25</t>
        </is>
      </c>
      <c r="BC66" t="n">
        <v>30</v>
      </c>
      <c r="BD66" t="n">
        <v>30</v>
      </c>
      <c r="BE66" t="n">
        <v>68</v>
      </c>
      <c r="BF66" t="n">
        <v>68</v>
      </c>
      <c r="BG66" s="72" t="inlineStr">
        <is>
          <t> </t>
        </is>
      </c>
      <c r="BH66" t="n">
        <v>36619</v>
      </c>
      <c r="BI66" t="inlineStr">
        <is>
          <t>0005</t>
        </is>
      </c>
      <c r="BJ66" t="n">
        <v>2011</v>
      </c>
      <c r="BM66" s="72" t="inlineStr">
        <is>
          <t> </t>
        </is>
      </c>
      <c r="BN66" t="n">
        <v>36921</v>
      </c>
      <c r="BO66" t="inlineStr">
        <is>
          <t>0005</t>
        </is>
      </c>
      <c r="BP66" t="n">
        <v>2011</v>
      </c>
      <c r="BS66" s="72" t="inlineStr">
        <is>
          <t> </t>
        </is>
      </c>
      <c r="BT66" t="n">
        <v>64381</v>
      </c>
      <c r="BU66" t="inlineStr">
        <is>
          <t>0005</t>
        </is>
      </c>
      <c r="BV66" t="n">
        <v>2011</v>
      </c>
      <c r="BY66" s="72" t="inlineStr">
        <is>
          <t> </t>
        </is>
      </c>
      <c r="BZ66" t="n">
        <v>64614</v>
      </c>
      <c r="CA66" t="inlineStr">
        <is>
          <t>0005</t>
        </is>
      </c>
      <c r="CB66" t="n">
        <v>2011</v>
      </c>
      <c r="CE66" s="72" t="inlineStr">
        <is>
          <t> </t>
        </is>
      </c>
      <c r="CF66" t="n">
        <v>65006</v>
      </c>
      <c r="CG66" t="inlineStr">
        <is>
          <t>0005</t>
        </is>
      </c>
      <c r="CH66" t="n">
        <v>2011</v>
      </c>
      <c r="CK66" s="72" t="inlineStr">
        <is>
          <t> </t>
        </is>
      </c>
      <c r="CL66" t="n">
        <v>62393</v>
      </c>
      <c r="CM66" t="inlineStr">
        <is>
          <t>0005</t>
        </is>
      </c>
      <c r="CN66" t="n">
        <v>2011</v>
      </c>
    </row>
    <row r="67">
      <c r="A67" t="n">
        <v>77205748</v>
      </c>
      <c r="B67" s="3" t="inlineStr">
        <is>
          <t>Цистерна для перевозки продуктов</t>
        </is>
      </c>
      <c r="C67" t="inlineStr">
        <is>
          <t>15-1755П</t>
        </is>
      </c>
      <c r="D67" t="inlineStr">
        <is>
          <t>20.06.2013</t>
        </is>
      </c>
      <c r="E67" t="n">
        <v>2013</v>
      </c>
      <c r="F67" t="inlineStr">
        <is>
          <t>20.06.2043</t>
        </is>
      </c>
      <c r="G67" t="inlineStr">
        <is>
          <t>20.08.2025</t>
        </is>
      </c>
      <c r="H67" t="inlineStr">
        <is>
          <t>Орский ВРЗ-филиал ООО "НВК"</t>
        </is>
      </c>
      <c r="I67" t="inlineStr">
        <is>
          <t>23.01.2024</t>
        </is>
      </c>
      <c r="J67" t="inlineStr">
        <is>
          <t>ВЧД Унеча-ООО "НВК"</t>
        </is>
      </c>
      <c r="K67" t="inlineStr">
        <is>
          <t>Деповской</t>
        </is>
      </c>
      <c r="L67" t="inlineStr">
        <is>
          <t>20.08.2027</t>
        </is>
      </c>
      <c r="M67" t="inlineStr">
        <is>
          <t>ООО "ТрансАльянс Запад"</t>
        </is>
      </c>
      <c r="N67" t="n">
        <v>160000</v>
      </c>
      <c r="O67" t="n">
        <v>37765</v>
      </c>
      <c r="P67" t="n">
        <v>122235</v>
      </c>
      <c r="Q67" t="inlineStr">
        <is>
          <t>22.07.2029</t>
        </is>
      </c>
      <c r="R67" t="inlineStr">
        <is>
          <t>20.08.2025</t>
        </is>
      </c>
      <c r="S67" s="72" t="inlineStr">
        <is>
          <t> </t>
        </is>
      </c>
      <c r="T67" t="n">
        <v>443241</v>
      </c>
      <c r="U67" t="inlineStr">
        <is>
          <t>0029</t>
        </is>
      </c>
      <c r="V67" t="n">
        <v>2013</v>
      </c>
      <c r="W67" t="n">
        <v>2348</v>
      </c>
      <c r="X67" t="inlineStr">
        <is>
          <t>авг.25</t>
        </is>
      </c>
      <c r="Y67" t="n">
        <v>30</v>
      </c>
      <c r="Z67" t="n">
        <v>30</v>
      </c>
      <c r="AA67" t="n">
        <v>60</v>
      </c>
      <c r="AB67" t="n">
        <v>60</v>
      </c>
      <c r="AC67" s="72" t="inlineStr">
        <is>
          <t> </t>
        </is>
      </c>
      <c r="AD67" t="n">
        <v>370515</v>
      </c>
      <c r="AE67" t="inlineStr">
        <is>
          <t>0029</t>
        </is>
      </c>
      <c r="AF67" t="n">
        <v>2012</v>
      </c>
      <c r="AG67" t="n">
        <v>2348</v>
      </c>
      <c r="AH67" t="inlineStr">
        <is>
          <t>авг.25</t>
        </is>
      </c>
      <c r="AI67" t="n">
        <v>30</v>
      </c>
      <c r="AJ67" t="n">
        <v>30</v>
      </c>
      <c r="AK67" t="n">
        <v>61</v>
      </c>
      <c r="AL67" t="n">
        <v>61</v>
      </c>
      <c r="AM67" s="72" t="inlineStr">
        <is>
          <t> </t>
        </is>
      </c>
      <c r="AN67" t="n">
        <v>447128</v>
      </c>
      <c r="AO67" t="inlineStr">
        <is>
          <t>0029</t>
        </is>
      </c>
      <c r="AP67" t="n">
        <v>2013</v>
      </c>
      <c r="AQ67" t="n">
        <v>2348</v>
      </c>
      <c r="AR67" t="inlineStr">
        <is>
          <t>авг.25</t>
        </is>
      </c>
      <c r="AS67" t="n">
        <v>30</v>
      </c>
      <c r="AT67" t="n">
        <v>30</v>
      </c>
      <c r="AU67" t="n">
        <v>62</v>
      </c>
      <c r="AV67" t="n">
        <v>62</v>
      </c>
      <c r="AW67" s="72" t="inlineStr">
        <is>
          <t> </t>
        </is>
      </c>
      <c r="AX67" t="n">
        <v>381216</v>
      </c>
      <c r="AY67" t="inlineStr">
        <is>
          <t>0029</t>
        </is>
      </c>
      <c r="AZ67" t="n">
        <v>2012</v>
      </c>
      <c r="BA67" t="n">
        <v>2348</v>
      </c>
      <c r="BB67" t="inlineStr">
        <is>
          <t>авг.25</t>
        </is>
      </c>
      <c r="BC67" t="n">
        <v>30</v>
      </c>
      <c r="BD67" t="n">
        <v>30</v>
      </c>
      <c r="BE67" t="n">
        <v>64</v>
      </c>
      <c r="BF67" t="n">
        <v>64</v>
      </c>
      <c r="BG67" s="72" t="inlineStr">
        <is>
          <t> </t>
        </is>
      </c>
      <c r="BH67" t="n">
        <v>14087</v>
      </c>
      <c r="BI67" t="n">
        <v>1291</v>
      </c>
      <c r="BJ67" t="n">
        <v>2013</v>
      </c>
      <c r="BM67" s="72" t="inlineStr">
        <is>
          <t> </t>
        </is>
      </c>
      <c r="BN67" t="n">
        <v>15433</v>
      </c>
      <c r="BO67" t="n">
        <v>1291</v>
      </c>
      <c r="BP67" t="n">
        <v>2013</v>
      </c>
      <c r="BS67" s="72" t="inlineStr">
        <is>
          <t> </t>
        </is>
      </c>
      <c r="BT67" t="n">
        <v>39407</v>
      </c>
      <c r="BU67" t="n">
        <v>1291</v>
      </c>
      <c r="BV67" t="n">
        <v>2013</v>
      </c>
      <c r="BY67" s="72" t="inlineStr">
        <is>
          <t> </t>
        </is>
      </c>
      <c r="BZ67" t="n">
        <v>43956</v>
      </c>
      <c r="CA67" t="n">
        <v>1291</v>
      </c>
      <c r="CB67" t="n">
        <v>2013</v>
      </c>
      <c r="CE67" s="72" t="inlineStr">
        <is>
          <t> </t>
        </is>
      </c>
      <c r="CF67" t="n">
        <v>203132</v>
      </c>
      <c r="CG67" t="n">
        <v>1291</v>
      </c>
      <c r="CH67" t="n">
        <v>2013</v>
      </c>
      <c r="CK67" s="72" t="inlineStr">
        <is>
          <t> </t>
        </is>
      </c>
      <c r="CL67" t="n">
        <v>44589</v>
      </c>
      <c r="CM67" t="n">
        <v>1291</v>
      </c>
      <c r="CN67" t="n">
        <v>2013</v>
      </c>
    </row>
    <row r="68">
      <c r="A68" t="n">
        <v>77205847</v>
      </c>
      <c r="B68" s="3" t="inlineStr">
        <is>
          <t>Цистерна для перевозки продуктов</t>
        </is>
      </c>
      <c r="C68" t="inlineStr">
        <is>
          <t>15-1755П</t>
        </is>
      </c>
      <c r="D68" t="inlineStr">
        <is>
          <t>20.06.2013</t>
        </is>
      </c>
      <c r="E68" t="n">
        <v>2013</v>
      </c>
      <c r="F68" t="inlineStr">
        <is>
          <t>20.06.2043</t>
        </is>
      </c>
      <c r="G68" t="inlineStr">
        <is>
          <t>30.05.2025</t>
        </is>
      </c>
      <c r="H68" t="inlineStr">
        <is>
          <t>ВРД Кочетовка – филиал ООО "НВК"</t>
        </is>
      </c>
      <c r="I68" t="inlineStr">
        <is>
          <t>28.07.2023</t>
        </is>
      </c>
      <c r="J68" t="inlineStr">
        <is>
          <t>ВЧД Унеча-ООО "НВК"</t>
        </is>
      </c>
      <c r="K68" t="inlineStr">
        <is>
          <t>Деповской</t>
        </is>
      </c>
      <c r="L68" t="inlineStr">
        <is>
          <t>30.05.2027</t>
        </is>
      </c>
      <c r="M68" t="inlineStr">
        <is>
          <t>ООО "ТрансАльянс Запад"</t>
        </is>
      </c>
      <c r="N68" t="n">
        <v>160000</v>
      </c>
      <c r="O68" t="n">
        <v>41004</v>
      </c>
      <c r="P68" t="n">
        <v>118996</v>
      </c>
      <c r="Q68" t="inlineStr">
        <is>
          <t>24.11.2029</t>
        </is>
      </c>
      <c r="R68" t="inlineStr">
        <is>
          <t>30.05.2025</t>
        </is>
      </c>
      <c r="S68" s="72" t="inlineStr">
        <is>
          <t> </t>
        </is>
      </c>
      <c r="T68" t="n">
        <v>447270</v>
      </c>
      <c r="U68" t="inlineStr">
        <is>
          <t>0029</t>
        </is>
      </c>
      <c r="V68" t="n">
        <v>2013</v>
      </c>
      <c r="W68" t="n">
        <v>301</v>
      </c>
      <c r="X68" t="inlineStr">
        <is>
          <t>май.25</t>
        </is>
      </c>
      <c r="Y68" t="n">
        <v>32</v>
      </c>
      <c r="Z68" t="n">
        <v>33</v>
      </c>
      <c r="AA68" t="n">
        <v>69</v>
      </c>
      <c r="AB68" t="n">
        <v>69</v>
      </c>
      <c r="AC68" s="72" t="inlineStr">
        <is>
          <t> </t>
        </is>
      </c>
      <c r="AD68" t="n">
        <v>434206</v>
      </c>
      <c r="AE68" t="inlineStr">
        <is>
          <t>0029</t>
        </is>
      </c>
      <c r="AF68" t="n">
        <v>2013</v>
      </c>
      <c r="AG68" t="n">
        <v>301</v>
      </c>
      <c r="AH68" t="inlineStr">
        <is>
          <t>май.25</t>
        </is>
      </c>
      <c r="AI68" t="n">
        <v>33</v>
      </c>
      <c r="AJ68" t="n">
        <v>33</v>
      </c>
      <c r="AK68" t="n">
        <v>69</v>
      </c>
      <c r="AL68" t="n">
        <v>69</v>
      </c>
      <c r="AM68" s="72" t="inlineStr">
        <is>
          <t> </t>
        </is>
      </c>
      <c r="AN68" t="n">
        <v>447274</v>
      </c>
      <c r="AO68" t="inlineStr">
        <is>
          <t>0029</t>
        </is>
      </c>
      <c r="AP68" t="n">
        <v>2013</v>
      </c>
      <c r="AQ68" t="n">
        <v>301</v>
      </c>
      <c r="AR68" t="inlineStr">
        <is>
          <t>май.25</t>
        </is>
      </c>
      <c r="AS68" t="n">
        <v>33</v>
      </c>
      <c r="AT68" t="n">
        <v>33</v>
      </c>
      <c r="AU68" t="n">
        <v>68</v>
      </c>
      <c r="AV68" t="n">
        <v>68</v>
      </c>
      <c r="AW68" s="72" t="inlineStr">
        <is>
          <t> </t>
        </is>
      </c>
      <c r="AX68" t="n">
        <v>442764</v>
      </c>
      <c r="AY68" t="inlineStr">
        <is>
          <t>0029</t>
        </is>
      </c>
      <c r="AZ68" t="n">
        <v>2013</v>
      </c>
      <c r="BA68" t="n">
        <v>301</v>
      </c>
      <c r="BB68" t="inlineStr">
        <is>
          <t>май.25</t>
        </is>
      </c>
      <c r="BC68" t="n">
        <v>33</v>
      </c>
      <c r="BD68" t="n">
        <v>33</v>
      </c>
      <c r="BE68" t="n">
        <v>67</v>
      </c>
      <c r="BF68" t="n">
        <v>67</v>
      </c>
      <c r="BG68" s="72" t="inlineStr">
        <is>
          <t> </t>
        </is>
      </c>
      <c r="BH68" t="n">
        <v>15855</v>
      </c>
      <c r="BI68" t="n">
        <v>1291</v>
      </c>
      <c r="BJ68" t="n">
        <v>2013</v>
      </c>
      <c r="BM68" s="72" t="inlineStr">
        <is>
          <t> </t>
        </is>
      </c>
      <c r="BN68" t="n">
        <v>15865</v>
      </c>
      <c r="BO68" t="n">
        <v>1291</v>
      </c>
      <c r="BP68" t="n">
        <v>2013</v>
      </c>
      <c r="BS68" s="72" t="inlineStr">
        <is>
          <t> </t>
        </is>
      </c>
      <c r="BT68" t="n">
        <v>45714</v>
      </c>
      <c r="BU68" t="n">
        <v>1291</v>
      </c>
      <c r="BV68" t="n">
        <v>2013</v>
      </c>
      <c r="BY68" s="72" t="inlineStr">
        <is>
          <t> </t>
        </is>
      </c>
      <c r="BZ68" t="n">
        <v>45439</v>
      </c>
      <c r="CA68" t="n">
        <v>1291</v>
      </c>
      <c r="CB68" t="n">
        <v>2013</v>
      </c>
      <c r="CE68" s="72" t="inlineStr">
        <is>
          <t> </t>
        </is>
      </c>
      <c r="CF68" t="n">
        <v>44848</v>
      </c>
      <c r="CG68" t="n">
        <v>1291</v>
      </c>
      <c r="CH68" t="n">
        <v>2013</v>
      </c>
      <c r="CK68" s="72" t="inlineStr">
        <is>
          <t> </t>
        </is>
      </c>
      <c r="CL68" t="n">
        <v>203125</v>
      </c>
      <c r="CM68" t="n">
        <v>1291</v>
      </c>
      <c r="CN68" t="n">
        <v>2013</v>
      </c>
    </row>
    <row r="69">
      <c r="A69" t="n">
        <v>77205946</v>
      </c>
      <c r="B69" s="3" t="inlineStr">
        <is>
          <t>Цистерна для перевозки продуктов</t>
        </is>
      </c>
      <c r="C69" t="inlineStr">
        <is>
          <t>15-1755П</t>
        </is>
      </c>
      <c r="D69" t="inlineStr">
        <is>
          <t>20.06.2013</t>
        </is>
      </c>
      <c r="E69" t="n">
        <v>2013</v>
      </c>
      <c r="F69" t="inlineStr">
        <is>
          <t>20.06.2043</t>
        </is>
      </c>
      <c r="G69" t="inlineStr">
        <is>
          <t>13.02.2026</t>
        </is>
      </c>
      <c r="H69" t="inlineStr">
        <is>
          <t>Усть-Каменогорское ВРД</t>
        </is>
      </c>
      <c r="I69" t="inlineStr">
        <is>
          <t>30.03.2024</t>
        </is>
      </c>
      <c r="J69" t="inlineStr">
        <is>
          <t>ВРД Кочетовка – филиал ООО "НВК"</t>
        </is>
      </c>
      <c r="K69" t="inlineStr">
        <is>
          <t>Деповской</t>
        </is>
      </c>
      <c r="L69" t="inlineStr">
        <is>
          <t>13.02.2028</t>
        </is>
      </c>
      <c r="M69" t="inlineStr">
        <is>
          <t>ООО "ТрансАльянс Запад"</t>
        </is>
      </c>
      <c r="N69" t="n">
        <v>160000</v>
      </c>
      <c r="O69" t="n">
        <v>15306</v>
      </c>
      <c r="P69" t="n">
        <v>144694</v>
      </c>
      <c r="Q69" t="inlineStr">
        <is>
          <t>23.09.2030</t>
        </is>
      </c>
      <c r="R69" t="inlineStr">
        <is>
          <t>03.03.2026</t>
        </is>
      </c>
      <c r="S69" s="72" t="inlineStr">
        <is>
          <t> </t>
        </is>
      </c>
      <c r="T69" t="n">
        <v>75030</v>
      </c>
      <c r="U69" t="inlineStr">
        <is>
          <t>0039</t>
        </is>
      </c>
      <c r="V69" t="n">
        <v>1995</v>
      </c>
      <c r="W69" t="n">
        <v>4045</v>
      </c>
      <c r="X69" t="inlineStr">
        <is>
          <t>мар.26</t>
        </is>
      </c>
      <c r="Y69" t="n">
        <v>0</v>
      </c>
      <c r="Z69" t="n">
        <v>0</v>
      </c>
      <c r="AA69" t="n">
        <v>76</v>
      </c>
      <c r="AB69" t="n">
        <v>76</v>
      </c>
      <c r="AC69" s="72" t="inlineStr">
        <is>
          <t> </t>
        </is>
      </c>
      <c r="AD69" t="n">
        <v>271454</v>
      </c>
      <c r="AE69" t="inlineStr">
        <is>
          <t>0005</t>
        </is>
      </c>
      <c r="AF69" t="n">
        <v>2008</v>
      </c>
      <c r="AG69" t="n">
        <v>4045</v>
      </c>
      <c r="AH69" t="inlineStr">
        <is>
          <t>мар.26</t>
        </is>
      </c>
      <c r="AI69" t="n">
        <v>0</v>
      </c>
      <c r="AJ69" t="n">
        <v>0</v>
      </c>
      <c r="AK69" t="n">
        <v>72</v>
      </c>
      <c r="AL69" t="n">
        <v>72</v>
      </c>
      <c r="AM69" s="72" t="inlineStr">
        <is>
          <t> </t>
        </is>
      </c>
      <c r="AN69" t="n">
        <v>36390</v>
      </c>
      <c r="AO69" t="n">
        <v>1175</v>
      </c>
      <c r="AP69" t="n">
        <v>2009</v>
      </c>
      <c r="AQ69" t="n">
        <v>4045</v>
      </c>
      <c r="AR69" t="inlineStr">
        <is>
          <t>мар.26</t>
        </is>
      </c>
      <c r="AS69" t="n">
        <v>0</v>
      </c>
      <c r="AT69" t="n">
        <v>0</v>
      </c>
      <c r="AU69" t="n">
        <v>72</v>
      </c>
      <c r="AV69" t="n">
        <v>72</v>
      </c>
      <c r="AW69" s="72" t="inlineStr">
        <is>
          <t> </t>
        </is>
      </c>
      <c r="AX69" t="n">
        <v>319365</v>
      </c>
      <c r="AY69" t="inlineStr">
        <is>
          <t>0039</t>
        </is>
      </c>
      <c r="AZ69" t="n">
        <v>1983</v>
      </c>
      <c r="BA69" t="n">
        <v>4045</v>
      </c>
      <c r="BB69" t="inlineStr">
        <is>
          <t>мар.26</t>
        </is>
      </c>
      <c r="BC69" t="n">
        <v>0</v>
      </c>
      <c r="BD69" t="n">
        <v>0</v>
      </c>
      <c r="BE69" t="n">
        <v>72</v>
      </c>
      <c r="BF69" t="n">
        <v>72</v>
      </c>
      <c r="BG69" s="72" t="inlineStr">
        <is>
          <t> </t>
        </is>
      </c>
      <c r="BH69" t="n">
        <v>15332</v>
      </c>
      <c r="BI69" t="n">
        <v>1291</v>
      </c>
      <c r="BJ69" t="n">
        <v>2013</v>
      </c>
      <c r="BM69" s="72" t="inlineStr">
        <is>
          <t> </t>
        </is>
      </c>
      <c r="BN69" t="n">
        <v>52255</v>
      </c>
      <c r="BO69" t="n">
        <v>1291</v>
      </c>
      <c r="BP69" t="n">
        <v>2013</v>
      </c>
      <c r="BS69" s="72" t="inlineStr">
        <is>
          <t> </t>
        </is>
      </c>
      <c r="BT69" t="n">
        <v>44028</v>
      </c>
      <c r="BU69" t="n">
        <v>1291</v>
      </c>
      <c r="BV69" t="n">
        <v>2013</v>
      </c>
      <c r="BY69" s="72" t="inlineStr">
        <is>
          <t> </t>
        </is>
      </c>
      <c r="BZ69" t="n">
        <v>42873</v>
      </c>
      <c r="CA69" t="n">
        <v>1291</v>
      </c>
      <c r="CB69" t="n">
        <v>2013</v>
      </c>
      <c r="CE69" s="72" t="inlineStr">
        <is>
          <t> </t>
        </is>
      </c>
      <c r="CF69" t="n">
        <v>40770</v>
      </c>
      <c r="CG69" t="n">
        <v>1291</v>
      </c>
      <c r="CH69" t="n">
        <v>2013</v>
      </c>
      <c r="CK69" s="72" t="inlineStr">
        <is>
          <t> </t>
        </is>
      </c>
      <c r="CL69" t="n">
        <v>41754</v>
      </c>
      <c r="CM69" t="n">
        <v>1291</v>
      </c>
      <c r="CN69" t="n">
        <v>2013</v>
      </c>
    </row>
    <row r="70">
      <c r="A70" t="n">
        <v>77221976</v>
      </c>
      <c r="B70" s="3" t="inlineStr">
        <is>
          <t>Цистерна для перевозки продуктов</t>
        </is>
      </c>
      <c r="C70" t="inlineStr">
        <is>
          <t>15-150-04П</t>
        </is>
      </c>
      <c r="D70" t="inlineStr">
        <is>
          <t>06.09.2011</t>
        </is>
      </c>
      <c r="E70" t="n">
        <v>2011</v>
      </c>
      <c r="F70" t="inlineStr">
        <is>
          <t>06.09.2043</t>
        </is>
      </c>
      <c r="G70" t="inlineStr">
        <is>
          <t>30.04.2023</t>
        </is>
      </c>
      <c r="H70" t="inlineStr">
        <is>
          <t>ВРД Кочетовка – филиал ООО "НВК"</t>
        </is>
      </c>
      <c r="I70" t="inlineStr">
        <is>
          <t>09.04.2026</t>
        </is>
      </c>
      <c r="J70" t="inlineStr">
        <is>
          <t>Усть-Каменогорское ВРД</t>
        </is>
      </c>
      <c r="K70" t="inlineStr">
        <is>
          <t>Деповской</t>
        </is>
      </c>
      <c r="L70" t="inlineStr">
        <is>
          <t>09.04.2029</t>
        </is>
      </c>
      <c r="M70" t="inlineStr">
        <is>
          <t>ООО "ТрансАльянс Запад"</t>
        </is>
      </c>
      <c r="N70" t="n">
        <v>160000</v>
      </c>
      <c r="O70" t="n">
        <v>7525</v>
      </c>
      <c r="P70" t="n">
        <v>152475</v>
      </c>
      <c r="Q70" t="inlineStr">
        <is>
          <t>10.06.2032</t>
        </is>
      </c>
      <c r="R70" t="inlineStr">
        <is>
          <t>09.04.2026</t>
        </is>
      </c>
      <c r="S70" s="72" t="inlineStr">
        <is>
          <t> </t>
        </is>
      </c>
      <c r="T70" t="n">
        <v>285001</v>
      </c>
      <c r="U70" t="inlineStr">
        <is>
          <t>0005</t>
        </is>
      </c>
      <c r="V70" t="n">
        <v>2011</v>
      </c>
      <c r="W70" t="n">
        <v>745</v>
      </c>
      <c r="X70" t="inlineStr">
        <is>
          <t>апр.26</t>
        </is>
      </c>
      <c r="Y70" t="n">
        <v>0</v>
      </c>
      <c r="Z70" t="n">
        <v>0</v>
      </c>
      <c r="AA70" t="n">
        <v>67</v>
      </c>
      <c r="AB70" t="n">
        <v>67</v>
      </c>
      <c r="AC70" s="72" t="inlineStr">
        <is>
          <t> </t>
        </is>
      </c>
      <c r="AD70" t="n">
        <v>7445</v>
      </c>
      <c r="AE70" t="n">
        <v>1226</v>
      </c>
      <c r="AF70" t="n">
        <v>2013</v>
      </c>
      <c r="AG70" t="n">
        <v>745</v>
      </c>
      <c r="AH70" t="inlineStr">
        <is>
          <t>апр.26</t>
        </is>
      </c>
      <c r="AI70" t="n">
        <v>0</v>
      </c>
      <c r="AJ70" t="n">
        <v>0</v>
      </c>
      <c r="AK70" t="n">
        <v>67</v>
      </c>
      <c r="AL70" t="n">
        <v>67</v>
      </c>
      <c r="AM70" s="72" t="inlineStr">
        <is>
          <t> </t>
        </is>
      </c>
      <c r="AN70" t="n">
        <v>523372</v>
      </c>
      <c r="AO70" t="inlineStr">
        <is>
          <t>0029</t>
        </is>
      </c>
      <c r="AP70" t="n">
        <v>2014</v>
      </c>
      <c r="AQ70" t="n">
        <v>745</v>
      </c>
      <c r="AR70" t="inlineStr">
        <is>
          <t>апр.26</t>
        </is>
      </c>
      <c r="AS70" t="n">
        <v>0</v>
      </c>
      <c r="AT70" t="n">
        <v>0</v>
      </c>
      <c r="AU70" t="n">
        <v>66</v>
      </c>
      <c r="AV70" t="n">
        <v>66</v>
      </c>
      <c r="AW70" s="72" t="inlineStr">
        <is>
          <t> </t>
        </is>
      </c>
      <c r="AX70" t="n">
        <v>277426</v>
      </c>
      <c r="AY70" t="inlineStr">
        <is>
          <t>0005</t>
        </is>
      </c>
      <c r="AZ70" t="n">
        <v>2011</v>
      </c>
      <c r="BA70" t="n">
        <v>745</v>
      </c>
      <c r="BB70" t="inlineStr">
        <is>
          <t>апр.26</t>
        </is>
      </c>
      <c r="BC70" t="n">
        <v>0</v>
      </c>
      <c r="BD70" t="n">
        <v>0</v>
      </c>
      <c r="BE70" t="n">
        <v>65</v>
      </c>
      <c r="BF70" t="n">
        <v>65</v>
      </c>
      <c r="BG70" s="72" t="inlineStr">
        <is>
          <t> </t>
        </is>
      </c>
      <c r="BH70" t="n">
        <v>69798</v>
      </c>
      <c r="BI70" t="inlineStr">
        <is>
          <t>0014</t>
        </is>
      </c>
      <c r="BJ70" t="n">
        <v>2011</v>
      </c>
      <c r="BM70" s="72" t="inlineStr">
        <is>
          <t> </t>
        </is>
      </c>
      <c r="BN70" t="n">
        <v>70344</v>
      </c>
      <c r="BO70" t="inlineStr">
        <is>
          <t>0014</t>
        </is>
      </c>
      <c r="BP70" t="n">
        <v>2011</v>
      </c>
      <c r="BS70" s="72" t="inlineStr">
        <is>
          <t> </t>
        </is>
      </c>
      <c r="BT70" t="n">
        <v>117177</v>
      </c>
      <c r="BU70" t="inlineStr">
        <is>
          <t>0014</t>
        </is>
      </c>
      <c r="BV70" t="n">
        <v>2011</v>
      </c>
      <c r="BY70" s="72" t="inlineStr">
        <is>
          <t> </t>
        </is>
      </c>
      <c r="BZ70" t="n">
        <v>117000</v>
      </c>
      <c r="CA70" t="inlineStr">
        <is>
          <t>0014</t>
        </is>
      </c>
      <c r="CB70" t="n">
        <v>2011</v>
      </c>
      <c r="CE70" s="72" t="inlineStr">
        <is>
          <t> </t>
        </is>
      </c>
      <c r="CF70" t="n">
        <v>116555</v>
      </c>
      <c r="CG70" t="inlineStr">
        <is>
          <t>0014</t>
        </is>
      </c>
      <c r="CH70" t="n">
        <v>2011</v>
      </c>
      <c r="CK70" s="72" t="inlineStr">
        <is>
          <t> </t>
        </is>
      </c>
      <c r="CL70" t="n">
        <v>115931</v>
      </c>
      <c r="CM70" t="inlineStr">
        <is>
          <t>0014</t>
        </is>
      </c>
      <c r="CN70" t="n">
        <v>2011</v>
      </c>
    </row>
    <row r="71">
      <c r="A71" t="n">
        <v>77224475</v>
      </c>
      <c r="B71" s="3" t="inlineStr">
        <is>
          <t>Цистерна для перевозки продуктов</t>
        </is>
      </c>
      <c r="C71" t="inlineStr">
        <is>
          <t>15-5103-7П</t>
        </is>
      </c>
      <c r="D71" t="inlineStr">
        <is>
          <t>05.09.2011</t>
        </is>
      </c>
      <c r="E71" t="n">
        <v>2011</v>
      </c>
      <c r="F71" t="inlineStr">
        <is>
          <t>05.09.2043</t>
        </is>
      </c>
      <c r="G71" t="inlineStr">
        <is>
          <t>22.09.2022</t>
        </is>
      </c>
      <c r="H71" t="inlineStr">
        <is>
          <t>ВЧД Унеча-ООО "НВК"</t>
        </is>
      </c>
      <c r="I71" t="inlineStr">
        <is>
          <t>31.10.2025</t>
        </is>
      </c>
      <c r="J71" t="inlineStr">
        <is>
          <t>Орский ВРЗ-филиал ООО "НВК"</t>
        </is>
      </c>
      <c r="K71" t="inlineStr">
        <is>
          <t>Деповской</t>
        </is>
      </c>
      <c r="L71" t="inlineStr">
        <is>
          <t>31.10.2028</t>
        </is>
      </c>
      <c r="M71" t="inlineStr">
        <is>
          <t>ООО "ТрансАльянс Запад"</t>
        </is>
      </c>
      <c r="N71" t="n">
        <v>160000</v>
      </c>
      <c r="O71" t="n">
        <v>21645</v>
      </c>
      <c r="P71" t="n">
        <v>138355</v>
      </c>
      <c r="Q71" t="inlineStr">
        <is>
          <t>20.03.2031</t>
        </is>
      </c>
      <c r="R71" t="inlineStr">
        <is>
          <t>31.10.2025</t>
        </is>
      </c>
      <c r="S71" s="72" t="inlineStr">
        <is>
          <t> </t>
        </is>
      </c>
      <c r="T71" t="n">
        <v>284490</v>
      </c>
      <c r="U71" t="inlineStr">
        <is>
          <t>0005</t>
        </is>
      </c>
      <c r="V71" t="n">
        <v>2011</v>
      </c>
      <c r="W71" t="n">
        <v>2348</v>
      </c>
      <c r="X71" t="inlineStr">
        <is>
          <t>окт.25</t>
        </is>
      </c>
      <c r="Y71" t="n">
        <v>33</v>
      </c>
      <c r="Z71" t="n">
        <v>33</v>
      </c>
      <c r="AA71" t="n">
        <v>74</v>
      </c>
      <c r="AB71" t="n">
        <v>74</v>
      </c>
      <c r="AC71" s="72" t="inlineStr">
        <is>
          <t> </t>
        </is>
      </c>
      <c r="AD71" t="n">
        <v>284930</v>
      </c>
      <c r="AE71" t="inlineStr">
        <is>
          <t>0005</t>
        </is>
      </c>
      <c r="AF71" t="n">
        <v>2011</v>
      </c>
      <c r="AG71" t="n">
        <v>2348</v>
      </c>
      <c r="AH71" t="inlineStr">
        <is>
          <t>окт.25</t>
        </is>
      </c>
      <c r="AI71" t="n">
        <v>33</v>
      </c>
      <c r="AJ71" t="n">
        <v>33</v>
      </c>
      <c r="AK71" t="n">
        <v>74</v>
      </c>
      <c r="AL71" t="n">
        <v>74</v>
      </c>
      <c r="AM71" s="72" t="inlineStr">
        <is>
          <t> </t>
        </is>
      </c>
      <c r="AN71" t="n">
        <v>283015</v>
      </c>
      <c r="AO71" t="inlineStr">
        <is>
          <t>0005</t>
        </is>
      </c>
      <c r="AP71" t="n">
        <v>2011</v>
      </c>
      <c r="AQ71" t="n">
        <v>2348</v>
      </c>
      <c r="AR71" t="inlineStr">
        <is>
          <t>окт.25</t>
        </is>
      </c>
      <c r="AS71" t="n">
        <v>33</v>
      </c>
      <c r="AT71" t="n">
        <v>33</v>
      </c>
      <c r="AU71" t="n">
        <v>74</v>
      </c>
      <c r="AV71" t="n">
        <v>74</v>
      </c>
      <c r="AW71" s="72" t="inlineStr">
        <is>
          <t> </t>
        </is>
      </c>
      <c r="AX71" t="n">
        <v>284278</v>
      </c>
      <c r="AY71" t="inlineStr">
        <is>
          <t>0005</t>
        </is>
      </c>
      <c r="AZ71" t="n">
        <v>2011</v>
      </c>
      <c r="BA71" t="n">
        <v>2348</v>
      </c>
      <c r="BB71" t="inlineStr">
        <is>
          <t>окт.25</t>
        </is>
      </c>
      <c r="BC71" t="n">
        <v>33</v>
      </c>
      <c r="BD71" t="n">
        <v>33</v>
      </c>
      <c r="BE71" t="n">
        <v>74</v>
      </c>
      <c r="BF71" t="n">
        <v>74</v>
      </c>
      <c r="BG71" s="72" t="inlineStr">
        <is>
          <t> </t>
        </is>
      </c>
      <c r="BH71" t="n">
        <v>37397</v>
      </c>
      <c r="BI71" t="inlineStr">
        <is>
          <t>0005</t>
        </is>
      </c>
      <c r="BJ71" t="n">
        <v>2011</v>
      </c>
      <c r="BM71" s="72" t="inlineStr">
        <is>
          <t> </t>
        </is>
      </c>
      <c r="BN71" t="n">
        <v>37414</v>
      </c>
      <c r="BO71" t="inlineStr">
        <is>
          <t>0005</t>
        </is>
      </c>
      <c r="BP71" t="n">
        <v>2011</v>
      </c>
      <c r="BS71" s="72" t="inlineStr">
        <is>
          <t> </t>
        </is>
      </c>
      <c r="BT71" t="n">
        <v>66129</v>
      </c>
      <c r="BU71" t="inlineStr">
        <is>
          <t>0005</t>
        </is>
      </c>
      <c r="BV71" t="n">
        <v>2011</v>
      </c>
      <c r="BY71" s="72" t="inlineStr">
        <is>
          <t> </t>
        </is>
      </c>
      <c r="BZ71" t="n">
        <v>63808</v>
      </c>
      <c r="CA71" t="inlineStr">
        <is>
          <t>0005</t>
        </is>
      </c>
      <c r="CB71" t="n">
        <v>2011</v>
      </c>
      <c r="CE71" s="72" t="inlineStr">
        <is>
          <t> </t>
        </is>
      </c>
      <c r="CF71" t="n">
        <v>65158</v>
      </c>
      <c r="CG71" t="inlineStr">
        <is>
          <t>0005</t>
        </is>
      </c>
      <c r="CH71" t="n">
        <v>2011</v>
      </c>
      <c r="CK71" s="72" t="inlineStr">
        <is>
          <t> </t>
        </is>
      </c>
      <c r="CL71" t="n">
        <v>65694</v>
      </c>
      <c r="CM71" t="inlineStr">
        <is>
          <t>0005</t>
        </is>
      </c>
      <c r="CN71" t="n">
        <v>2011</v>
      </c>
    </row>
    <row r="72">
      <c r="A72" t="n">
        <v>77221778</v>
      </c>
      <c r="B72" s="3" t="inlineStr">
        <is>
          <t>Цистерна для перевозки продуктов</t>
        </is>
      </c>
      <c r="C72" t="inlineStr">
        <is>
          <t>15-150-04П</t>
        </is>
      </c>
      <c r="D72" t="inlineStr">
        <is>
          <t>06.09.2011</t>
        </is>
      </c>
      <c r="E72" t="n">
        <v>2011</v>
      </c>
      <c r="F72" t="inlineStr">
        <is>
          <t>06.09.2043</t>
        </is>
      </c>
      <c r="G72" t="inlineStr">
        <is>
          <t>19.02.2023</t>
        </is>
      </c>
      <c r="H72" t="inlineStr">
        <is>
          <t>ВРД Кавказская – филиал ООО "НВК"</t>
        </is>
      </c>
      <c r="I72" t="inlineStr">
        <is>
          <t>20.03.2026</t>
        </is>
      </c>
      <c r="J72" t="inlineStr">
        <is>
          <t>Усть-Каменогорское ВРД</t>
        </is>
      </c>
      <c r="K72" t="inlineStr">
        <is>
          <t>Деповской</t>
        </is>
      </c>
      <c r="L72" t="inlineStr">
        <is>
          <t>20.03.2029</t>
        </is>
      </c>
      <c r="M72" t="inlineStr">
        <is>
          <t>ООО "ТрансАльянс Запад"</t>
        </is>
      </c>
      <c r="N72" t="n">
        <v>160000</v>
      </c>
      <c r="O72" t="n">
        <v>7855</v>
      </c>
      <c r="P72" t="n">
        <v>152145</v>
      </c>
      <c r="Q72" t="inlineStr">
        <is>
          <t>30.03.2033</t>
        </is>
      </c>
      <c r="R72" t="inlineStr">
        <is>
          <t>20.03.2026</t>
        </is>
      </c>
      <c r="S72" s="72" t="inlineStr">
        <is>
          <t> </t>
        </is>
      </c>
      <c r="T72" t="n">
        <v>302187</v>
      </c>
      <c r="U72" t="inlineStr">
        <is>
          <t>0005</t>
        </is>
      </c>
      <c r="V72" t="n">
        <v>2013</v>
      </c>
      <c r="W72" t="n">
        <v>745</v>
      </c>
      <c r="X72" t="inlineStr">
        <is>
          <t>мар.26</t>
        </is>
      </c>
      <c r="Y72" t="n">
        <v>0</v>
      </c>
      <c r="Z72" t="n">
        <v>0</v>
      </c>
      <c r="AA72" t="n">
        <v>74</v>
      </c>
      <c r="AB72" t="n">
        <v>74</v>
      </c>
      <c r="AC72" s="72" t="inlineStr">
        <is>
          <t> </t>
        </is>
      </c>
      <c r="AD72" t="n">
        <v>320181</v>
      </c>
      <c r="AE72" t="inlineStr">
        <is>
          <t>0005</t>
        </is>
      </c>
      <c r="AF72" t="n">
        <v>2013</v>
      </c>
      <c r="AG72" t="n">
        <v>745</v>
      </c>
      <c r="AH72" t="inlineStr">
        <is>
          <t>мар.26</t>
        </is>
      </c>
      <c r="AI72" t="n">
        <v>0</v>
      </c>
      <c r="AJ72" t="n">
        <v>0</v>
      </c>
      <c r="AK72" t="n">
        <v>73</v>
      </c>
      <c r="AL72" t="n">
        <v>73</v>
      </c>
      <c r="AM72" s="72" t="inlineStr">
        <is>
          <t> </t>
        </is>
      </c>
      <c r="AN72" t="n">
        <v>308672</v>
      </c>
      <c r="AO72" t="inlineStr">
        <is>
          <t>0005</t>
        </is>
      </c>
      <c r="AP72" t="n">
        <v>2013</v>
      </c>
      <c r="AQ72" t="n">
        <v>745</v>
      </c>
      <c r="AR72" t="inlineStr">
        <is>
          <t>мар.26</t>
        </is>
      </c>
      <c r="AS72" t="n">
        <v>0</v>
      </c>
      <c r="AT72" t="n">
        <v>0</v>
      </c>
      <c r="AU72" t="n">
        <v>72</v>
      </c>
      <c r="AV72" t="n">
        <v>72</v>
      </c>
      <c r="AW72" s="72" t="inlineStr">
        <is>
          <t> </t>
        </is>
      </c>
      <c r="AX72" t="n">
        <v>122255</v>
      </c>
      <c r="AY72" t="inlineStr">
        <is>
          <t>0005</t>
        </is>
      </c>
      <c r="AZ72" t="n">
        <v>2012</v>
      </c>
      <c r="BA72" t="n">
        <v>745</v>
      </c>
      <c r="BB72" t="inlineStr">
        <is>
          <t>мар.26</t>
        </is>
      </c>
      <c r="BC72" t="n">
        <v>0</v>
      </c>
      <c r="BD72" t="n">
        <v>0</v>
      </c>
      <c r="BE72" t="n">
        <v>72</v>
      </c>
      <c r="BF72" t="n">
        <v>72</v>
      </c>
      <c r="BG72" s="72" t="inlineStr">
        <is>
          <t> </t>
        </is>
      </c>
      <c r="BH72" t="n">
        <v>38418</v>
      </c>
      <c r="BI72" t="inlineStr">
        <is>
          <t>0005</t>
        </is>
      </c>
      <c r="BJ72" t="n">
        <v>2011</v>
      </c>
      <c r="BM72" s="72" t="inlineStr">
        <is>
          <t> </t>
        </is>
      </c>
      <c r="BN72" t="n">
        <v>38450</v>
      </c>
      <c r="BO72" t="inlineStr">
        <is>
          <t>0005</t>
        </is>
      </c>
      <c r="BP72" t="n">
        <v>2011</v>
      </c>
      <c r="BS72" s="72" t="inlineStr">
        <is>
          <t> </t>
        </is>
      </c>
      <c r="BT72" t="n">
        <v>64262</v>
      </c>
      <c r="BU72" t="inlineStr">
        <is>
          <t>0005</t>
        </is>
      </c>
      <c r="BV72" t="n">
        <v>2011</v>
      </c>
      <c r="BY72" s="72" t="inlineStr">
        <is>
          <t> </t>
        </is>
      </c>
      <c r="BZ72" t="n">
        <v>64504</v>
      </c>
      <c r="CA72" t="inlineStr">
        <is>
          <t>0005</t>
        </is>
      </c>
      <c r="CB72" t="n">
        <v>2011</v>
      </c>
      <c r="CE72" s="72" t="inlineStr">
        <is>
          <t> </t>
        </is>
      </c>
      <c r="CF72" t="n">
        <v>67103</v>
      </c>
      <c r="CG72" t="inlineStr">
        <is>
          <t>0005</t>
        </is>
      </c>
      <c r="CH72" t="n">
        <v>2011</v>
      </c>
      <c r="CK72" s="72" t="inlineStr">
        <is>
          <t> </t>
        </is>
      </c>
      <c r="CL72" t="n">
        <v>66097</v>
      </c>
      <c r="CM72" t="inlineStr">
        <is>
          <t>0005</t>
        </is>
      </c>
      <c r="CN72" t="n">
        <v>2011</v>
      </c>
    </row>
    <row r="73">
      <c r="A73" t="n">
        <v>77206183</v>
      </c>
      <c r="B73" s="3" t="inlineStr">
        <is>
          <t>Цистерна для перевозки продуктов</t>
        </is>
      </c>
      <c r="C73" t="inlineStr">
        <is>
          <t>15-1755П</t>
        </is>
      </c>
      <c r="D73" t="inlineStr">
        <is>
          <t>20.06.2013</t>
        </is>
      </c>
      <c r="E73" t="n">
        <v>2013</v>
      </c>
      <c r="F73" t="inlineStr">
        <is>
          <t>20.06.2043</t>
        </is>
      </c>
      <c r="G73" t="inlineStr">
        <is>
          <t>24.10.2025</t>
        </is>
      </c>
      <c r="H73" t="inlineStr">
        <is>
          <t>ВРД Тольятти – филиал ООО "НВК"</t>
        </is>
      </c>
      <c r="I73" t="inlineStr">
        <is>
          <t>21.04.2024</t>
        </is>
      </c>
      <c r="J73" t="inlineStr">
        <is>
          <t>ВРД Кочетовка – филиал ООО "НВК"</t>
        </is>
      </c>
      <c r="K73" t="inlineStr">
        <is>
          <t>Деповской</t>
        </is>
      </c>
      <c r="L73" t="inlineStr">
        <is>
          <t>24.10.2027</t>
        </is>
      </c>
      <c r="M73" t="inlineStr">
        <is>
          <t>ООО "ТрансАльянс Запад"</t>
        </is>
      </c>
      <c r="N73" t="n">
        <v>160000</v>
      </c>
      <c r="O73" t="n">
        <v>16514</v>
      </c>
      <c r="P73" t="n">
        <v>143486</v>
      </c>
      <c r="Q73" t="inlineStr">
        <is>
          <t>20.01.2033</t>
        </is>
      </c>
      <c r="R73" t="inlineStr">
        <is>
          <t>24.10.2025</t>
        </is>
      </c>
      <c r="S73" s="72" t="inlineStr">
        <is>
          <t> </t>
        </is>
      </c>
      <c r="T73" t="n">
        <v>155694</v>
      </c>
      <c r="U73" t="n">
        <v>1175</v>
      </c>
      <c r="V73" t="n">
        <v>2019</v>
      </c>
      <c r="W73" t="n">
        <v>2080</v>
      </c>
      <c r="X73" t="inlineStr">
        <is>
          <t>окт.25</t>
        </is>
      </c>
      <c r="Y73" t="n">
        <v>32</v>
      </c>
      <c r="Z73" t="n">
        <v>32</v>
      </c>
      <c r="AA73" t="n">
        <v>59</v>
      </c>
      <c r="AB73" t="n">
        <v>59</v>
      </c>
      <c r="AC73" s="72" t="inlineStr">
        <is>
          <t> </t>
        </is>
      </c>
      <c r="AD73" t="n">
        <v>434190</v>
      </c>
      <c r="AE73" t="inlineStr">
        <is>
          <t>0029</t>
        </is>
      </c>
      <c r="AF73" t="n">
        <v>2013</v>
      </c>
      <c r="AG73" t="n">
        <v>2080</v>
      </c>
      <c r="AH73" t="inlineStr">
        <is>
          <t>окт.25</t>
        </is>
      </c>
      <c r="AI73" t="n">
        <v>33</v>
      </c>
      <c r="AJ73" t="n">
        <v>33</v>
      </c>
      <c r="AK73" t="n">
        <v>60</v>
      </c>
      <c r="AL73" t="n">
        <v>60</v>
      </c>
      <c r="AM73" s="72" t="inlineStr">
        <is>
          <t> </t>
        </is>
      </c>
      <c r="AN73" t="n">
        <v>381004</v>
      </c>
      <c r="AO73" t="inlineStr">
        <is>
          <t>0029</t>
        </is>
      </c>
      <c r="AP73" t="n">
        <v>2012</v>
      </c>
      <c r="AQ73" t="n">
        <v>2080</v>
      </c>
      <c r="AR73" t="inlineStr">
        <is>
          <t>окт.25</t>
        </is>
      </c>
      <c r="AS73" t="n">
        <v>29</v>
      </c>
      <c r="AT73" t="n">
        <v>29</v>
      </c>
      <c r="AU73" t="n">
        <v>61</v>
      </c>
      <c r="AV73" t="n">
        <v>61</v>
      </c>
      <c r="AW73" s="72" t="inlineStr">
        <is>
          <t> </t>
        </is>
      </c>
      <c r="AX73" t="n">
        <v>442566</v>
      </c>
      <c r="AY73" t="inlineStr">
        <is>
          <t>0029</t>
        </is>
      </c>
      <c r="AZ73" t="n">
        <v>2013</v>
      </c>
      <c r="BA73" t="n">
        <v>2080</v>
      </c>
      <c r="BB73" t="inlineStr">
        <is>
          <t>окт.25</t>
        </is>
      </c>
      <c r="BC73" t="n">
        <v>29</v>
      </c>
      <c r="BD73" t="n">
        <v>29</v>
      </c>
      <c r="BE73" t="n">
        <v>58</v>
      </c>
      <c r="BF73" t="n">
        <v>58</v>
      </c>
      <c r="BG73" s="72" t="inlineStr">
        <is>
          <t> </t>
        </is>
      </c>
      <c r="BH73" t="n">
        <v>15252</v>
      </c>
      <c r="BI73" t="n">
        <v>1291</v>
      </c>
      <c r="BJ73" t="n">
        <v>2013</v>
      </c>
      <c r="BM73" s="72" t="inlineStr">
        <is>
          <t> </t>
        </is>
      </c>
      <c r="BN73" t="n">
        <v>52449</v>
      </c>
      <c r="BO73" t="n">
        <v>1291</v>
      </c>
      <c r="BP73" t="n">
        <v>2013</v>
      </c>
      <c r="BS73" s="72" t="inlineStr">
        <is>
          <t> </t>
        </is>
      </c>
      <c r="BT73" t="n">
        <v>42235</v>
      </c>
      <c r="BU73" t="n">
        <v>1291</v>
      </c>
      <c r="BV73" t="n">
        <v>2013</v>
      </c>
      <c r="BY73" s="72" t="inlineStr">
        <is>
          <t> </t>
        </is>
      </c>
      <c r="BZ73" t="n">
        <v>46300</v>
      </c>
      <c r="CA73" t="n">
        <v>1291</v>
      </c>
      <c r="CB73" t="n">
        <v>2013</v>
      </c>
      <c r="CE73" s="72" t="inlineStr">
        <is>
          <t> </t>
        </is>
      </c>
      <c r="CF73" t="n">
        <v>46310</v>
      </c>
      <c r="CG73" t="n">
        <v>1291</v>
      </c>
      <c r="CH73" t="n">
        <v>2013</v>
      </c>
      <c r="CK73" s="72" t="inlineStr">
        <is>
          <t> </t>
        </is>
      </c>
      <c r="CL73" t="n">
        <v>11391</v>
      </c>
      <c r="CM73" t="inlineStr">
        <is>
          <t>0033</t>
        </is>
      </c>
      <c r="CN73" t="n">
        <v>2014</v>
      </c>
    </row>
    <row r="74">
      <c r="A74" t="n">
        <v>77206001</v>
      </c>
      <c r="B74" s="3" t="inlineStr">
        <is>
          <t>Цистерна для перевозки продуктов</t>
        </is>
      </c>
      <c r="C74" t="inlineStr">
        <is>
          <t>15-1755П</t>
        </is>
      </c>
      <c r="D74" t="inlineStr">
        <is>
          <t>20.06.2013</t>
        </is>
      </c>
      <c r="E74" t="n">
        <v>2013</v>
      </c>
      <c r="F74" t="inlineStr">
        <is>
          <t>20.06.2043</t>
        </is>
      </c>
      <c r="G74" t="inlineStr">
        <is>
          <t>24.10.2025</t>
        </is>
      </c>
      <c r="H74" t="inlineStr">
        <is>
          <t>ВРД Тольятти – филиал ООО "НВК"</t>
        </is>
      </c>
      <c r="I74" t="inlineStr">
        <is>
          <t>06.02.2024</t>
        </is>
      </c>
      <c r="J74" t="inlineStr">
        <is>
          <t>ВРД Кочетовка – филиал ООО "НВК"</t>
        </is>
      </c>
      <c r="K74" t="inlineStr">
        <is>
          <t>Деповской</t>
        </is>
      </c>
      <c r="L74" t="inlineStr">
        <is>
          <t>24.10.2027</t>
        </is>
      </c>
      <c r="M74" t="inlineStr">
        <is>
          <t>ООО "ТрансАльянс Запад"</t>
        </is>
      </c>
      <c r="N74" t="n">
        <v>160000</v>
      </c>
      <c r="O74" t="n">
        <v>16514</v>
      </c>
      <c r="P74" t="n">
        <v>143486</v>
      </c>
      <c r="Q74" t="inlineStr">
        <is>
          <t>20.01.2033</t>
        </is>
      </c>
      <c r="R74" t="inlineStr">
        <is>
          <t>24.10.2025</t>
        </is>
      </c>
      <c r="S74" s="72" t="inlineStr">
        <is>
          <t> </t>
        </is>
      </c>
      <c r="T74" t="n">
        <v>447139</v>
      </c>
      <c r="U74" t="inlineStr">
        <is>
          <t>0029</t>
        </is>
      </c>
      <c r="V74" t="n">
        <v>2013</v>
      </c>
      <c r="W74" t="n">
        <v>2080</v>
      </c>
      <c r="X74" t="inlineStr">
        <is>
          <t>окт.25</t>
        </is>
      </c>
      <c r="Y74" t="n">
        <v>33</v>
      </c>
      <c r="Z74" t="n">
        <v>33</v>
      </c>
      <c r="AA74" t="n">
        <v>74</v>
      </c>
      <c r="AB74" t="n">
        <v>74</v>
      </c>
      <c r="AC74" s="72" t="inlineStr">
        <is>
          <t> </t>
        </is>
      </c>
      <c r="AD74" t="n">
        <v>434222</v>
      </c>
      <c r="AE74" t="inlineStr">
        <is>
          <t>0029</t>
        </is>
      </c>
      <c r="AF74" t="n">
        <v>2013</v>
      </c>
      <c r="AG74" t="n">
        <v>2080</v>
      </c>
      <c r="AH74" t="inlineStr">
        <is>
          <t>окт.25</t>
        </is>
      </c>
      <c r="AI74" t="n">
        <v>33</v>
      </c>
      <c r="AJ74" t="n">
        <v>33</v>
      </c>
      <c r="AK74" t="n">
        <v>74</v>
      </c>
      <c r="AL74" t="n">
        <v>74</v>
      </c>
      <c r="AM74" s="72" t="inlineStr">
        <is>
          <t> </t>
        </is>
      </c>
      <c r="AN74" t="n">
        <v>455965</v>
      </c>
      <c r="AO74" t="inlineStr">
        <is>
          <t>0029</t>
        </is>
      </c>
      <c r="AP74" t="n">
        <v>2013</v>
      </c>
      <c r="AQ74" t="n">
        <v>2080</v>
      </c>
      <c r="AR74" t="inlineStr">
        <is>
          <t>окт.25</t>
        </is>
      </c>
      <c r="AS74" t="n">
        <v>33</v>
      </c>
      <c r="AT74" t="n">
        <v>33</v>
      </c>
      <c r="AU74" t="n">
        <v>74</v>
      </c>
      <c r="AV74" t="n">
        <v>74</v>
      </c>
      <c r="AW74" s="72" t="inlineStr">
        <is>
          <t> </t>
        </is>
      </c>
      <c r="AX74" t="n">
        <v>18198</v>
      </c>
      <c r="AY74" t="n">
        <v>1226</v>
      </c>
      <c r="AZ74" t="n">
        <v>2012</v>
      </c>
      <c r="BA74" t="n">
        <v>2080</v>
      </c>
      <c r="BB74" t="inlineStr">
        <is>
          <t>окт.25</t>
        </is>
      </c>
      <c r="BC74" t="n">
        <v>33</v>
      </c>
      <c r="BD74" t="n">
        <v>33</v>
      </c>
      <c r="BE74" t="n">
        <v>74</v>
      </c>
      <c r="BF74" t="n">
        <v>74</v>
      </c>
      <c r="BG74" s="72" t="inlineStr">
        <is>
          <t> </t>
        </is>
      </c>
      <c r="BH74" t="n">
        <v>13950</v>
      </c>
      <c r="BI74" t="n">
        <v>1291</v>
      </c>
      <c r="BJ74" t="n">
        <v>2013</v>
      </c>
      <c r="BM74" s="72" t="inlineStr">
        <is>
          <t> </t>
        </is>
      </c>
      <c r="BN74" t="n">
        <v>13855</v>
      </c>
      <c r="BO74" t="n">
        <v>1291</v>
      </c>
      <c r="BP74" t="n">
        <v>2013</v>
      </c>
      <c r="BS74" s="72" t="inlineStr">
        <is>
          <t> </t>
        </is>
      </c>
      <c r="BT74" t="n">
        <v>40962</v>
      </c>
      <c r="BU74" t="n">
        <v>1291</v>
      </c>
      <c r="BV74" t="n">
        <v>2013</v>
      </c>
      <c r="BY74" s="72" t="inlineStr">
        <is>
          <t> </t>
        </is>
      </c>
      <c r="BZ74" t="n">
        <v>39313</v>
      </c>
      <c r="CA74" t="n">
        <v>1291</v>
      </c>
      <c r="CB74" t="n">
        <v>2013</v>
      </c>
      <c r="CE74" s="72" t="inlineStr">
        <is>
          <t> </t>
        </is>
      </c>
      <c r="CF74" t="n">
        <v>40081</v>
      </c>
      <c r="CG74" t="n">
        <v>1291</v>
      </c>
      <c r="CH74" t="n">
        <v>2013</v>
      </c>
      <c r="CK74" s="72" t="inlineStr">
        <is>
          <t> </t>
        </is>
      </c>
      <c r="CL74" t="n">
        <v>39031</v>
      </c>
      <c r="CM74" t="n">
        <v>1291</v>
      </c>
      <c r="CN74" t="n">
        <v>2013</v>
      </c>
    </row>
    <row r="75">
      <c r="A75" t="n">
        <v>77206175</v>
      </c>
      <c r="B75" s="3" t="inlineStr">
        <is>
          <t>Цистерна для перевозки продуктов</t>
        </is>
      </c>
      <c r="C75" t="inlineStr">
        <is>
          <t>15-1755П</t>
        </is>
      </c>
      <c r="D75" t="inlineStr">
        <is>
          <t>20.06.2013</t>
        </is>
      </c>
      <c r="E75" t="n">
        <v>2013</v>
      </c>
      <c r="F75" t="inlineStr">
        <is>
          <t>20.06.2043</t>
        </is>
      </c>
      <c r="G75" t="inlineStr">
        <is>
          <t>24.10.2025</t>
        </is>
      </c>
      <c r="H75" t="inlineStr">
        <is>
          <t>ВРД Тольятти – филиал ООО "НВК"</t>
        </is>
      </c>
      <c r="I75" t="inlineStr">
        <is>
          <t>27.01.2024</t>
        </is>
      </c>
      <c r="J75" t="inlineStr">
        <is>
          <t>ВРЗ Челябинск – филиал ООО "НВК"</t>
        </is>
      </c>
      <c r="K75" t="inlineStr">
        <is>
          <t>Деповской</t>
        </is>
      </c>
      <c r="L75" t="inlineStr">
        <is>
          <t>24.10.2027</t>
        </is>
      </c>
      <c r="M75" t="inlineStr">
        <is>
          <t>ООО "ТрансАльянс Запад"</t>
        </is>
      </c>
      <c r="N75" t="n">
        <v>160000</v>
      </c>
      <c r="O75" t="n">
        <v>16514</v>
      </c>
      <c r="P75" t="n">
        <v>143486</v>
      </c>
      <c r="Q75" t="inlineStr">
        <is>
          <t>20.01.2033</t>
        </is>
      </c>
      <c r="R75" t="inlineStr">
        <is>
          <t>24.10.2025</t>
        </is>
      </c>
      <c r="S75" s="72" t="inlineStr">
        <is>
          <t> </t>
        </is>
      </c>
      <c r="T75" t="n">
        <v>459234</v>
      </c>
      <c r="U75" t="inlineStr">
        <is>
          <t>0029</t>
        </is>
      </c>
      <c r="V75" t="n">
        <v>2013</v>
      </c>
      <c r="W75" t="n">
        <v>2080</v>
      </c>
      <c r="X75" t="inlineStr">
        <is>
          <t>окт.25</t>
        </is>
      </c>
      <c r="Y75" t="n">
        <v>30</v>
      </c>
      <c r="Z75" t="n">
        <v>30</v>
      </c>
      <c r="AA75" t="n">
        <v>70</v>
      </c>
      <c r="AB75" t="n">
        <v>70</v>
      </c>
      <c r="AC75" s="72" t="inlineStr">
        <is>
          <t> </t>
        </is>
      </c>
      <c r="AD75" t="n">
        <v>459174</v>
      </c>
      <c r="AE75" t="inlineStr">
        <is>
          <t>0029</t>
        </is>
      </c>
      <c r="AF75" t="n">
        <v>2013</v>
      </c>
      <c r="AG75" t="n">
        <v>2080</v>
      </c>
      <c r="AH75" t="inlineStr">
        <is>
          <t>окт.25</t>
        </is>
      </c>
      <c r="AI75" t="n">
        <v>33</v>
      </c>
      <c r="AJ75" t="n">
        <v>33</v>
      </c>
      <c r="AK75" t="n">
        <v>66</v>
      </c>
      <c r="AL75" t="n">
        <v>66</v>
      </c>
      <c r="AM75" s="72" t="inlineStr">
        <is>
          <t> </t>
        </is>
      </c>
      <c r="AN75" t="n">
        <v>459342</v>
      </c>
      <c r="AO75" t="inlineStr">
        <is>
          <t>0029</t>
        </is>
      </c>
      <c r="AP75" t="n">
        <v>2013</v>
      </c>
      <c r="AQ75" t="n">
        <v>2080</v>
      </c>
      <c r="AR75" t="inlineStr">
        <is>
          <t>окт.25</t>
        </is>
      </c>
      <c r="AS75" t="n">
        <v>33</v>
      </c>
      <c r="AT75" t="n">
        <v>33</v>
      </c>
      <c r="AU75" t="n">
        <v>68</v>
      </c>
      <c r="AV75" t="n">
        <v>68</v>
      </c>
      <c r="AW75" s="72" t="inlineStr">
        <is>
          <t> </t>
        </is>
      </c>
      <c r="AX75" t="n">
        <v>443938</v>
      </c>
      <c r="AY75" t="inlineStr">
        <is>
          <t>0029</t>
        </is>
      </c>
      <c r="AZ75" t="n">
        <v>2013</v>
      </c>
      <c r="BA75" t="n">
        <v>2080</v>
      </c>
      <c r="BB75" t="inlineStr">
        <is>
          <t>окт.25</t>
        </is>
      </c>
      <c r="BC75" t="n">
        <v>30</v>
      </c>
      <c r="BD75" t="n">
        <v>30</v>
      </c>
      <c r="BE75" t="n">
        <v>68</v>
      </c>
      <c r="BF75" t="n">
        <v>68</v>
      </c>
      <c r="BG75" s="72" t="inlineStr">
        <is>
          <t> </t>
        </is>
      </c>
      <c r="BH75" t="n">
        <v>14431</v>
      </c>
      <c r="BI75" t="n">
        <v>1291</v>
      </c>
      <c r="BJ75" t="n">
        <v>2013</v>
      </c>
      <c r="BM75" s="72" t="inlineStr">
        <is>
          <t> </t>
        </is>
      </c>
      <c r="BN75" t="n">
        <v>13706</v>
      </c>
      <c r="BO75" t="n">
        <v>1291</v>
      </c>
      <c r="BP75" t="n">
        <v>2013</v>
      </c>
      <c r="BS75" s="72" t="inlineStr">
        <is>
          <t> </t>
        </is>
      </c>
      <c r="BT75" t="n">
        <v>40811</v>
      </c>
      <c r="BU75" t="n">
        <v>1291</v>
      </c>
      <c r="BV75" t="n">
        <v>2013</v>
      </c>
      <c r="BY75" s="72" t="inlineStr">
        <is>
          <t> </t>
        </is>
      </c>
      <c r="BZ75" t="n">
        <v>41478</v>
      </c>
      <c r="CA75" t="n">
        <v>1291</v>
      </c>
      <c r="CB75" t="n">
        <v>2013</v>
      </c>
      <c r="CE75" s="72" t="inlineStr">
        <is>
          <t> </t>
        </is>
      </c>
      <c r="CF75" t="n">
        <v>42410</v>
      </c>
      <c r="CG75" t="n">
        <v>1291</v>
      </c>
      <c r="CH75" t="n">
        <v>2013</v>
      </c>
      <c r="CK75" s="72" t="inlineStr">
        <is>
          <t> </t>
        </is>
      </c>
      <c r="CL75" t="n">
        <v>41806</v>
      </c>
      <c r="CM75" t="n">
        <v>1291</v>
      </c>
      <c r="CN75" t="n">
        <v>2013</v>
      </c>
    </row>
    <row r="76">
      <c r="A76" t="n">
        <v>77205763</v>
      </c>
      <c r="B76" s="3" t="inlineStr">
        <is>
          <t>Цистерна для перевозки продуктов</t>
        </is>
      </c>
      <c r="C76" t="inlineStr">
        <is>
          <t>15-1755П</t>
        </is>
      </c>
      <c r="D76" t="inlineStr">
        <is>
          <t>20.06.2013</t>
        </is>
      </c>
      <c r="E76" t="n">
        <v>2013</v>
      </c>
      <c r="F76" t="inlineStr">
        <is>
          <t>20.06.2043</t>
        </is>
      </c>
      <c r="G76" t="inlineStr">
        <is>
          <t>28.06.2025</t>
        </is>
      </c>
      <c r="H76" t="inlineStr">
        <is>
          <t>ВРД Кочетовка – филиал ООО "НВК"</t>
        </is>
      </c>
      <c r="I76" t="inlineStr">
        <is>
          <t>25.07.2023</t>
        </is>
      </c>
      <c r="J76" t="inlineStr">
        <is>
          <t>ВРД Кочетовка – филиал ООО "НВК"</t>
        </is>
      </c>
      <c r="K76" t="inlineStr">
        <is>
          <t>Деповской</t>
        </is>
      </c>
      <c r="L76" t="inlineStr">
        <is>
          <t>28.06.2027</t>
        </is>
      </c>
      <c r="M76" t="inlineStr">
        <is>
          <t>ООО "ТрансАльянс Запад"</t>
        </is>
      </c>
      <c r="N76" t="n">
        <v>160000</v>
      </c>
      <c r="O76" t="n">
        <v>40035</v>
      </c>
      <c r="P76" t="n">
        <v>119965</v>
      </c>
      <c r="Q76" t="inlineStr">
        <is>
          <t>08.10.2029</t>
        </is>
      </c>
      <c r="R76" t="inlineStr">
        <is>
          <t>28.06.2025</t>
        </is>
      </c>
      <c r="S76" s="72" t="inlineStr">
        <is>
          <t> </t>
        </is>
      </c>
      <c r="T76" t="n">
        <v>444243</v>
      </c>
      <c r="U76" t="inlineStr">
        <is>
          <t>0029</t>
        </is>
      </c>
      <c r="V76" t="n">
        <v>2013</v>
      </c>
      <c r="W76" t="n">
        <v>301</v>
      </c>
      <c r="X76" t="inlineStr">
        <is>
          <t>июнь.25</t>
        </is>
      </c>
      <c r="Y76" t="n">
        <v>33</v>
      </c>
      <c r="Z76" t="n">
        <v>32</v>
      </c>
      <c r="AA76" t="n">
        <v>64</v>
      </c>
      <c r="AB76" t="n">
        <v>64</v>
      </c>
      <c r="AC76" s="72" t="inlineStr">
        <is>
          <t> </t>
        </is>
      </c>
      <c r="AD76" t="n">
        <v>442967</v>
      </c>
      <c r="AE76" t="inlineStr">
        <is>
          <t>0029</t>
        </is>
      </c>
      <c r="AF76" t="n">
        <v>2013</v>
      </c>
      <c r="AG76" t="n">
        <v>301</v>
      </c>
      <c r="AH76" t="inlineStr">
        <is>
          <t>июнь.25</t>
        </is>
      </c>
      <c r="AI76" t="n">
        <v>33</v>
      </c>
      <c r="AJ76" t="n">
        <v>32</v>
      </c>
      <c r="AK76" t="n">
        <v>57</v>
      </c>
      <c r="AL76" t="n">
        <v>57</v>
      </c>
      <c r="AM76" s="72" t="inlineStr">
        <is>
          <t> </t>
        </is>
      </c>
      <c r="AN76" t="n">
        <v>711939</v>
      </c>
      <c r="AO76" t="inlineStr">
        <is>
          <t>0039</t>
        </is>
      </c>
      <c r="AP76" t="n">
        <v>1990</v>
      </c>
      <c r="AQ76" t="n">
        <v>301</v>
      </c>
      <c r="AR76" t="inlineStr">
        <is>
          <t>июнь.25</t>
        </is>
      </c>
      <c r="AS76" t="n">
        <v>30</v>
      </c>
      <c r="AT76" t="n">
        <v>29</v>
      </c>
      <c r="AU76" t="n">
        <v>65</v>
      </c>
      <c r="AV76" t="n">
        <v>65</v>
      </c>
      <c r="AW76" s="72" t="inlineStr">
        <is>
          <t> </t>
        </is>
      </c>
      <c r="AX76" t="n">
        <v>444375</v>
      </c>
      <c r="AY76" t="inlineStr">
        <is>
          <t>0029</t>
        </is>
      </c>
      <c r="AZ76" t="n">
        <v>2013</v>
      </c>
      <c r="BA76" t="n">
        <v>301</v>
      </c>
      <c r="BB76" t="inlineStr">
        <is>
          <t>июнь.25</t>
        </is>
      </c>
      <c r="BC76" t="n">
        <v>30</v>
      </c>
      <c r="BD76" t="n">
        <v>31</v>
      </c>
      <c r="BE76" t="n">
        <v>65</v>
      </c>
      <c r="BF76" t="n">
        <v>65</v>
      </c>
      <c r="BG76" s="72" t="inlineStr">
        <is>
          <t> </t>
        </is>
      </c>
      <c r="BH76" t="n">
        <v>1574</v>
      </c>
      <c r="BI76" t="n">
        <v>1291</v>
      </c>
      <c r="BJ76" t="n">
        <v>2013</v>
      </c>
      <c r="BM76" s="72" t="inlineStr">
        <is>
          <t> </t>
        </is>
      </c>
      <c r="BN76" t="n">
        <v>15778</v>
      </c>
      <c r="BO76" t="n">
        <v>1291</v>
      </c>
      <c r="BP76" t="n">
        <v>2013</v>
      </c>
      <c r="BS76" s="72" t="inlineStr">
        <is>
          <t> </t>
        </is>
      </c>
      <c r="BT76" t="n">
        <v>38833</v>
      </c>
      <c r="BU76" t="n">
        <v>1291</v>
      </c>
      <c r="BV76" t="n">
        <v>2013</v>
      </c>
      <c r="BY76" s="72" t="inlineStr">
        <is>
          <t> </t>
        </is>
      </c>
      <c r="BZ76" t="n">
        <v>38799</v>
      </c>
      <c r="CA76" t="n">
        <v>1291</v>
      </c>
      <c r="CB76" t="n">
        <v>2013</v>
      </c>
      <c r="CE76" s="72" t="inlineStr">
        <is>
          <t> </t>
        </is>
      </c>
      <c r="CF76" t="n">
        <v>38561</v>
      </c>
      <c r="CG76" t="n">
        <v>1291</v>
      </c>
      <c r="CH76" t="n">
        <v>2013</v>
      </c>
      <c r="CK76" s="72" t="inlineStr">
        <is>
          <t> </t>
        </is>
      </c>
      <c r="CL76" t="n">
        <v>38236</v>
      </c>
      <c r="CM76" t="n">
        <v>1291</v>
      </c>
      <c r="CN76" t="n">
        <v>2013</v>
      </c>
    </row>
    <row r="77">
      <c r="A77" t="n">
        <v>77205920</v>
      </c>
      <c r="B77" s="3" t="inlineStr">
        <is>
          <t>Цистерна для перевозки продуктов</t>
        </is>
      </c>
      <c r="C77" t="inlineStr">
        <is>
          <t>15-1755П</t>
        </is>
      </c>
      <c r="D77" t="inlineStr">
        <is>
          <t>20.06.2013</t>
        </is>
      </c>
      <c r="E77" t="n">
        <v>2013</v>
      </c>
      <c r="F77" t="inlineStr">
        <is>
          <t>20.06.2043</t>
        </is>
      </c>
      <c r="G77" t="inlineStr">
        <is>
          <t>14.02.2026</t>
        </is>
      </c>
      <c r="H77" t="inlineStr">
        <is>
          <t>Усть-Каменогорское ВРД</t>
        </is>
      </c>
      <c r="I77" t="inlineStr">
        <is>
          <t>25.02.2024</t>
        </is>
      </c>
      <c r="J77" t="inlineStr">
        <is>
          <t>ТОО "Аждар и К"</t>
        </is>
      </c>
      <c r="K77" t="inlineStr">
        <is>
          <t>Деповской</t>
        </is>
      </c>
      <c r="L77" t="inlineStr">
        <is>
          <t>14.02.2028</t>
        </is>
      </c>
      <c r="M77" t="inlineStr">
        <is>
          <t>ООО "ТрансАльянс Запад"</t>
        </is>
      </c>
      <c r="N77" t="n">
        <v>160000</v>
      </c>
      <c r="O77" t="n">
        <v>14375</v>
      </c>
      <c r="P77" t="n">
        <v>145625</v>
      </c>
      <c r="Q77" t="inlineStr">
        <is>
          <t>31.12.2030</t>
        </is>
      </c>
      <c r="R77" t="inlineStr">
        <is>
          <t>14.02.2026</t>
        </is>
      </c>
      <c r="S77" s="72" t="inlineStr">
        <is>
          <t> </t>
        </is>
      </c>
      <c r="T77" t="n">
        <v>62581</v>
      </c>
      <c r="U77" t="n">
        <v>1175</v>
      </c>
      <c r="V77" t="n">
        <v>2013</v>
      </c>
      <c r="W77" t="n">
        <v>745</v>
      </c>
      <c r="X77" t="inlineStr">
        <is>
          <t>фев.26</t>
        </is>
      </c>
      <c r="Y77" t="n">
        <v>0</v>
      </c>
      <c r="Z77" t="n">
        <v>0</v>
      </c>
      <c r="AA77" t="n">
        <v>74</v>
      </c>
      <c r="AB77" t="n">
        <v>74</v>
      </c>
      <c r="AC77" s="72" t="inlineStr">
        <is>
          <t> </t>
        </is>
      </c>
      <c r="AD77" t="n">
        <v>777116</v>
      </c>
      <c r="AE77" t="inlineStr">
        <is>
          <t>0005</t>
        </is>
      </c>
      <c r="AF77" t="n">
        <v>2017</v>
      </c>
      <c r="AG77" t="n">
        <v>745</v>
      </c>
      <c r="AH77" t="inlineStr">
        <is>
          <t>фев.26</t>
        </is>
      </c>
      <c r="AI77" t="n">
        <v>0</v>
      </c>
      <c r="AJ77" t="n">
        <v>0</v>
      </c>
      <c r="AK77" t="n">
        <v>75</v>
      </c>
      <c r="AL77" t="n">
        <v>75</v>
      </c>
      <c r="AM77" s="72" t="inlineStr">
        <is>
          <t> </t>
        </is>
      </c>
      <c r="AN77" t="n">
        <v>67833</v>
      </c>
      <c r="AO77" t="inlineStr">
        <is>
          <t>0005</t>
        </is>
      </c>
      <c r="AP77" t="n">
        <v>2004</v>
      </c>
      <c r="AQ77" t="n">
        <v>745</v>
      </c>
      <c r="AR77" t="inlineStr">
        <is>
          <t>фев.26</t>
        </is>
      </c>
      <c r="AS77" t="n">
        <v>0</v>
      </c>
      <c r="AT77" t="n">
        <v>0</v>
      </c>
      <c r="AU77" t="n">
        <v>72</v>
      </c>
      <c r="AV77" t="n">
        <v>72</v>
      </c>
      <c r="AW77" s="72" t="inlineStr">
        <is>
          <t> </t>
        </is>
      </c>
      <c r="AX77" t="n">
        <v>51464</v>
      </c>
      <c r="AY77" t="n">
        <v>1175</v>
      </c>
      <c r="AZ77" t="n">
        <v>2005</v>
      </c>
      <c r="BA77" t="n">
        <v>745</v>
      </c>
      <c r="BB77" t="inlineStr">
        <is>
          <t>фев.26</t>
        </is>
      </c>
      <c r="BC77" t="n">
        <v>0</v>
      </c>
      <c r="BD77" t="n">
        <v>0</v>
      </c>
      <c r="BE77" t="n">
        <v>71</v>
      </c>
      <c r="BF77" t="n">
        <v>71</v>
      </c>
      <c r="BG77" s="72" t="inlineStr">
        <is>
          <t> </t>
        </is>
      </c>
      <c r="BH77" t="n">
        <v>52345</v>
      </c>
      <c r="BI77" t="n">
        <v>1291</v>
      </c>
      <c r="BJ77" t="n">
        <v>2013</v>
      </c>
      <c r="BM77" s="72" t="inlineStr">
        <is>
          <t> </t>
        </is>
      </c>
      <c r="BN77" t="n">
        <v>15827</v>
      </c>
      <c r="BO77" t="n">
        <v>1291</v>
      </c>
      <c r="BP77" t="n">
        <v>2013</v>
      </c>
      <c r="BS77" s="72" t="inlineStr">
        <is>
          <t> </t>
        </is>
      </c>
      <c r="BT77" t="n">
        <v>45743</v>
      </c>
      <c r="BU77" t="n">
        <v>1291</v>
      </c>
      <c r="BV77" t="n">
        <v>2013</v>
      </c>
      <c r="BY77" s="72" t="inlineStr">
        <is>
          <t> </t>
        </is>
      </c>
      <c r="BZ77" t="n">
        <v>45956</v>
      </c>
      <c r="CA77" t="n">
        <v>1291</v>
      </c>
      <c r="CB77" t="n">
        <v>2013</v>
      </c>
      <c r="CE77" s="72" t="inlineStr">
        <is>
          <t> </t>
        </is>
      </c>
      <c r="CF77" t="n">
        <v>45943</v>
      </c>
      <c r="CG77" t="n">
        <v>1291</v>
      </c>
      <c r="CH77" t="n">
        <v>2013</v>
      </c>
      <c r="CK77" s="72" t="inlineStr">
        <is>
          <t> </t>
        </is>
      </c>
      <c r="CL77" t="n">
        <v>46299</v>
      </c>
      <c r="CM77" t="n">
        <v>1291</v>
      </c>
      <c r="CN77" t="n">
        <v>2013</v>
      </c>
    </row>
    <row r="78">
      <c r="A78" t="n">
        <v>75187997</v>
      </c>
      <c r="B78" s="3" t="inlineStr">
        <is>
          <t>Цистерна для перевозки продуктов</t>
        </is>
      </c>
      <c r="C78" t="inlineStr">
        <is>
          <t>15-1219-1П</t>
        </is>
      </c>
      <c r="D78" t="inlineStr">
        <is>
          <t>14.10.2020</t>
        </is>
      </c>
      <c r="E78" t="n">
        <v>2020</v>
      </c>
      <c r="F78" t="inlineStr">
        <is>
          <t>14.10.2050</t>
        </is>
      </c>
      <c r="G78" t="inlineStr">
        <is>
          <t>14.10.2025</t>
        </is>
      </c>
      <c r="H78" t="inlineStr">
        <is>
          <t>ВРД Зелецино - филиал ООО "НВК"</t>
        </is>
      </c>
      <c r="K78" t="inlineStr">
        <is>
          <t>Деповской</t>
        </is>
      </c>
      <c r="L78" t="inlineStr">
        <is>
          <t>14.10.2027</t>
        </is>
      </c>
      <c r="M78" t="inlineStr">
        <is>
          <t>ООО "ТрансАльянс Запад"</t>
        </is>
      </c>
      <c r="N78" t="n">
        <v>160000</v>
      </c>
      <c r="O78" t="n">
        <v>25105</v>
      </c>
      <c r="P78" t="n">
        <v>134895</v>
      </c>
      <c r="Q78" t="inlineStr">
        <is>
          <t>22.09.2030</t>
        </is>
      </c>
      <c r="R78" t="inlineStr">
        <is>
          <t>14.10.2025</t>
        </is>
      </c>
      <c r="S78" s="72" t="inlineStr">
        <is>
          <t> </t>
        </is>
      </c>
      <c r="T78" t="n">
        <v>748888</v>
      </c>
      <c r="U78" t="inlineStr">
        <is>
          <t>0029</t>
        </is>
      </c>
      <c r="V78" t="n">
        <v>2020</v>
      </c>
      <c r="W78" t="n">
        <v>1173</v>
      </c>
      <c r="X78" t="inlineStr">
        <is>
          <t>окт.25</t>
        </is>
      </c>
      <c r="Y78" t="n">
        <v>30</v>
      </c>
      <c r="Z78" t="n">
        <v>30</v>
      </c>
      <c r="AA78" t="n">
        <v>59</v>
      </c>
      <c r="AB78" t="n">
        <v>58</v>
      </c>
      <c r="AC78" s="72" t="inlineStr">
        <is>
          <t> </t>
        </is>
      </c>
      <c r="AD78" t="n">
        <v>749344</v>
      </c>
      <c r="AE78" t="inlineStr">
        <is>
          <t>0029</t>
        </is>
      </c>
      <c r="AF78" t="n">
        <v>2020</v>
      </c>
      <c r="AG78" t="n">
        <v>1173</v>
      </c>
      <c r="AH78" t="inlineStr">
        <is>
          <t>окт.25</t>
        </is>
      </c>
      <c r="AI78" t="n">
        <v>29</v>
      </c>
      <c r="AJ78" t="n">
        <v>30</v>
      </c>
      <c r="AK78" t="n">
        <v>63</v>
      </c>
      <c r="AL78" t="n">
        <v>62</v>
      </c>
      <c r="AM78" s="72" t="inlineStr">
        <is>
          <t> </t>
        </is>
      </c>
      <c r="AN78" t="n">
        <v>9727</v>
      </c>
      <c r="AO78" t="n">
        <v>2002</v>
      </c>
      <c r="AP78" t="n">
        <v>2020</v>
      </c>
      <c r="AQ78" t="n">
        <v>1173</v>
      </c>
      <c r="AR78" t="inlineStr">
        <is>
          <t>окт.25</t>
        </is>
      </c>
      <c r="AS78" t="n">
        <v>30</v>
      </c>
      <c r="AT78" t="n">
        <v>30</v>
      </c>
      <c r="AU78" t="n">
        <v>60</v>
      </c>
      <c r="AV78" t="n">
        <v>58</v>
      </c>
      <c r="AW78" s="72" t="inlineStr">
        <is>
          <t> </t>
        </is>
      </c>
      <c r="AX78" t="n">
        <v>749335</v>
      </c>
      <c r="AY78" t="inlineStr">
        <is>
          <t>0029</t>
        </is>
      </c>
      <c r="AZ78" t="n">
        <v>2020</v>
      </c>
      <c r="BA78" t="n">
        <v>1173</v>
      </c>
      <c r="BB78" t="inlineStr">
        <is>
          <t>окт.25</t>
        </is>
      </c>
      <c r="BC78" t="n">
        <v>29</v>
      </c>
      <c r="BD78" t="n">
        <v>30</v>
      </c>
      <c r="BE78" t="n">
        <v>61</v>
      </c>
      <c r="BF78" t="n">
        <v>61</v>
      </c>
      <c r="BG78" s="72" t="inlineStr">
        <is>
          <t> </t>
        </is>
      </c>
      <c r="BH78" t="n">
        <v>27723</v>
      </c>
      <c r="BI78" t="n">
        <v>1275</v>
      </c>
      <c r="BJ78" t="n">
        <v>2020</v>
      </c>
      <c r="BM78" s="72" t="inlineStr">
        <is>
          <t> </t>
        </is>
      </c>
      <c r="BN78" t="n">
        <v>27749</v>
      </c>
      <c r="BO78" t="n">
        <v>1275</v>
      </c>
      <c r="BP78" t="n">
        <v>2020</v>
      </c>
      <c r="BS78" s="72" t="inlineStr">
        <is>
          <t> </t>
        </is>
      </c>
      <c r="BT78" t="n">
        <v>46168</v>
      </c>
      <c r="BU78" t="n">
        <v>1275</v>
      </c>
      <c r="BV78" t="n">
        <v>2020</v>
      </c>
      <c r="BY78" s="72" t="inlineStr">
        <is>
          <t> </t>
        </is>
      </c>
      <c r="BZ78" t="n">
        <v>46473</v>
      </c>
      <c r="CA78" t="n">
        <v>1275</v>
      </c>
      <c r="CB78" t="n">
        <v>2020</v>
      </c>
      <c r="CE78" s="72" t="inlineStr">
        <is>
          <t> </t>
        </is>
      </c>
      <c r="CF78" t="n">
        <v>46281</v>
      </c>
      <c r="CG78" t="n">
        <v>1275</v>
      </c>
      <c r="CH78" t="n">
        <v>2020</v>
      </c>
      <c r="CK78" s="72" t="inlineStr">
        <is>
          <t> </t>
        </is>
      </c>
      <c r="CL78" t="n">
        <v>46507</v>
      </c>
      <c r="CM78" t="n">
        <v>1275</v>
      </c>
      <c r="CN78" t="n">
        <v>2020</v>
      </c>
    </row>
    <row r="79">
      <c r="A79" t="n">
        <v>75184291</v>
      </c>
      <c r="B79" s="3" t="inlineStr">
        <is>
          <t>Цистерна для перевозки продуктов</t>
        </is>
      </c>
      <c r="C79" t="inlineStr">
        <is>
          <t>15-1219-1П</t>
        </is>
      </c>
      <c r="D79" t="inlineStr">
        <is>
          <t>08.10.2020</t>
        </is>
      </c>
      <c r="E79" t="n">
        <v>2020</v>
      </c>
      <c r="F79" t="inlineStr">
        <is>
          <t>08.10.2050</t>
        </is>
      </c>
      <c r="G79" t="inlineStr">
        <is>
          <t>22.12.2025</t>
        </is>
      </c>
      <c r="H79" t="inlineStr">
        <is>
          <t>ВРД Зелецино - филиал ООО "НВК"</t>
        </is>
      </c>
      <c r="K79" t="inlineStr">
        <is>
          <t>Деповской</t>
        </is>
      </c>
      <c r="L79" t="inlineStr">
        <is>
          <t>22.12.2027</t>
        </is>
      </c>
      <c r="M79" t="inlineStr">
        <is>
          <t>ООО "ТрансАльянс Запад"</t>
        </is>
      </c>
      <c r="N79" t="n">
        <v>160000</v>
      </c>
      <c r="O79" t="n">
        <v>24544</v>
      </c>
      <c r="P79" t="n">
        <v>135456</v>
      </c>
      <c r="Q79" t="inlineStr">
        <is>
          <t>17.10.2029</t>
        </is>
      </c>
      <c r="R79" t="inlineStr">
        <is>
          <t>22.12.2025</t>
        </is>
      </c>
      <c r="S79" s="72" t="inlineStr">
        <is>
          <t> </t>
        </is>
      </c>
      <c r="T79" t="n">
        <v>446221</v>
      </c>
      <c r="U79" t="inlineStr">
        <is>
          <t>0005</t>
        </is>
      </c>
      <c r="V79" t="n">
        <v>2020</v>
      </c>
      <c r="W79" t="n">
        <v>1173</v>
      </c>
      <c r="X79" t="inlineStr">
        <is>
          <t>дек.25</t>
        </is>
      </c>
      <c r="Y79" t="n">
        <v>30</v>
      </c>
      <c r="Z79" t="n">
        <v>29</v>
      </c>
      <c r="AA79" t="n">
        <v>58</v>
      </c>
      <c r="AB79" t="n">
        <v>58</v>
      </c>
      <c r="AC79" s="72" t="inlineStr">
        <is>
          <t> </t>
        </is>
      </c>
      <c r="AD79" t="n">
        <v>448518</v>
      </c>
      <c r="AE79" t="inlineStr">
        <is>
          <t>0005</t>
        </is>
      </c>
      <c r="AF79" t="n">
        <v>2020</v>
      </c>
      <c r="AG79" t="n">
        <v>1173</v>
      </c>
      <c r="AH79" t="inlineStr">
        <is>
          <t>дек.25</t>
        </is>
      </c>
      <c r="AI79" t="n">
        <v>30</v>
      </c>
      <c r="AJ79" t="n">
        <v>29</v>
      </c>
      <c r="AK79" t="n">
        <v>61</v>
      </c>
      <c r="AL79" t="n">
        <v>60</v>
      </c>
      <c r="AM79" s="72" t="inlineStr">
        <is>
          <t> </t>
        </is>
      </c>
      <c r="AN79" t="n">
        <v>753582</v>
      </c>
      <c r="AO79" t="inlineStr">
        <is>
          <t>0029</t>
        </is>
      </c>
      <c r="AP79" t="n">
        <v>2020</v>
      </c>
      <c r="AQ79" t="n">
        <v>1173</v>
      </c>
      <c r="AR79" t="inlineStr">
        <is>
          <t>дек.25</t>
        </is>
      </c>
      <c r="AS79" t="n">
        <v>30</v>
      </c>
      <c r="AT79" t="n">
        <v>30</v>
      </c>
      <c r="AU79" t="n">
        <v>59</v>
      </c>
      <c r="AV79" t="n">
        <v>58</v>
      </c>
      <c r="AW79" s="72" t="inlineStr">
        <is>
          <t> </t>
        </is>
      </c>
      <c r="AX79" t="n">
        <v>753596</v>
      </c>
      <c r="AY79" t="inlineStr">
        <is>
          <t>0029</t>
        </is>
      </c>
      <c r="AZ79" t="n">
        <v>2020</v>
      </c>
      <c r="BA79" t="n">
        <v>1173</v>
      </c>
      <c r="BB79" t="inlineStr">
        <is>
          <t>дек.25</t>
        </is>
      </c>
      <c r="BC79" t="n">
        <v>30</v>
      </c>
      <c r="BD79" t="n">
        <v>30</v>
      </c>
      <c r="BE79" t="n">
        <v>60</v>
      </c>
      <c r="BF79" t="n">
        <v>61</v>
      </c>
      <c r="BG79" s="72" t="inlineStr">
        <is>
          <t> </t>
        </is>
      </c>
      <c r="BH79" t="n">
        <v>27588</v>
      </c>
      <c r="BI79" t="n">
        <v>1275</v>
      </c>
      <c r="BJ79" t="n">
        <v>2020</v>
      </c>
      <c r="BM79" s="72" t="inlineStr">
        <is>
          <t> </t>
        </is>
      </c>
      <c r="BN79" t="n">
        <v>27253</v>
      </c>
      <c r="BO79" t="n">
        <v>1275</v>
      </c>
      <c r="BP79" t="n">
        <v>2020</v>
      </c>
      <c r="BS79" s="72" t="inlineStr">
        <is>
          <t> </t>
        </is>
      </c>
      <c r="BT79" t="n">
        <v>45674</v>
      </c>
      <c r="BU79" t="n">
        <v>1275</v>
      </c>
      <c r="BV79" t="n">
        <v>2020</v>
      </c>
      <c r="BY79" s="72" t="inlineStr">
        <is>
          <t> </t>
        </is>
      </c>
      <c r="BZ79" t="n">
        <v>46141</v>
      </c>
      <c r="CA79" t="n">
        <v>1275</v>
      </c>
      <c r="CB79" t="n">
        <v>2020</v>
      </c>
      <c r="CE79" s="72" t="inlineStr">
        <is>
          <t> </t>
        </is>
      </c>
      <c r="CF79" t="n">
        <v>45961</v>
      </c>
      <c r="CG79" t="n">
        <v>1275</v>
      </c>
      <c r="CH79" t="n">
        <v>2020</v>
      </c>
      <c r="CK79" s="72" t="inlineStr">
        <is>
          <t> </t>
        </is>
      </c>
      <c r="CL79" t="n">
        <v>46162</v>
      </c>
      <c r="CM79" t="n">
        <v>1275</v>
      </c>
      <c r="CN79" t="n">
        <v>2020</v>
      </c>
    </row>
    <row r="80">
      <c r="A80" t="n">
        <v>75188193</v>
      </c>
      <c r="B80" s="3" t="inlineStr">
        <is>
          <t>Цистерна для перевозки продуктов</t>
        </is>
      </c>
      <c r="C80" t="inlineStr">
        <is>
          <t>15-1219-1П</t>
        </is>
      </c>
      <c r="D80" t="inlineStr">
        <is>
          <t>14.10.2020</t>
        </is>
      </c>
      <c r="E80" t="n">
        <v>2020</v>
      </c>
      <c r="F80" t="inlineStr">
        <is>
          <t>14.10.2050</t>
        </is>
      </c>
      <c r="G80" t="inlineStr">
        <is>
          <t>22.12.2025</t>
        </is>
      </c>
      <c r="H80" t="inlineStr">
        <is>
          <t>ВРД Зелецино - филиал ООО "НВК"</t>
        </is>
      </c>
      <c r="K80" t="inlineStr">
        <is>
          <t>Деповской</t>
        </is>
      </c>
      <c r="L80" t="inlineStr">
        <is>
          <t>22.12.2027</t>
        </is>
      </c>
      <c r="M80" t="inlineStr">
        <is>
          <t>ООО "ТрансАльянс Запад"</t>
        </is>
      </c>
      <c r="N80" t="n">
        <v>160000</v>
      </c>
      <c r="O80" t="n">
        <v>26017</v>
      </c>
      <c r="P80" t="n">
        <v>133983</v>
      </c>
      <c r="Q80" t="inlineStr">
        <is>
          <t>30.07.2029</t>
        </is>
      </c>
      <c r="R80" t="inlineStr">
        <is>
          <t>22.12.2025</t>
        </is>
      </c>
      <c r="S80" s="72" t="inlineStr">
        <is>
          <t> </t>
        </is>
      </c>
      <c r="T80" t="n">
        <v>749419</v>
      </c>
      <c r="U80" t="inlineStr">
        <is>
          <t>0029</t>
        </is>
      </c>
      <c r="V80" t="n">
        <v>2020</v>
      </c>
      <c r="W80" t="n">
        <v>1173</v>
      </c>
      <c r="X80" t="inlineStr">
        <is>
          <t>дек.25</t>
        </is>
      </c>
      <c r="Y80" t="n">
        <v>30</v>
      </c>
      <c r="Z80" t="n">
        <v>30</v>
      </c>
      <c r="AA80" t="n">
        <v>62</v>
      </c>
      <c r="AB80" t="n">
        <v>62</v>
      </c>
      <c r="AC80" s="72" t="inlineStr">
        <is>
          <t> </t>
        </is>
      </c>
      <c r="AD80" t="n">
        <v>447885</v>
      </c>
      <c r="AE80" t="inlineStr">
        <is>
          <t>0005</t>
        </is>
      </c>
      <c r="AF80" t="n">
        <v>2020</v>
      </c>
      <c r="AG80" t="n">
        <v>1173</v>
      </c>
      <c r="AH80" t="inlineStr">
        <is>
          <t>дек.25</t>
        </is>
      </c>
      <c r="AI80" t="n">
        <v>30</v>
      </c>
      <c r="AJ80" t="n">
        <v>30</v>
      </c>
      <c r="AK80" t="n">
        <v>61</v>
      </c>
      <c r="AL80" t="n">
        <v>62</v>
      </c>
      <c r="AM80" s="72" t="inlineStr">
        <is>
          <t> </t>
        </is>
      </c>
      <c r="AN80" t="n">
        <v>749409</v>
      </c>
      <c r="AO80" t="inlineStr">
        <is>
          <t>0029</t>
        </is>
      </c>
      <c r="AP80" t="n">
        <v>2020</v>
      </c>
      <c r="AQ80" t="n">
        <v>1173</v>
      </c>
      <c r="AR80" t="inlineStr">
        <is>
          <t>дек.25</t>
        </is>
      </c>
      <c r="AS80" t="n">
        <v>30</v>
      </c>
      <c r="AT80" t="n">
        <v>30</v>
      </c>
      <c r="AU80" t="n">
        <v>58</v>
      </c>
      <c r="AV80" t="n">
        <v>58</v>
      </c>
      <c r="AW80" s="72" t="inlineStr">
        <is>
          <t> </t>
        </is>
      </c>
      <c r="AX80" t="n">
        <v>445922</v>
      </c>
      <c r="AY80" t="inlineStr">
        <is>
          <t>0005</t>
        </is>
      </c>
      <c r="AZ80" t="n">
        <v>2020</v>
      </c>
      <c r="BA80" t="n">
        <v>1173</v>
      </c>
      <c r="BB80" t="inlineStr">
        <is>
          <t>дек.25</t>
        </is>
      </c>
      <c r="BC80" t="n">
        <v>30</v>
      </c>
      <c r="BD80" t="n">
        <v>30</v>
      </c>
      <c r="BE80" t="n">
        <v>61</v>
      </c>
      <c r="BF80" t="n">
        <v>61</v>
      </c>
      <c r="BG80" s="72" t="inlineStr">
        <is>
          <t> </t>
        </is>
      </c>
      <c r="BH80" t="n">
        <v>27752</v>
      </c>
      <c r="BI80" t="n">
        <v>1275</v>
      </c>
      <c r="BJ80" t="n">
        <v>2020</v>
      </c>
      <c r="BM80" s="72" t="inlineStr">
        <is>
          <t> </t>
        </is>
      </c>
      <c r="BN80" t="n">
        <v>27715</v>
      </c>
      <c r="BO80" t="n">
        <v>1275</v>
      </c>
      <c r="BP80" t="n">
        <v>2020</v>
      </c>
      <c r="BS80" s="72" t="inlineStr">
        <is>
          <t> </t>
        </is>
      </c>
      <c r="BT80" t="n">
        <v>45937</v>
      </c>
      <c r="BU80" t="n">
        <v>1275</v>
      </c>
      <c r="BV80" t="n">
        <v>2020</v>
      </c>
      <c r="BY80" s="72" t="inlineStr">
        <is>
          <t> </t>
        </is>
      </c>
      <c r="BZ80" t="n">
        <v>45884</v>
      </c>
      <c r="CA80" t="n">
        <v>1275</v>
      </c>
      <c r="CB80" t="n">
        <v>2020</v>
      </c>
      <c r="CE80" s="72" t="inlineStr">
        <is>
          <t> </t>
        </is>
      </c>
      <c r="CF80" t="n">
        <v>46082</v>
      </c>
      <c r="CG80" t="n">
        <v>1275</v>
      </c>
      <c r="CH80" t="n">
        <v>2020</v>
      </c>
      <c r="CK80" s="72" t="inlineStr">
        <is>
          <t> </t>
        </is>
      </c>
      <c r="CL80" t="n">
        <v>46186</v>
      </c>
      <c r="CM80" t="n">
        <v>1275</v>
      </c>
      <c r="CN80" t="n">
        <v>2020</v>
      </c>
    </row>
    <row r="81">
      <c r="A81" t="n">
        <v>77228856</v>
      </c>
      <c r="B81" s="3" t="inlineStr">
        <is>
          <t>Цистерна для перевозки продуктов</t>
        </is>
      </c>
      <c r="C81" t="inlineStr">
        <is>
          <t>15-150-04П</t>
        </is>
      </c>
      <c r="D81" t="inlineStr">
        <is>
          <t>22.01.2015</t>
        </is>
      </c>
      <c r="E81" t="n">
        <v>2015</v>
      </c>
      <c r="F81" t="inlineStr">
        <is>
          <t>22.01.2047</t>
        </is>
      </c>
      <c r="G81" t="inlineStr">
        <is>
          <t>22.08.2025</t>
        </is>
      </c>
      <c r="H81" t="inlineStr">
        <is>
          <t>Орский ВРЗ-филиал ООО "НВК"</t>
        </is>
      </c>
      <c r="K81" t="inlineStr">
        <is>
          <t>Капитальный</t>
        </is>
      </c>
      <c r="L81" t="inlineStr">
        <is>
          <t>22.08.2028</t>
        </is>
      </c>
      <c r="M81" t="inlineStr">
        <is>
          <t>ООО "ТрансАльянс Запад"</t>
        </is>
      </c>
      <c r="N81" t="n">
        <v>160000</v>
      </c>
      <c r="O81" t="n">
        <v>37803</v>
      </c>
      <c r="P81" t="n">
        <v>122197</v>
      </c>
      <c r="Q81" t="inlineStr">
        <is>
          <t>14.07.2029</t>
        </is>
      </c>
      <c r="R81" t="inlineStr">
        <is>
          <t>22.08.2025</t>
        </is>
      </c>
      <c r="S81" s="72" t="inlineStr">
        <is>
          <t> </t>
        </is>
      </c>
      <c r="T81" t="n">
        <v>212330</v>
      </c>
      <c r="U81" t="inlineStr">
        <is>
          <t>0005</t>
        </is>
      </c>
      <c r="V81" t="n">
        <v>2014</v>
      </c>
      <c r="W81" t="n">
        <v>2348</v>
      </c>
      <c r="X81" t="inlineStr">
        <is>
          <t>авг.25</t>
        </is>
      </c>
      <c r="Y81" t="n">
        <v>33</v>
      </c>
      <c r="Z81" t="n">
        <v>33</v>
      </c>
      <c r="AA81" t="n">
        <v>73</v>
      </c>
      <c r="AB81" t="n">
        <v>74</v>
      </c>
      <c r="AC81" s="72" t="inlineStr">
        <is>
          <t> </t>
        </is>
      </c>
      <c r="AD81" t="n">
        <v>301445</v>
      </c>
      <c r="AE81" t="inlineStr">
        <is>
          <t>0005</t>
        </is>
      </c>
      <c r="AF81" t="n">
        <v>2015</v>
      </c>
      <c r="AG81" t="n">
        <v>2348</v>
      </c>
      <c r="AH81" t="inlineStr">
        <is>
          <t>авг.25</t>
        </is>
      </c>
      <c r="AI81" t="n">
        <v>33</v>
      </c>
      <c r="AJ81" t="n">
        <v>33</v>
      </c>
      <c r="AK81" t="n">
        <v>74</v>
      </c>
      <c r="AL81" t="n">
        <v>74</v>
      </c>
      <c r="AM81" s="72" t="inlineStr">
        <is>
          <t> </t>
        </is>
      </c>
      <c r="AN81" t="n">
        <v>301382</v>
      </c>
      <c r="AO81" t="inlineStr">
        <is>
          <t>0005</t>
        </is>
      </c>
      <c r="AP81" t="n">
        <v>2015</v>
      </c>
      <c r="AQ81" t="n">
        <v>2348</v>
      </c>
      <c r="AR81" t="inlineStr">
        <is>
          <t>авг.25</t>
        </is>
      </c>
      <c r="AS81" t="n">
        <v>33</v>
      </c>
      <c r="AT81" t="n">
        <v>33</v>
      </c>
      <c r="AU81" t="n">
        <v>74</v>
      </c>
      <c r="AV81" t="n">
        <v>74</v>
      </c>
      <c r="AW81" s="72" t="inlineStr">
        <is>
          <t> </t>
        </is>
      </c>
      <c r="AX81" t="n">
        <v>301003</v>
      </c>
      <c r="AY81" t="inlineStr">
        <is>
          <t>0005</t>
        </is>
      </c>
      <c r="AZ81" t="n">
        <v>2015</v>
      </c>
      <c r="BA81" t="n">
        <v>2348</v>
      </c>
      <c r="BB81" t="inlineStr">
        <is>
          <t>авг.25</t>
        </is>
      </c>
      <c r="BC81" t="n">
        <v>33</v>
      </c>
      <c r="BD81" t="n">
        <v>33</v>
      </c>
      <c r="BE81" t="n">
        <v>74</v>
      </c>
      <c r="BF81" t="n">
        <v>74</v>
      </c>
      <c r="BG81" s="72" t="inlineStr">
        <is>
          <t> </t>
        </is>
      </c>
      <c r="BH81" t="n">
        <v>412</v>
      </c>
      <c r="BI81" t="inlineStr">
        <is>
          <t>0005</t>
        </is>
      </c>
      <c r="BJ81" t="n">
        <v>2015</v>
      </c>
      <c r="BM81" s="72" t="inlineStr">
        <is>
          <t> </t>
        </is>
      </c>
      <c r="BN81" t="n">
        <v>480</v>
      </c>
      <c r="BO81" t="inlineStr">
        <is>
          <t>0005</t>
        </is>
      </c>
      <c r="BP81" t="n">
        <v>2015</v>
      </c>
      <c r="BS81" s="72" t="inlineStr">
        <is>
          <t> </t>
        </is>
      </c>
      <c r="BT81" t="n">
        <v>1004</v>
      </c>
      <c r="BU81" t="inlineStr">
        <is>
          <t>0005</t>
        </is>
      </c>
      <c r="BV81" t="n">
        <v>2015</v>
      </c>
      <c r="BY81" s="72" t="inlineStr">
        <is>
          <t> </t>
        </is>
      </c>
      <c r="BZ81" t="n">
        <v>1887</v>
      </c>
      <c r="CA81" t="inlineStr">
        <is>
          <t>0005</t>
        </is>
      </c>
      <c r="CB81" t="n">
        <v>2015</v>
      </c>
      <c r="CE81" s="72" t="inlineStr">
        <is>
          <t> </t>
        </is>
      </c>
      <c r="CF81" t="n">
        <v>2576</v>
      </c>
      <c r="CG81" t="inlineStr">
        <is>
          <t>0005</t>
        </is>
      </c>
      <c r="CH81" t="n">
        <v>2015</v>
      </c>
      <c r="CK81" s="72" t="inlineStr">
        <is>
          <t> </t>
        </is>
      </c>
      <c r="CL81" t="n">
        <v>2313</v>
      </c>
      <c r="CM81" t="inlineStr">
        <is>
          <t>0005</t>
        </is>
      </c>
      <c r="CN81" t="n">
        <v>2015</v>
      </c>
    </row>
    <row r="82">
      <c r="A82" t="n">
        <v>77228757</v>
      </c>
      <c r="B82" s="3" t="inlineStr">
        <is>
          <t>Цистерна для перевозки продуктов</t>
        </is>
      </c>
      <c r="C82" t="inlineStr">
        <is>
          <t>15-5103-7П</t>
        </is>
      </c>
      <c r="D82" t="inlineStr">
        <is>
          <t>19.01.2015</t>
        </is>
      </c>
      <c r="E82" t="n">
        <v>2015</v>
      </c>
      <c r="F82" t="inlineStr">
        <is>
          <t>19.01.2047</t>
        </is>
      </c>
      <c r="G82" t="inlineStr">
        <is>
          <t>24.08.2025</t>
        </is>
      </c>
      <c r="H82" t="inlineStr">
        <is>
          <t>Орский ВРЗ-филиал ООО "НВК"</t>
        </is>
      </c>
      <c r="K82" t="inlineStr">
        <is>
          <t>Капитальный</t>
        </is>
      </c>
      <c r="L82" t="inlineStr">
        <is>
          <t>24.08.2028</t>
        </is>
      </c>
      <c r="M82" t="inlineStr">
        <is>
          <t>ООО "ТрансАльянс Запад"</t>
        </is>
      </c>
      <c r="N82" t="n">
        <v>160000</v>
      </c>
      <c r="O82" t="n">
        <v>37272</v>
      </c>
      <c r="P82" t="n">
        <v>122728</v>
      </c>
      <c r="Q82" t="inlineStr">
        <is>
          <t>28.07.2029</t>
        </is>
      </c>
      <c r="R82" t="inlineStr">
        <is>
          <t>24.08.2025</t>
        </is>
      </c>
      <c r="S82" s="72" t="inlineStr">
        <is>
          <t> </t>
        </is>
      </c>
      <c r="T82" t="n">
        <v>4473</v>
      </c>
      <c r="U82" t="n">
        <v>1557</v>
      </c>
      <c r="V82" t="n">
        <v>2018</v>
      </c>
      <c r="W82" t="n">
        <v>2348</v>
      </c>
      <c r="X82" t="inlineStr">
        <is>
          <t>авг.25</t>
        </is>
      </c>
      <c r="Y82" t="n">
        <v>30</v>
      </c>
      <c r="Z82" t="n">
        <v>30</v>
      </c>
      <c r="AA82" t="n">
        <v>60</v>
      </c>
      <c r="AB82" t="n">
        <v>60</v>
      </c>
      <c r="AC82" s="72" t="inlineStr">
        <is>
          <t> </t>
        </is>
      </c>
      <c r="AD82" t="n">
        <v>4469</v>
      </c>
      <c r="AE82" t="n">
        <v>1557</v>
      </c>
      <c r="AF82" t="n">
        <v>2018</v>
      </c>
      <c r="AG82" t="n">
        <v>2348</v>
      </c>
      <c r="AH82" t="inlineStr">
        <is>
          <t>авг.25</t>
        </is>
      </c>
      <c r="AI82" t="n">
        <v>30</v>
      </c>
      <c r="AJ82" t="n">
        <v>30</v>
      </c>
      <c r="AK82" t="n">
        <v>57</v>
      </c>
      <c r="AL82" t="n">
        <v>56</v>
      </c>
      <c r="AM82" s="72" t="inlineStr">
        <is>
          <t> </t>
        </is>
      </c>
      <c r="AN82" t="n">
        <v>5766</v>
      </c>
      <c r="AO82" t="n">
        <v>1557</v>
      </c>
      <c r="AP82" t="n">
        <v>2018</v>
      </c>
      <c r="AQ82" t="n">
        <v>2348</v>
      </c>
      <c r="AR82" t="inlineStr">
        <is>
          <t>авг.25</t>
        </is>
      </c>
      <c r="AS82" t="n">
        <v>30</v>
      </c>
      <c r="AT82" t="n">
        <v>30</v>
      </c>
      <c r="AU82" t="n">
        <v>53</v>
      </c>
      <c r="AV82" t="n">
        <v>52</v>
      </c>
      <c r="AW82" s="72" t="inlineStr">
        <is>
          <t> </t>
        </is>
      </c>
      <c r="AX82" t="n">
        <v>4376</v>
      </c>
      <c r="AY82" t="n">
        <v>1557</v>
      </c>
      <c r="AZ82" t="n">
        <v>2018</v>
      </c>
      <c r="BA82" t="n">
        <v>2348</v>
      </c>
      <c r="BB82" t="inlineStr">
        <is>
          <t>авг.25</t>
        </is>
      </c>
      <c r="BC82" t="n">
        <v>30</v>
      </c>
      <c r="BD82" t="n">
        <v>30</v>
      </c>
      <c r="BE82" t="n">
        <v>48</v>
      </c>
      <c r="BF82" t="n">
        <v>48</v>
      </c>
      <c r="BG82" s="72" t="inlineStr">
        <is>
          <t> </t>
        </is>
      </c>
      <c r="BH82" t="n">
        <v>35388</v>
      </c>
      <c r="BI82" t="inlineStr">
        <is>
          <t>0005</t>
        </is>
      </c>
      <c r="BJ82" t="n">
        <v>2014</v>
      </c>
      <c r="BM82" s="72" t="inlineStr">
        <is>
          <t> </t>
        </is>
      </c>
      <c r="BN82" t="n">
        <v>33949</v>
      </c>
      <c r="BO82" t="inlineStr">
        <is>
          <t>0005</t>
        </is>
      </c>
      <c r="BP82" t="n">
        <v>2014</v>
      </c>
      <c r="BS82" s="72" t="inlineStr">
        <is>
          <t> </t>
        </is>
      </c>
      <c r="BT82" t="n">
        <v>864</v>
      </c>
      <c r="BU82" t="inlineStr">
        <is>
          <t>0005</t>
        </is>
      </c>
      <c r="BV82" t="n">
        <v>2015</v>
      </c>
      <c r="BY82" s="72" t="inlineStr">
        <is>
          <t> </t>
        </is>
      </c>
      <c r="BZ82" t="n">
        <v>2521</v>
      </c>
      <c r="CA82" t="inlineStr">
        <is>
          <t>0005</t>
        </is>
      </c>
      <c r="CB82" t="n">
        <v>2015</v>
      </c>
      <c r="CE82" s="72" t="inlineStr">
        <is>
          <t> </t>
        </is>
      </c>
      <c r="CF82" t="n">
        <v>627</v>
      </c>
      <c r="CG82" t="inlineStr">
        <is>
          <t>0005</t>
        </is>
      </c>
      <c r="CH82" t="n">
        <v>2015</v>
      </c>
      <c r="CK82" s="72" t="inlineStr">
        <is>
          <t> </t>
        </is>
      </c>
      <c r="CL82" t="n">
        <v>268</v>
      </c>
      <c r="CM82" t="inlineStr">
        <is>
          <t>0005</t>
        </is>
      </c>
      <c r="CN82" t="n">
        <v>2015</v>
      </c>
    </row>
    <row r="83">
      <c r="A83" t="n">
        <v>77228823</v>
      </c>
      <c r="B83" s="3" t="inlineStr">
        <is>
          <t>Цистерна для перевозки продуктов</t>
        </is>
      </c>
      <c r="C83" t="inlineStr">
        <is>
          <t>15-150-04П</t>
        </is>
      </c>
      <c r="D83" t="inlineStr">
        <is>
          <t>22.01.2015</t>
        </is>
      </c>
      <c r="E83" t="n">
        <v>2015</v>
      </c>
      <c r="F83" t="inlineStr">
        <is>
          <t>22.01.2047</t>
        </is>
      </c>
      <c r="G83" t="inlineStr">
        <is>
          <t>21.08.2025</t>
        </is>
      </c>
      <c r="H83" t="inlineStr">
        <is>
          <t>ВРД Кочетовка – филиал ООО "НВК"</t>
        </is>
      </c>
      <c r="K83" t="inlineStr">
        <is>
          <t>Капитальный</t>
        </is>
      </c>
      <c r="L83" t="inlineStr">
        <is>
          <t>21.08.2028</t>
        </is>
      </c>
      <c r="M83" t="inlineStr">
        <is>
          <t>ООО "ТрансАльянс Запад"</t>
        </is>
      </c>
      <c r="N83" t="n">
        <v>160000</v>
      </c>
      <c r="O83" t="n">
        <v>30800</v>
      </c>
      <c r="P83" t="n">
        <v>129200</v>
      </c>
      <c r="Q83" t="inlineStr">
        <is>
          <t>07.06.2030</t>
        </is>
      </c>
      <c r="R83" t="inlineStr">
        <is>
          <t>21.08.2025</t>
        </is>
      </c>
      <c r="S83" s="72" t="inlineStr">
        <is>
          <t> </t>
        </is>
      </c>
      <c r="T83" t="n">
        <v>302726</v>
      </c>
      <c r="U83" t="inlineStr">
        <is>
          <t>0005</t>
        </is>
      </c>
      <c r="V83" t="n">
        <v>2015</v>
      </c>
      <c r="W83" t="n">
        <v>301</v>
      </c>
      <c r="X83" t="inlineStr">
        <is>
          <t>авг.25</t>
        </is>
      </c>
      <c r="Y83" t="n">
        <v>30</v>
      </c>
      <c r="Z83" t="n">
        <v>30</v>
      </c>
      <c r="AA83" t="n">
        <v>37</v>
      </c>
      <c r="AB83" t="n">
        <v>37</v>
      </c>
      <c r="AC83" s="72" t="inlineStr">
        <is>
          <t> </t>
        </is>
      </c>
      <c r="AD83" t="n">
        <v>285960</v>
      </c>
      <c r="AE83" t="inlineStr">
        <is>
          <t>0005</t>
        </is>
      </c>
      <c r="AF83" t="n">
        <v>2011</v>
      </c>
      <c r="AG83" t="n">
        <v>301</v>
      </c>
      <c r="AH83" t="inlineStr">
        <is>
          <t>авг.25</t>
        </is>
      </c>
      <c r="AI83" t="n">
        <v>30</v>
      </c>
      <c r="AJ83" t="n">
        <v>30</v>
      </c>
      <c r="AK83" t="n">
        <v>39</v>
      </c>
      <c r="AL83" t="n">
        <v>39</v>
      </c>
      <c r="AM83" s="72" t="inlineStr">
        <is>
          <t> </t>
        </is>
      </c>
      <c r="AN83" t="n">
        <v>517186</v>
      </c>
      <c r="AO83" t="inlineStr">
        <is>
          <t>0029</t>
        </is>
      </c>
      <c r="AP83" t="n">
        <v>2013</v>
      </c>
      <c r="AQ83" t="n">
        <v>301</v>
      </c>
      <c r="AR83" t="inlineStr">
        <is>
          <t>авг.25</t>
        </is>
      </c>
      <c r="AS83" t="n">
        <v>30</v>
      </c>
      <c r="AT83" t="n">
        <v>30</v>
      </c>
      <c r="AU83" t="n">
        <v>38</v>
      </c>
      <c r="AV83" t="n">
        <v>38</v>
      </c>
      <c r="AW83" s="72" t="inlineStr">
        <is>
          <t> </t>
        </is>
      </c>
      <c r="AX83" t="n">
        <v>24325</v>
      </c>
      <c r="AY83" t="inlineStr">
        <is>
          <t>0039</t>
        </is>
      </c>
      <c r="AZ83" t="n">
        <v>2004</v>
      </c>
      <c r="BA83" t="n">
        <v>301</v>
      </c>
      <c r="BB83" t="inlineStr">
        <is>
          <t>авг.25</t>
        </is>
      </c>
      <c r="BC83" t="n">
        <v>30</v>
      </c>
      <c r="BD83" t="n">
        <v>30</v>
      </c>
      <c r="BE83" t="n">
        <v>39</v>
      </c>
      <c r="BF83" t="n">
        <v>38</v>
      </c>
      <c r="BG83" s="72" t="inlineStr">
        <is>
          <t> </t>
        </is>
      </c>
      <c r="BH83" t="n">
        <v>35621</v>
      </c>
      <c r="BI83" t="inlineStr">
        <is>
          <t>0005</t>
        </is>
      </c>
      <c r="BJ83" t="n">
        <v>2014</v>
      </c>
      <c r="BM83" s="72" t="inlineStr">
        <is>
          <t> </t>
        </is>
      </c>
      <c r="BN83" t="n">
        <v>34894</v>
      </c>
      <c r="BO83" t="inlineStr">
        <is>
          <t>0005</t>
        </is>
      </c>
      <c r="BP83" t="n">
        <v>2014</v>
      </c>
      <c r="BS83" s="72" t="inlineStr">
        <is>
          <t> </t>
        </is>
      </c>
      <c r="BT83" t="n">
        <v>1069</v>
      </c>
      <c r="BU83" t="inlineStr">
        <is>
          <t>0005</t>
        </is>
      </c>
      <c r="BV83" t="n">
        <v>2015</v>
      </c>
      <c r="BY83" s="72" t="inlineStr">
        <is>
          <t> </t>
        </is>
      </c>
      <c r="BZ83" t="n">
        <v>1997</v>
      </c>
      <c r="CA83" t="inlineStr">
        <is>
          <t>0005</t>
        </is>
      </c>
      <c r="CB83" t="n">
        <v>2015</v>
      </c>
      <c r="CE83" s="72" t="inlineStr">
        <is>
          <t> </t>
        </is>
      </c>
      <c r="CF83" t="n">
        <v>451</v>
      </c>
      <c r="CG83" t="inlineStr">
        <is>
          <t>0005</t>
        </is>
      </c>
      <c r="CH83" t="n">
        <v>2015</v>
      </c>
      <c r="CK83" s="72" t="inlineStr">
        <is>
          <t> </t>
        </is>
      </c>
      <c r="CL83" t="n">
        <v>247</v>
      </c>
      <c r="CM83" t="inlineStr">
        <is>
          <t>0005</t>
        </is>
      </c>
      <c r="CN83" t="n">
        <v>2015</v>
      </c>
    </row>
    <row r="84">
      <c r="A84" t="n">
        <v>77224582</v>
      </c>
      <c r="B84" s="3" t="inlineStr">
        <is>
          <t>Цистерна для перевозки продуктов</t>
        </is>
      </c>
      <c r="C84" t="inlineStr">
        <is>
          <t>15-5103-7П</t>
        </is>
      </c>
      <c r="D84" t="inlineStr">
        <is>
          <t>16.01.2012</t>
        </is>
      </c>
      <c r="E84" t="n">
        <v>2012</v>
      </c>
      <c r="F84" t="inlineStr">
        <is>
          <t>16.01.2044</t>
        </is>
      </c>
      <c r="G84" t="inlineStr">
        <is>
          <t>29.09.2022</t>
        </is>
      </c>
      <c r="H84" t="inlineStr">
        <is>
          <t>ВЧД Унеча-ООО "НВК"</t>
        </is>
      </c>
      <c r="I84" t="inlineStr">
        <is>
          <t>30.10.2025</t>
        </is>
      </c>
      <c r="J84" t="inlineStr">
        <is>
          <t>Орский ВРЗ-филиал ООО "НВК"</t>
        </is>
      </c>
      <c r="K84" t="inlineStr">
        <is>
          <t>Деповской</t>
        </is>
      </c>
      <c r="L84" t="inlineStr">
        <is>
          <t>30.10.2028</t>
        </is>
      </c>
      <c r="M84" t="inlineStr">
        <is>
          <t>ООО "ТрансАльянс Запад"</t>
        </is>
      </c>
      <c r="N84" t="n">
        <v>160000</v>
      </c>
      <c r="O84" t="n">
        <v>16955</v>
      </c>
      <c r="P84" t="n">
        <v>143045</v>
      </c>
      <c r="Q84" t="inlineStr">
        <is>
          <t>23.09.2032</t>
        </is>
      </c>
      <c r="R84" t="inlineStr">
        <is>
          <t>30.10.2025</t>
        </is>
      </c>
      <c r="S84" s="72" t="inlineStr">
        <is>
          <t> </t>
        </is>
      </c>
      <c r="T84" t="n">
        <v>284927</v>
      </c>
      <c r="U84" t="inlineStr">
        <is>
          <t>0005</t>
        </is>
      </c>
      <c r="V84" t="n">
        <v>2011</v>
      </c>
      <c r="W84" t="n">
        <v>2348</v>
      </c>
      <c r="X84" t="inlineStr">
        <is>
          <t>окт.25</t>
        </is>
      </c>
      <c r="Y84" t="n">
        <v>33</v>
      </c>
      <c r="Z84" t="n">
        <v>33</v>
      </c>
      <c r="AA84" t="n">
        <v>74</v>
      </c>
      <c r="AB84" t="n">
        <v>74</v>
      </c>
      <c r="AC84" s="72" t="inlineStr">
        <is>
          <t> </t>
        </is>
      </c>
      <c r="AD84" t="n">
        <v>284920</v>
      </c>
      <c r="AE84" t="inlineStr">
        <is>
          <t>0005</t>
        </is>
      </c>
      <c r="AF84" t="n">
        <v>2011</v>
      </c>
      <c r="AG84" t="n">
        <v>2348</v>
      </c>
      <c r="AH84" t="inlineStr">
        <is>
          <t>окт.25</t>
        </is>
      </c>
      <c r="AI84" t="n">
        <v>33</v>
      </c>
      <c r="AJ84" t="n">
        <v>33</v>
      </c>
      <c r="AK84" t="n">
        <v>74</v>
      </c>
      <c r="AL84" t="n">
        <v>74</v>
      </c>
      <c r="AM84" s="72" t="inlineStr">
        <is>
          <t> </t>
        </is>
      </c>
      <c r="AN84" t="n">
        <v>276353</v>
      </c>
      <c r="AO84" t="inlineStr">
        <is>
          <t>0005</t>
        </is>
      </c>
      <c r="AP84" t="n">
        <v>2011</v>
      </c>
      <c r="AQ84" t="n">
        <v>2348</v>
      </c>
      <c r="AR84" t="inlineStr">
        <is>
          <t>окт.25</t>
        </is>
      </c>
      <c r="AS84" t="n">
        <v>33</v>
      </c>
      <c r="AT84" t="n">
        <v>33</v>
      </c>
      <c r="AU84" t="n">
        <v>74</v>
      </c>
      <c r="AV84" t="n">
        <v>74</v>
      </c>
      <c r="AW84" s="72" t="inlineStr">
        <is>
          <t> </t>
        </is>
      </c>
      <c r="AX84" t="n">
        <v>122142</v>
      </c>
      <c r="AY84" t="inlineStr">
        <is>
          <t>0005</t>
        </is>
      </c>
      <c r="AZ84" t="n">
        <v>2012</v>
      </c>
      <c r="BA84" t="n">
        <v>2348</v>
      </c>
      <c r="BB84" t="inlineStr">
        <is>
          <t>окт.25</t>
        </is>
      </c>
      <c r="BC84" t="n">
        <v>33</v>
      </c>
      <c r="BD84" t="n">
        <v>33</v>
      </c>
      <c r="BE84" t="n">
        <v>74</v>
      </c>
      <c r="BF84" t="n">
        <v>74</v>
      </c>
      <c r="BG84" s="72" t="inlineStr">
        <is>
          <t> </t>
        </is>
      </c>
      <c r="BH84" t="n">
        <v>10500</v>
      </c>
      <c r="BI84" t="inlineStr">
        <is>
          <t>0005</t>
        </is>
      </c>
      <c r="BJ84" t="n">
        <v>2012</v>
      </c>
      <c r="BM84" s="72" t="inlineStr">
        <is>
          <t> </t>
        </is>
      </c>
      <c r="BN84" t="n">
        <v>10307</v>
      </c>
      <c r="BO84" t="inlineStr">
        <is>
          <t>0005</t>
        </is>
      </c>
      <c r="BP84" t="n">
        <v>2012</v>
      </c>
      <c r="BS84" s="72" t="inlineStr">
        <is>
          <t> </t>
        </is>
      </c>
      <c r="BT84" t="n">
        <v>1277</v>
      </c>
      <c r="BU84" t="inlineStr">
        <is>
          <t>0005</t>
        </is>
      </c>
      <c r="BV84" t="n">
        <v>2012</v>
      </c>
      <c r="BY84" s="72" t="inlineStr">
        <is>
          <t> </t>
        </is>
      </c>
      <c r="BZ84" t="n">
        <v>2699</v>
      </c>
      <c r="CA84" t="inlineStr">
        <is>
          <t>0005</t>
        </is>
      </c>
      <c r="CB84" t="n">
        <v>2012</v>
      </c>
      <c r="CE84" s="72" t="inlineStr">
        <is>
          <t> </t>
        </is>
      </c>
      <c r="CF84" t="n">
        <v>18254</v>
      </c>
      <c r="CG84" t="inlineStr">
        <is>
          <t>0005</t>
        </is>
      </c>
      <c r="CH84" t="n">
        <v>2012</v>
      </c>
      <c r="CK84" s="72" t="inlineStr">
        <is>
          <t> </t>
        </is>
      </c>
      <c r="CL84" t="n">
        <v>18142</v>
      </c>
      <c r="CM84" t="inlineStr">
        <is>
          <t>0005</t>
        </is>
      </c>
      <c r="CN84" t="n">
        <v>2012</v>
      </c>
    </row>
    <row r="85">
      <c r="A85" t="n">
        <v>77228971</v>
      </c>
      <c r="B85" s="3" t="inlineStr">
        <is>
          <t>Цистерна для перевозки продуктов</t>
        </is>
      </c>
      <c r="C85" t="inlineStr">
        <is>
          <t>15-150-04П</t>
        </is>
      </c>
      <c r="D85" t="inlineStr">
        <is>
          <t>23.01.2015</t>
        </is>
      </c>
      <c r="E85" t="n">
        <v>2015</v>
      </c>
      <c r="F85" t="inlineStr">
        <is>
          <t>23.01.2047</t>
        </is>
      </c>
      <c r="G85" t="inlineStr">
        <is>
          <t>02.02.2024</t>
        </is>
      </c>
      <c r="H85" t="inlineStr">
        <is>
          <t>ВРД Кочетовка – филиал ООО "НВК"</t>
        </is>
      </c>
      <c r="K85" t="inlineStr">
        <is>
          <t>Деповской</t>
        </is>
      </c>
      <c r="L85" t="inlineStr">
        <is>
          <t>02.02.2027</t>
        </is>
      </c>
      <c r="M85" t="inlineStr">
        <is>
          <t>ООО "ТрансАльянс Запад"</t>
        </is>
      </c>
      <c r="N85" t="n">
        <v>160000</v>
      </c>
      <c r="O85" t="n">
        <v>101271</v>
      </c>
      <c r="P85" t="n">
        <v>58729</v>
      </c>
      <c r="Q85" t="inlineStr">
        <is>
          <t>30.12.2027</t>
        </is>
      </c>
      <c r="R85" t="inlineStr">
        <is>
          <t>02.02.2024</t>
        </is>
      </c>
      <c r="S85" s="72" t="inlineStr">
        <is>
          <t> </t>
        </is>
      </c>
      <c r="T85" t="n">
        <v>186384</v>
      </c>
      <c r="U85" t="inlineStr">
        <is>
          <t>0005</t>
        </is>
      </c>
      <c r="V85" t="n">
        <v>2014</v>
      </c>
      <c r="W85" t="n">
        <v>301</v>
      </c>
      <c r="X85" t="inlineStr">
        <is>
          <t>фев.24</t>
        </is>
      </c>
      <c r="Y85" t="n">
        <v>30</v>
      </c>
      <c r="Z85" t="n">
        <v>30</v>
      </c>
      <c r="AA85" t="n">
        <v>46</v>
      </c>
      <c r="AB85" t="n">
        <v>46</v>
      </c>
      <c r="AC85" s="72" t="inlineStr">
        <is>
          <t> </t>
        </is>
      </c>
      <c r="AD85" t="n">
        <v>303269</v>
      </c>
      <c r="AE85" t="inlineStr">
        <is>
          <t>0005</t>
        </is>
      </c>
      <c r="AF85" t="n">
        <v>2015</v>
      </c>
      <c r="AG85" t="n">
        <v>301</v>
      </c>
      <c r="AH85" t="inlineStr">
        <is>
          <t>фев.24</t>
        </is>
      </c>
      <c r="AI85" t="n">
        <v>30</v>
      </c>
      <c r="AJ85" t="n">
        <v>30</v>
      </c>
      <c r="AK85" t="n">
        <v>50</v>
      </c>
      <c r="AL85" t="n">
        <v>50</v>
      </c>
      <c r="AM85" s="72" t="inlineStr">
        <is>
          <t> </t>
        </is>
      </c>
      <c r="AN85" t="n">
        <v>301389</v>
      </c>
      <c r="AO85" t="inlineStr">
        <is>
          <t>0005</t>
        </is>
      </c>
      <c r="AP85" t="n">
        <v>2015</v>
      </c>
      <c r="AQ85" t="n">
        <v>301</v>
      </c>
      <c r="AR85" t="inlineStr">
        <is>
          <t>фев.24</t>
        </is>
      </c>
      <c r="AS85" t="n">
        <v>28</v>
      </c>
      <c r="AT85" t="n">
        <v>30</v>
      </c>
      <c r="AU85" t="n">
        <v>48</v>
      </c>
      <c r="AV85" t="n">
        <v>48</v>
      </c>
      <c r="AW85" s="72" t="inlineStr">
        <is>
          <t> </t>
        </is>
      </c>
      <c r="AX85" t="n">
        <v>301207</v>
      </c>
      <c r="AY85" t="inlineStr">
        <is>
          <t>0005</t>
        </is>
      </c>
      <c r="AZ85" t="n">
        <v>2015</v>
      </c>
      <c r="BA85" t="n">
        <v>301</v>
      </c>
      <c r="BB85" t="inlineStr">
        <is>
          <t>фев.24</t>
        </is>
      </c>
      <c r="BC85" t="n">
        <v>30</v>
      </c>
      <c r="BD85" t="n">
        <v>30</v>
      </c>
      <c r="BE85" t="n">
        <v>50</v>
      </c>
      <c r="BF85" t="n">
        <v>50</v>
      </c>
      <c r="BG85" s="72" t="inlineStr">
        <is>
          <t> </t>
        </is>
      </c>
      <c r="BH85" t="n">
        <v>35127</v>
      </c>
      <c r="BI85" t="inlineStr">
        <is>
          <t>0005</t>
        </is>
      </c>
      <c r="BJ85" t="n">
        <v>2014</v>
      </c>
      <c r="BM85" s="72" t="inlineStr">
        <is>
          <t> </t>
        </is>
      </c>
      <c r="BN85" t="n">
        <v>35382</v>
      </c>
      <c r="BO85" t="inlineStr">
        <is>
          <t>0005</t>
        </is>
      </c>
      <c r="BP85" t="n">
        <v>2014</v>
      </c>
      <c r="BS85" s="72" t="inlineStr">
        <is>
          <t> </t>
        </is>
      </c>
      <c r="BT85" t="n">
        <v>1627</v>
      </c>
      <c r="BU85" t="inlineStr">
        <is>
          <t>0005</t>
        </is>
      </c>
      <c r="BV85" t="n">
        <v>2015</v>
      </c>
      <c r="BY85" s="72" t="inlineStr">
        <is>
          <t> </t>
        </is>
      </c>
      <c r="BZ85" t="n">
        <v>619</v>
      </c>
      <c r="CA85" t="inlineStr">
        <is>
          <t>0005</t>
        </is>
      </c>
      <c r="CB85" t="n">
        <v>2015</v>
      </c>
      <c r="CE85" s="72" t="inlineStr">
        <is>
          <t> </t>
        </is>
      </c>
      <c r="CF85" t="n">
        <v>1459</v>
      </c>
      <c r="CG85" t="inlineStr">
        <is>
          <t>0005</t>
        </is>
      </c>
      <c r="CH85" t="n">
        <v>2015</v>
      </c>
      <c r="CK85" s="72" t="inlineStr">
        <is>
          <t> </t>
        </is>
      </c>
      <c r="CL85" t="n">
        <v>2190</v>
      </c>
      <c r="CM85" t="inlineStr">
        <is>
          <t>0005</t>
        </is>
      </c>
      <c r="CN85" t="n">
        <v>2015</v>
      </c>
    </row>
    <row r="86">
      <c r="A86" t="n">
        <v>77222073</v>
      </c>
      <c r="B86" s="3" t="inlineStr">
        <is>
          <t>Цистерна для перевозки продуктов</t>
        </is>
      </c>
      <c r="C86" t="inlineStr">
        <is>
          <t>15-5103-7П</t>
        </is>
      </c>
      <c r="D86" t="inlineStr">
        <is>
          <t>05.09.2011</t>
        </is>
      </c>
      <c r="E86" t="n">
        <v>2011</v>
      </c>
      <c r="F86" t="inlineStr">
        <is>
          <t>05.09.2043</t>
        </is>
      </c>
      <c r="G86" t="inlineStr">
        <is>
          <t>31.03.2023</t>
        </is>
      </c>
      <c r="H86" t="inlineStr">
        <is>
          <t>ВРД Кочетовка – филиал ООО "НВК"</t>
        </is>
      </c>
      <c r="I86" t="inlineStr">
        <is>
          <t>13.07.2025</t>
        </is>
      </c>
      <c r="J86" t="inlineStr">
        <is>
          <t>ВРД Кочетовка – филиал ООО "НВК"</t>
        </is>
      </c>
      <c r="K86" t="inlineStr">
        <is>
          <t>Деповской</t>
        </is>
      </c>
      <c r="L86" t="inlineStr">
        <is>
          <t>13.07.2028</t>
        </is>
      </c>
      <c r="M86" t="inlineStr">
        <is>
          <t>ООО "ТрансАльянс Запад"</t>
        </is>
      </c>
      <c r="N86" t="n">
        <v>160000</v>
      </c>
      <c r="O86" t="n">
        <v>29541</v>
      </c>
      <c r="P86" t="n">
        <v>130459</v>
      </c>
      <c r="Q86" t="inlineStr">
        <is>
          <t>08.02.2031</t>
        </is>
      </c>
      <c r="R86" t="inlineStr">
        <is>
          <t>13.07.2025</t>
        </is>
      </c>
      <c r="S86" s="72" t="inlineStr">
        <is>
          <t> </t>
        </is>
      </c>
      <c r="T86" t="n">
        <v>277359</v>
      </c>
      <c r="U86" t="inlineStr">
        <is>
          <t>0005</t>
        </is>
      </c>
      <c r="V86" t="n">
        <v>2011</v>
      </c>
      <c r="W86" t="n">
        <v>301</v>
      </c>
      <c r="X86" t="inlineStr">
        <is>
          <t>июль.25</t>
        </is>
      </c>
      <c r="Y86" t="n">
        <v>33</v>
      </c>
      <c r="Z86" t="n">
        <v>33</v>
      </c>
      <c r="AA86" t="n">
        <v>75</v>
      </c>
      <c r="AB86" t="n">
        <v>75</v>
      </c>
      <c r="AC86" s="72" t="inlineStr">
        <is>
          <t> </t>
        </is>
      </c>
      <c r="AD86" t="n">
        <v>15693</v>
      </c>
      <c r="AE86" t="inlineStr">
        <is>
          <t>0029</t>
        </is>
      </c>
      <c r="AF86" t="n">
        <v>2011</v>
      </c>
      <c r="AG86" t="n">
        <v>301</v>
      </c>
      <c r="AH86" t="inlineStr">
        <is>
          <t>июль.25</t>
        </is>
      </c>
      <c r="AI86" t="n">
        <v>33</v>
      </c>
      <c r="AJ86" t="n">
        <v>33</v>
      </c>
      <c r="AK86" t="n">
        <v>75</v>
      </c>
      <c r="AL86" t="n">
        <v>75</v>
      </c>
      <c r="AM86" s="72" t="inlineStr">
        <is>
          <t> </t>
        </is>
      </c>
      <c r="AN86" t="n">
        <v>556901</v>
      </c>
      <c r="AO86" t="inlineStr">
        <is>
          <t>0029</t>
        </is>
      </c>
      <c r="AP86" t="n">
        <v>2007</v>
      </c>
      <c r="AQ86" t="n">
        <v>301</v>
      </c>
      <c r="AR86" t="inlineStr">
        <is>
          <t>июль.25</t>
        </is>
      </c>
      <c r="AS86" t="n">
        <v>33</v>
      </c>
      <c r="AT86" t="n">
        <v>33</v>
      </c>
      <c r="AU86" t="n">
        <v>75</v>
      </c>
      <c r="AV86" t="n">
        <v>75</v>
      </c>
      <c r="AW86" s="72" t="inlineStr">
        <is>
          <t> </t>
        </is>
      </c>
      <c r="AX86" t="n">
        <v>285166</v>
      </c>
      <c r="AY86" t="inlineStr">
        <is>
          <t>0005</t>
        </is>
      </c>
      <c r="AZ86" t="n">
        <v>2011</v>
      </c>
      <c r="BA86" t="n">
        <v>301</v>
      </c>
      <c r="BB86" t="inlineStr">
        <is>
          <t>июль.25</t>
        </is>
      </c>
      <c r="BC86" t="n">
        <v>33</v>
      </c>
      <c r="BD86" t="n">
        <v>33</v>
      </c>
      <c r="BE86" t="n">
        <v>75</v>
      </c>
      <c r="BF86" t="n">
        <v>75</v>
      </c>
      <c r="BG86" s="72" t="inlineStr">
        <is>
          <t> </t>
        </is>
      </c>
      <c r="BH86" t="n">
        <v>36980</v>
      </c>
      <c r="BI86" t="inlineStr">
        <is>
          <t>0005</t>
        </is>
      </c>
      <c r="BJ86" t="n">
        <v>2011</v>
      </c>
      <c r="BM86" s="72" t="inlineStr">
        <is>
          <t> </t>
        </is>
      </c>
      <c r="BN86" t="n">
        <v>37538</v>
      </c>
      <c r="BO86" t="inlineStr">
        <is>
          <t>0005</t>
        </is>
      </c>
      <c r="BP86" t="n">
        <v>2011</v>
      </c>
      <c r="BS86" s="72" t="inlineStr">
        <is>
          <t> </t>
        </is>
      </c>
      <c r="BT86" t="n">
        <v>64325</v>
      </c>
      <c r="BU86" t="inlineStr">
        <is>
          <t>0005</t>
        </is>
      </c>
      <c r="BV86" t="n">
        <v>2011</v>
      </c>
      <c r="BY86" s="72" t="inlineStr">
        <is>
          <t> </t>
        </is>
      </c>
      <c r="BZ86" t="n">
        <v>65324</v>
      </c>
      <c r="CA86" t="inlineStr">
        <is>
          <t>0005</t>
        </is>
      </c>
      <c r="CB86" t="n">
        <v>2011</v>
      </c>
      <c r="CE86" s="72" t="inlineStr">
        <is>
          <t> </t>
        </is>
      </c>
      <c r="CF86" t="n">
        <v>65761</v>
      </c>
      <c r="CG86" t="inlineStr">
        <is>
          <t>0005</t>
        </is>
      </c>
      <c r="CH86" t="n">
        <v>2011</v>
      </c>
      <c r="CK86" s="72" t="inlineStr">
        <is>
          <t> </t>
        </is>
      </c>
      <c r="CL86" t="n">
        <v>66112</v>
      </c>
      <c r="CM86" t="inlineStr">
        <is>
          <t>0005</t>
        </is>
      </c>
      <c r="CN86" t="n">
        <v>2011</v>
      </c>
    </row>
    <row r="87">
      <c r="A87" t="n">
        <v>77222230</v>
      </c>
      <c r="B87" s="3" t="inlineStr">
        <is>
          <t>Цистерна для перевозки продуктов</t>
        </is>
      </c>
      <c r="C87" t="inlineStr">
        <is>
          <t>15-1755П</t>
        </is>
      </c>
      <c r="D87" t="inlineStr">
        <is>
          <t>16.04.2014</t>
        </is>
      </c>
      <c r="E87" t="n">
        <v>2014</v>
      </c>
      <c r="F87" t="inlineStr">
        <is>
          <t>16.04.2044</t>
        </is>
      </c>
      <c r="G87" t="inlineStr">
        <is>
          <t>30.04.2023</t>
        </is>
      </c>
      <c r="H87" t="inlineStr">
        <is>
          <t>ВРД Кочетовка – филиал ООО "НВК"</t>
        </is>
      </c>
      <c r="I87" t="inlineStr">
        <is>
          <t>27.03.2025</t>
        </is>
      </c>
      <c r="J87" t="inlineStr">
        <is>
          <t>ВРД Кочетовка – филиал ООО "НВК"</t>
        </is>
      </c>
      <c r="K87" t="inlineStr">
        <is>
          <t>Деповской</t>
        </is>
      </c>
      <c r="L87" t="inlineStr">
        <is>
          <t>27.03.2027</t>
        </is>
      </c>
      <c r="M87" t="inlineStr">
        <is>
          <t>ООО "ТрансАльянс Запад"</t>
        </is>
      </c>
      <c r="N87" t="n">
        <v>160000</v>
      </c>
      <c r="O87" t="n">
        <v>43721</v>
      </c>
      <c r="P87" t="n">
        <v>116279</v>
      </c>
      <c r="Q87" t="inlineStr">
        <is>
          <t>31.01.2030</t>
        </is>
      </c>
      <c r="R87" t="inlineStr">
        <is>
          <t>27.03.2025</t>
        </is>
      </c>
      <c r="S87" s="72" t="inlineStr">
        <is>
          <t> </t>
        </is>
      </c>
      <c r="T87" t="n">
        <v>368154</v>
      </c>
      <c r="U87" t="inlineStr">
        <is>
          <t>0029</t>
        </is>
      </c>
      <c r="V87" t="n">
        <v>2012</v>
      </c>
      <c r="W87" t="n">
        <v>301</v>
      </c>
      <c r="X87" t="inlineStr">
        <is>
          <t>мар.25</t>
        </is>
      </c>
      <c r="Y87" t="n">
        <v>32</v>
      </c>
      <c r="Z87" t="n">
        <v>32</v>
      </c>
      <c r="AA87" t="n">
        <v>55</v>
      </c>
      <c r="AB87" t="n">
        <v>55</v>
      </c>
      <c r="AC87" s="72" t="inlineStr">
        <is>
          <t> </t>
        </is>
      </c>
      <c r="AD87" t="n">
        <v>69556</v>
      </c>
      <c r="AE87" t="n">
        <v>1175</v>
      </c>
      <c r="AF87" t="n">
        <v>2013</v>
      </c>
      <c r="AG87" t="n">
        <v>301</v>
      </c>
      <c r="AH87" t="inlineStr">
        <is>
          <t>мар.25</t>
        </is>
      </c>
      <c r="AI87" t="n">
        <v>32</v>
      </c>
      <c r="AJ87" t="n">
        <v>32</v>
      </c>
      <c r="AK87" t="n">
        <v>64</v>
      </c>
      <c r="AL87" t="n">
        <v>64</v>
      </c>
      <c r="AM87" s="72" t="inlineStr">
        <is>
          <t> </t>
        </is>
      </c>
      <c r="AN87" t="n">
        <v>340062</v>
      </c>
      <c r="AO87" t="inlineStr">
        <is>
          <t>0029</t>
        </is>
      </c>
      <c r="AP87" t="n">
        <v>2012</v>
      </c>
      <c r="AQ87" t="n">
        <v>301</v>
      </c>
      <c r="AR87" t="inlineStr">
        <is>
          <t>мар.25</t>
        </is>
      </c>
      <c r="AS87" t="n">
        <v>32</v>
      </c>
      <c r="AT87" t="n">
        <v>32</v>
      </c>
      <c r="AU87" t="n">
        <v>67</v>
      </c>
      <c r="AV87" t="n">
        <v>67</v>
      </c>
      <c r="AW87" s="72" t="inlineStr">
        <is>
          <t> </t>
        </is>
      </c>
      <c r="AX87" t="n">
        <v>123239</v>
      </c>
      <c r="AY87" t="inlineStr">
        <is>
          <t>0005</t>
        </is>
      </c>
      <c r="AZ87" t="n">
        <v>2012</v>
      </c>
      <c r="BA87" t="n">
        <v>301</v>
      </c>
      <c r="BB87" t="inlineStr">
        <is>
          <t>мар.25</t>
        </is>
      </c>
      <c r="BC87" t="n">
        <v>32</v>
      </c>
      <c r="BD87" t="n">
        <v>32</v>
      </c>
      <c r="BE87" t="n">
        <v>67</v>
      </c>
      <c r="BF87" t="n">
        <v>67</v>
      </c>
      <c r="BG87" s="72" t="inlineStr">
        <is>
          <t> </t>
        </is>
      </c>
      <c r="BH87" t="n">
        <v>50922</v>
      </c>
      <c r="BI87" t="n">
        <v>1291</v>
      </c>
      <c r="BJ87" t="n">
        <v>2014</v>
      </c>
      <c r="BM87" s="72" t="inlineStr">
        <is>
          <t> </t>
        </is>
      </c>
      <c r="BN87" t="n">
        <v>50734</v>
      </c>
      <c r="BO87" t="n">
        <v>1291</v>
      </c>
      <c r="BP87" t="n">
        <v>2014</v>
      </c>
      <c r="BS87" s="72" t="inlineStr">
        <is>
          <t> </t>
        </is>
      </c>
      <c r="BT87" t="n">
        <v>4355</v>
      </c>
      <c r="BU87" t="n">
        <v>1291</v>
      </c>
      <c r="BV87" t="n">
        <v>2014</v>
      </c>
      <c r="BY87" s="72" t="inlineStr">
        <is>
          <t> </t>
        </is>
      </c>
      <c r="BZ87" t="n">
        <v>5241</v>
      </c>
      <c r="CA87" t="n">
        <v>1291</v>
      </c>
      <c r="CB87" t="n">
        <v>2014</v>
      </c>
      <c r="CE87" s="72" t="inlineStr">
        <is>
          <t> </t>
        </is>
      </c>
      <c r="CF87" t="n">
        <v>3790</v>
      </c>
      <c r="CG87" t="n">
        <v>1291</v>
      </c>
      <c r="CH87" t="n">
        <v>2014</v>
      </c>
      <c r="CK87" s="72" t="inlineStr">
        <is>
          <t> </t>
        </is>
      </c>
      <c r="CL87" t="n">
        <v>3960</v>
      </c>
      <c r="CM87" t="n">
        <v>1291</v>
      </c>
      <c r="CN87" t="n">
        <v>2014</v>
      </c>
    </row>
    <row r="88">
      <c r="A88" t="n">
        <v>77205755</v>
      </c>
      <c r="B88" s="3" t="inlineStr">
        <is>
          <t>Цистерна для перевозки продуктов</t>
        </is>
      </c>
      <c r="C88" t="inlineStr">
        <is>
          <t>15-1755П</t>
        </is>
      </c>
      <c r="D88" t="inlineStr">
        <is>
          <t>20.06.2013</t>
        </is>
      </c>
      <c r="E88" t="n">
        <v>2013</v>
      </c>
      <c r="F88" t="inlineStr">
        <is>
          <t>20.06.2043</t>
        </is>
      </c>
      <c r="G88" t="inlineStr">
        <is>
          <t>09.03.2026</t>
        </is>
      </c>
      <c r="H88" t="inlineStr">
        <is>
          <t>Аякозское ВРД</t>
        </is>
      </c>
      <c r="I88" t="inlineStr">
        <is>
          <t>30.03.2024</t>
        </is>
      </c>
      <c r="J88" t="inlineStr">
        <is>
          <t>ВРД Кочетовка – филиал ООО "НВК"</t>
        </is>
      </c>
      <c r="K88" t="inlineStr">
        <is>
          <t>Деповской</t>
        </is>
      </c>
      <c r="L88" t="inlineStr">
        <is>
          <t>09.03.2028</t>
        </is>
      </c>
      <c r="M88" t="inlineStr">
        <is>
          <t>ООО "ТрансАльянс Запад"</t>
        </is>
      </c>
      <c r="N88" t="n">
        <v>160000</v>
      </c>
      <c r="O88" t="n">
        <v>5895</v>
      </c>
      <c r="P88" t="n">
        <v>154105</v>
      </c>
      <c r="Q88" t="inlineStr">
        <is>
          <t>13.05.2036</t>
        </is>
      </c>
      <c r="R88" t="inlineStr">
        <is>
          <t>09.03.2026</t>
        </is>
      </c>
      <c r="S88" s="72" t="inlineStr">
        <is>
          <t> </t>
        </is>
      </c>
      <c r="T88" t="n">
        <v>123374</v>
      </c>
      <c r="U88" t="inlineStr">
        <is>
          <t>0005</t>
        </is>
      </c>
      <c r="V88" t="n">
        <v>2012</v>
      </c>
      <c r="W88" t="n">
        <v>698</v>
      </c>
      <c r="X88" t="inlineStr">
        <is>
          <t>мар.26</t>
        </is>
      </c>
      <c r="Y88" t="n">
        <v>0</v>
      </c>
      <c r="Z88" t="n">
        <v>0</v>
      </c>
      <c r="AA88" t="n">
        <v>66</v>
      </c>
      <c r="AB88" t="n">
        <v>68</v>
      </c>
      <c r="AC88" s="72" t="inlineStr">
        <is>
          <t> </t>
        </is>
      </c>
      <c r="AD88" t="n">
        <v>122769</v>
      </c>
      <c r="AE88" t="inlineStr">
        <is>
          <t>0005</t>
        </is>
      </c>
      <c r="AF88" t="n">
        <v>2012</v>
      </c>
      <c r="AG88" t="n">
        <v>698</v>
      </c>
      <c r="AH88" t="inlineStr">
        <is>
          <t>мар.26</t>
        </is>
      </c>
      <c r="AI88" t="n">
        <v>0</v>
      </c>
      <c r="AJ88" t="n">
        <v>0</v>
      </c>
      <c r="AK88" t="n">
        <v>68</v>
      </c>
      <c r="AL88" t="n">
        <v>68</v>
      </c>
      <c r="AM88" s="72" t="inlineStr">
        <is>
          <t> </t>
        </is>
      </c>
      <c r="AN88" t="n">
        <v>73335</v>
      </c>
      <c r="AO88" t="n">
        <v>1175</v>
      </c>
      <c r="AP88" t="n">
        <v>2012</v>
      </c>
      <c r="AQ88" t="n">
        <v>698</v>
      </c>
      <c r="AR88" t="inlineStr">
        <is>
          <t>мар.26</t>
        </is>
      </c>
      <c r="AS88" t="n">
        <v>0</v>
      </c>
      <c r="AT88" t="n">
        <v>0</v>
      </c>
      <c r="AU88" t="n">
        <v>67</v>
      </c>
      <c r="AV88" t="n">
        <v>71</v>
      </c>
      <c r="AW88" s="72" t="inlineStr">
        <is>
          <t> </t>
        </is>
      </c>
      <c r="AX88" t="n">
        <v>444011</v>
      </c>
      <c r="AY88" t="inlineStr">
        <is>
          <t>0029</t>
        </is>
      </c>
      <c r="AZ88" t="n">
        <v>2013</v>
      </c>
      <c r="BA88" t="n">
        <v>698</v>
      </c>
      <c r="BB88" t="inlineStr">
        <is>
          <t>мар.26</t>
        </is>
      </c>
      <c r="BC88" t="n">
        <v>0</v>
      </c>
      <c r="BD88" t="n">
        <v>0</v>
      </c>
      <c r="BE88" t="n">
        <v>67</v>
      </c>
      <c r="BF88" t="n">
        <v>69</v>
      </c>
      <c r="BG88" s="72" t="inlineStr">
        <is>
          <t> </t>
        </is>
      </c>
      <c r="BH88" t="n">
        <v>13958</v>
      </c>
      <c r="BI88" t="n">
        <v>1291</v>
      </c>
      <c r="BJ88" t="n">
        <v>2013</v>
      </c>
      <c r="BM88" s="72" t="inlineStr">
        <is>
          <t> </t>
        </is>
      </c>
      <c r="BN88" t="n">
        <v>15621</v>
      </c>
      <c r="BO88" t="n">
        <v>1291</v>
      </c>
      <c r="BP88" t="n">
        <v>2013</v>
      </c>
      <c r="BS88" s="72" t="inlineStr">
        <is>
          <t> </t>
        </is>
      </c>
      <c r="BT88" t="n">
        <v>39577</v>
      </c>
      <c r="BU88" t="n">
        <v>1291</v>
      </c>
      <c r="BV88" t="n">
        <v>2013</v>
      </c>
      <c r="BY88" s="72" t="inlineStr">
        <is>
          <t> </t>
        </is>
      </c>
      <c r="BZ88" t="n">
        <v>39399</v>
      </c>
      <c r="CA88" t="n">
        <v>1291</v>
      </c>
      <c r="CB88" t="n">
        <v>2013</v>
      </c>
      <c r="CE88" s="72" t="inlineStr">
        <is>
          <t> </t>
        </is>
      </c>
      <c r="CF88" t="n">
        <v>40699</v>
      </c>
      <c r="CG88" t="n">
        <v>1291</v>
      </c>
      <c r="CH88" t="n">
        <v>2013</v>
      </c>
      <c r="CK88" s="72" t="inlineStr">
        <is>
          <t> </t>
        </is>
      </c>
      <c r="CL88" t="n">
        <v>44644</v>
      </c>
      <c r="CM88" t="n">
        <v>1291</v>
      </c>
      <c r="CN88" t="n">
        <v>2013</v>
      </c>
    </row>
    <row r="89">
      <c r="A89" t="n">
        <v>77205805</v>
      </c>
      <c r="B89" s="3" t="inlineStr">
        <is>
          <t>Цистерна для перевозки продуктов</t>
        </is>
      </c>
      <c r="C89" t="inlineStr">
        <is>
          <t>15-1755П</t>
        </is>
      </c>
      <c r="D89" t="inlineStr">
        <is>
          <t>20.06.2013</t>
        </is>
      </c>
      <c r="E89" t="n">
        <v>2013</v>
      </c>
      <c r="F89" t="inlineStr">
        <is>
          <t>20.06.2043</t>
        </is>
      </c>
      <c r="G89" t="inlineStr">
        <is>
          <t>09.03.2026</t>
        </is>
      </c>
      <c r="H89" t="inlineStr">
        <is>
          <t>Аякозское ВРД</t>
        </is>
      </c>
      <c r="I89" t="inlineStr">
        <is>
          <t>22.03.2024</t>
        </is>
      </c>
      <c r="J89" t="inlineStr">
        <is>
          <t>Орский ВРЗ-филиал ООО "НВК"</t>
        </is>
      </c>
      <c r="K89" t="inlineStr">
        <is>
          <t>Деповской</t>
        </is>
      </c>
      <c r="L89" t="inlineStr">
        <is>
          <t>09.03.2028</t>
        </is>
      </c>
      <c r="M89" t="inlineStr">
        <is>
          <t>ООО "ТрансАльянс Запад"</t>
        </is>
      </c>
      <c r="N89" t="n">
        <v>160000</v>
      </c>
      <c r="O89" t="n">
        <v>5895</v>
      </c>
      <c r="P89" t="n">
        <v>154105</v>
      </c>
      <c r="Q89" t="inlineStr">
        <is>
          <t>13.05.2036</t>
        </is>
      </c>
      <c r="R89" t="inlineStr">
        <is>
          <t>09.03.2026</t>
        </is>
      </c>
      <c r="S89" s="72" t="inlineStr">
        <is>
          <t> </t>
        </is>
      </c>
      <c r="T89" t="n">
        <v>456628</v>
      </c>
      <c r="U89" t="inlineStr">
        <is>
          <t>0029</t>
        </is>
      </c>
      <c r="V89" t="n">
        <v>2013</v>
      </c>
      <c r="W89" t="n">
        <v>698</v>
      </c>
      <c r="X89" t="inlineStr">
        <is>
          <t>мар.26</t>
        </is>
      </c>
      <c r="Y89" t="n">
        <v>0</v>
      </c>
      <c r="Z89" t="n">
        <v>0</v>
      </c>
      <c r="AA89" t="n">
        <v>68</v>
      </c>
      <c r="AB89" t="n">
        <v>68</v>
      </c>
      <c r="AC89" s="72" t="inlineStr">
        <is>
          <t> </t>
        </is>
      </c>
      <c r="AD89" t="n">
        <v>447125</v>
      </c>
      <c r="AE89" t="inlineStr">
        <is>
          <t>0029</t>
        </is>
      </c>
      <c r="AF89" t="n">
        <v>2013</v>
      </c>
      <c r="AG89" t="n">
        <v>698</v>
      </c>
      <c r="AH89" t="inlineStr">
        <is>
          <t>мар.26</t>
        </is>
      </c>
      <c r="AI89" t="n">
        <v>0</v>
      </c>
      <c r="AJ89" t="n">
        <v>0</v>
      </c>
      <c r="AK89" t="n">
        <v>66</v>
      </c>
      <c r="AL89" t="n">
        <v>67</v>
      </c>
      <c r="AM89" s="72" t="inlineStr">
        <is>
          <t> </t>
        </is>
      </c>
      <c r="AN89" t="n">
        <v>434247</v>
      </c>
      <c r="AO89" t="inlineStr">
        <is>
          <t>0029</t>
        </is>
      </c>
      <c r="AP89" t="n">
        <v>2013</v>
      </c>
      <c r="AQ89" t="n">
        <v>698</v>
      </c>
      <c r="AR89" t="inlineStr">
        <is>
          <t>мар.26</t>
        </is>
      </c>
      <c r="AS89" t="n">
        <v>0</v>
      </c>
      <c r="AT89" t="n">
        <v>0</v>
      </c>
      <c r="AU89" t="n">
        <v>64</v>
      </c>
      <c r="AV89" t="n">
        <v>65</v>
      </c>
      <c r="AW89" s="72" t="inlineStr">
        <is>
          <t> </t>
        </is>
      </c>
      <c r="AX89" t="n">
        <v>444321</v>
      </c>
      <c r="AY89" t="inlineStr">
        <is>
          <t>0029</t>
        </is>
      </c>
      <c r="AZ89" t="n">
        <v>2013</v>
      </c>
      <c r="BA89" t="n">
        <v>698</v>
      </c>
      <c r="BB89" t="inlineStr">
        <is>
          <t>мар.26</t>
        </is>
      </c>
      <c r="BC89" t="n">
        <v>0</v>
      </c>
      <c r="BD89" t="n">
        <v>0</v>
      </c>
      <c r="BE89" t="n">
        <v>64</v>
      </c>
      <c r="BF89" t="n">
        <v>66</v>
      </c>
      <c r="BG89" s="72" t="inlineStr">
        <is>
          <t> </t>
        </is>
      </c>
      <c r="BH89" t="n">
        <v>15739</v>
      </c>
      <c r="BI89" t="n">
        <v>1291</v>
      </c>
      <c r="BJ89" t="n">
        <v>2013</v>
      </c>
      <c r="BM89" s="72" t="inlineStr">
        <is>
          <t> </t>
        </is>
      </c>
      <c r="BN89" t="n">
        <v>15693</v>
      </c>
      <c r="BO89" t="n">
        <v>1291</v>
      </c>
      <c r="BP89" t="n">
        <v>2013</v>
      </c>
      <c r="BS89" s="72" t="inlineStr">
        <is>
          <t> </t>
        </is>
      </c>
      <c r="BT89" t="n">
        <v>44593</v>
      </c>
      <c r="BU89" t="n">
        <v>1291</v>
      </c>
      <c r="BV89" t="n">
        <v>2013</v>
      </c>
      <c r="BY89" s="72" t="inlineStr">
        <is>
          <t> </t>
        </is>
      </c>
      <c r="BZ89" t="n">
        <v>203200</v>
      </c>
      <c r="CA89" t="n">
        <v>1291</v>
      </c>
      <c r="CB89" t="n">
        <v>2013</v>
      </c>
      <c r="CE89" s="72" t="inlineStr">
        <is>
          <t> </t>
        </is>
      </c>
      <c r="CF89" t="n">
        <v>43516</v>
      </c>
      <c r="CG89" t="n">
        <v>1291</v>
      </c>
      <c r="CH89" t="n">
        <v>2013</v>
      </c>
      <c r="CK89" s="72" t="inlineStr">
        <is>
          <t> </t>
        </is>
      </c>
      <c r="CL89" t="n">
        <v>45037</v>
      </c>
      <c r="CM89" t="n">
        <v>1291</v>
      </c>
      <c r="CN89" t="n">
        <v>2013</v>
      </c>
    </row>
    <row r="90">
      <c r="A90" t="n">
        <v>77206019</v>
      </c>
      <c r="B90" s="3" t="inlineStr">
        <is>
          <t>Цистерна для перевозки продуктов</t>
        </is>
      </c>
      <c r="C90" t="inlineStr">
        <is>
          <t>15-1755П</t>
        </is>
      </c>
      <c r="D90" t="inlineStr">
        <is>
          <t>20.06.2013</t>
        </is>
      </c>
      <c r="E90" t="n">
        <v>2013</v>
      </c>
      <c r="F90" t="inlineStr">
        <is>
          <t>20.06.2043</t>
        </is>
      </c>
      <c r="G90" t="inlineStr">
        <is>
          <t>10.03.2026</t>
        </is>
      </c>
      <c r="H90" t="inlineStr">
        <is>
          <t>Усть-Каменогорское ВРД</t>
        </is>
      </c>
      <c r="I90" t="inlineStr">
        <is>
          <t>04.04.2024</t>
        </is>
      </c>
      <c r="J90" t="inlineStr">
        <is>
          <t>ВРД Кочетовка – филиал ООО "НВК"</t>
        </is>
      </c>
      <c r="K90" t="inlineStr">
        <is>
          <t>Деповской</t>
        </is>
      </c>
      <c r="L90" t="inlineStr">
        <is>
          <t>10.03.2028</t>
        </is>
      </c>
      <c r="M90" t="inlineStr">
        <is>
          <t>ООО "ТрансАльянс Запад"</t>
        </is>
      </c>
      <c r="N90" t="n">
        <v>110000</v>
      </c>
      <c r="O90" t="n">
        <v>5531</v>
      </c>
      <c r="P90" t="n">
        <v>104469</v>
      </c>
      <c r="Q90" t="inlineStr">
        <is>
          <t>05.08.2033</t>
        </is>
      </c>
      <c r="R90" t="inlineStr">
        <is>
          <t>10.03.2026</t>
        </is>
      </c>
      <c r="S90" s="72" t="inlineStr">
        <is>
          <t> </t>
        </is>
      </c>
      <c r="T90" t="n">
        <v>370093</v>
      </c>
      <c r="U90" t="inlineStr">
        <is>
          <t>0029</t>
        </is>
      </c>
      <c r="V90" t="n">
        <v>2012</v>
      </c>
      <c r="W90" t="n">
        <v>745</v>
      </c>
      <c r="X90" t="inlineStr">
        <is>
          <t>мар.26</t>
        </is>
      </c>
      <c r="Y90" t="n">
        <v>0</v>
      </c>
      <c r="Z90" t="n">
        <v>0</v>
      </c>
      <c r="AA90" t="n">
        <v>30</v>
      </c>
      <c r="AB90" t="n">
        <v>30</v>
      </c>
      <c r="AC90" s="72" t="inlineStr">
        <is>
          <t> </t>
        </is>
      </c>
      <c r="AD90" t="n">
        <v>443422</v>
      </c>
      <c r="AE90" t="inlineStr">
        <is>
          <t>0029</t>
        </is>
      </c>
      <c r="AF90" t="n">
        <v>2013</v>
      </c>
      <c r="AG90" t="n">
        <v>745</v>
      </c>
      <c r="AH90" t="inlineStr">
        <is>
          <t>мар.26</t>
        </is>
      </c>
      <c r="AI90" t="n">
        <v>0</v>
      </c>
      <c r="AJ90" t="n">
        <v>0</v>
      </c>
      <c r="AK90" t="n">
        <v>33</v>
      </c>
      <c r="AL90" t="n">
        <v>33</v>
      </c>
      <c r="AM90" s="72" t="inlineStr">
        <is>
          <t> </t>
        </is>
      </c>
      <c r="AN90" t="n">
        <v>442785</v>
      </c>
      <c r="AO90" t="inlineStr">
        <is>
          <t>0029</t>
        </is>
      </c>
      <c r="AP90" t="n">
        <v>2013</v>
      </c>
      <c r="AQ90" t="n">
        <v>745</v>
      </c>
      <c r="AR90" t="inlineStr">
        <is>
          <t>мар.26</t>
        </is>
      </c>
      <c r="AS90" t="n">
        <v>0</v>
      </c>
      <c r="AT90" t="n">
        <v>0</v>
      </c>
      <c r="AU90" t="n">
        <v>32</v>
      </c>
      <c r="AV90" t="n">
        <v>32</v>
      </c>
      <c r="AW90" s="72" t="inlineStr">
        <is>
          <t> </t>
        </is>
      </c>
      <c r="AX90" t="n">
        <v>318853</v>
      </c>
      <c r="AY90" t="inlineStr">
        <is>
          <t>0029</t>
        </is>
      </c>
      <c r="AZ90" t="n">
        <v>2012</v>
      </c>
      <c r="BA90" t="n">
        <v>745</v>
      </c>
      <c r="BB90" t="inlineStr">
        <is>
          <t>мар.26</t>
        </is>
      </c>
      <c r="BC90" t="n">
        <v>0</v>
      </c>
      <c r="BD90" t="n">
        <v>0</v>
      </c>
      <c r="BE90" t="n">
        <v>32</v>
      </c>
      <c r="BF90" t="n">
        <v>32</v>
      </c>
      <c r="BG90" s="72" t="inlineStr">
        <is>
          <t> </t>
        </is>
      </c>
      <c r="BH90" t="n">
        <v>15545</v>
      </c>
      <c r="BI90" t="n">
        <v>1291</v>
      </c>
      <c r="BJ90" t="n">
        <v>2013</v>
      </c>
      <c r="BM90" s="72" t="inlineStr">
        <is>
          <t> </t>
        </is>
      </c>
      <c r="BN90" t="n">
        <v>15768</v>
      </c>
      <c r="BO90" t="n">
        <v>1291</v>
      </c>
      <c r="BP90" t="n">
        <v>2013</v>
      </c>
      <c r="BS90" s="72" t="inlineStr">
        <is>
          <t> </t>
        </is>
      </c>
      <c r="BT90" t="n">
        <v>203111</v>
      </c>
      <c r="BU90" t="n">
        <v>1291</v>
      </c>
      <c r="BV90" t="n">
        <v>2013</v>
      </c>
      <c r="BY90" s="72" t="inlineStr">
        <is>
          <t> </t>
        </is>
      </c>
      <c r="BZ90" t="n">
        <v>203202</v>
      </c>
      <c r="CA90" t="n">
        <v>1291</v>
      </c>
      <c r="CB90" t="n">
        <v>2013</v>
      </c>
      <c r="CE90" s="72" t="inlineStr">
        <is>
          <t> </t>
        </is>
      </c>
      <c r="CF90" t="n">
        <v>44842</v>
      </c>
      <c r="CG90" t="n">
        <v>1291</v>
      </c>
      <c r="CH90" t="n">
        <v>2013</v>
      </c>
      <c r="CK90" s="72" t="inlineStr">
        <is>
          <t> </t>
        </is>
      </c>
      <c r="CL90" t="n">
        <v>44870</v>
      </c>
      <c r="CM90" t="n">
        <v>1291</v>
      </c>
      <c r="CN90" t="n">
        <v>2013</v>
      </c>
    </row>
    <row r="91">
      <c r="A91" t="n">
        <v>77228880</v>
      </c>
      <c r="B91" s="3" t="inlineStr">
        <is>
          <t>Цистерна для перевозки продуктов</t>
        </is>
      </c>
      <c r="C91" t="inlineStr">
        <is>
          <t>15-150-04П</t>
        </is>
      </c>
      <c r="D91" t="inlineStr">
        <is>
          <t>22.01.2015</t>
        </is>
      </c>
      <c r="E91" t="n">
        <v>2015</v>
      </c>
      <c r="F91" t="inlineStr">
        <is>
          <t>22.01.2047</t>
        </is>
      </c>
      <c r="G91" t="inlineStr">
        <is>
          <t>22.08.2025</t>
        </is>
      </c>
      <c r="H91" t="inlineStr">
        <is>
          <t>Орский ВРЗ-филиал ООО "НВК"</t>
        </is>
      </c>
      <c r="K91" t="inlineStr">
        <is>
          <t>Капитальный</t>
        </is>
      </c>
      <c r="L91" t="inlineStr">
        <is>
          <t>22.08.2028</t>
        </is>
      </c>
      <c r="M91" t="inlineStr">
        <is>
          <t>ООО "ТрансАльянс Запад"</t>
        </is>
      </c>
      <c r="N91" t="n">
        <v>160000</v>
      </c>
      <c r="O91" t="n">
        <v>43319</v>
      </c>
      <c r="P91" t="n">
        <v>116681</v>
      </c>
      <c r="Q91" t="inlineStr">
        <is>
          <t>14.01.2029</t>
        </is>
      </c>
      <c r="R91" t="inlineStr">
        <is>
          <t>22.08.2025</t>
        </is>
      </c>
      <c r="S91" s="72" t="inlineStr">
        <is>
          <t> </t>
        </is>
      </c>
      <c r="T91" t="n">
        <v>205478</v>
      </c>
      <c r="U91" t="inlineStr">
        <is>
          <t>0005</t>
        </is>
      </c>
      <c r="V91" t="n">
        <v>2014</v>
      </c>
      <c r="W91" t="n">
        <v>2348</v>
      </c>
      <c r="X91" t="inlineStr">
        <is>
          <t>авг.25</t>
        </is>
      </c>
      <c r="Y91" t="n">
        <v>30</v>
      </c>
      <c r="Z91" t="n">
        <v>30</v>
      </c>
      <c r="AA91" t="n">
        <v>42</v>
      </c>
      <c r="AB91" t="n">
        <v>41</v>
      </c>
      <c r="AC91" s="72" t="inlineStr">
        <is>
          <t> </t>
        </is>
      </c>
      <c r="AD91" t="n">
        <v>880609</v>
      </c>
      <c r="AE91" t="inlineStr">
        <is>
          <t>0005</t>
        </is>
      </c>
      <c r="AF91" t="n">
        <v>2018</v>
      </c>
      <c r="AG91" t="n">
        <v>2348</v>
      </c>
      <c r="AH91" t="inlineStr">
        <is>
          <t>авг.25</t>
        </is>
      </c>
      <c r="AI91" t="n">
        <v>30</v>
      </c>
      <c r="AJ91" t="n">
        <v>30</v>
      </c>
      <c r="AK91" t="n">
        <v>51</v>
      </c>
      <c r="AL91" t="n">
        <v>50</v>
      </c>
      <c r="AM91" s="72" t="inlineStr">
        <is>
          <t> </t>
        </is>
      </c>
      <c r="AN91" t="n">
        <v>301072</v>
      </c>
      <c r="AO91" t="inlineStr">
        <is>
          <t>0005</t>
        </is>
      </c>
      <c r="AP91" t="n">
        <v>2015</v>
      </c>
      <c r="AQ91" t="n">
        <v>2348</v>
      </c>
      <c r="AR91" t="inlineStr">
        <is>
          <t>авг.25</t>
        </is>
      </c>
      <c r="AS91" t="n">
        <v>30</v>
      </c>
      <c r="AT91" t="n">
        <v>30</v>
      </c>
      <c r="AU91" t="n">
        <v>44</v>
      </c>
      <c r="AV91" t="n">
        <v>43</v>
      </c>
      <c r="AW91" s="72" t="inlineStr">
        <is>
          <t> </t>
        </is>
      </c>
      <c r="AX91" t="n">
        <v>814596</v>
      </c>
      <c r="AY91" t="inlineStr">
        <is>
          <t>0005</t>
        </is>
      </c>
      <c r="AZ91" t="n">
        <v>2018</v>
      </c>
      <c r="BA91" t="n">
        <v>2348</v>
      </c>
      <c r="BB91" t="inlineStr">
        <is>
          <t>авг.25</t>
        </is>
      </c>
      <c r="BC91" t="n">
        <v>30</v>
      </c>
      <c r="BD91" t="n">
        <v>30</v>
      </c>
      <c r="BE91" t="n">
        <v>43</v>
      </c>
      <c r="BF91" t="n">
        <v>43</v>
      </c>
      <c r="BG91" s="72" t="inlineStr">
        <is>
          <t> </t>
        </is>
      </c>
      <c r="BH91" t="n">
        <v>275</v>
      </c>
      <c r="BI91" t="inlineStr">
        <is>
          <t>0005</t>
        </is>
      </c>
      <c r="BJ91" t="n">
        <v>2015</v>
      </c>
      <c r="BM91" s="72" t="inlineStr">
        <is>
          <t> </t>
        </is>
      </c>
      <c r="BN91" t="n">
        <v>35284</v>
      </c>
      <c r="BO91" t="inlineStr">
        <is>
          <t>0005</t>
        </is>
      </c>
      <c r="BP91" t="n">
        <v>2014</v>
      </c>
      <c r="BS91" s="72" t="inlineStr">
        <is>
          <t> </t>
        </is>
      </c>
      <c r="BT91" t="n">
        <v>67279</v>
      </c>
      <c r="BU91" t="inlineStr">
        <is>
          <t>0005</t>
        </is>
      </c>
      <c r="BV91" t="n">
        <v>2014</v>
      </c>
      <c r="BY91" s="72" t="inlineStr">
        <is>
          <t> </t>
        </is>
      </c>
      <c r="BZ91" t="n">
        <v>1263</v>
      </c>
      <c r="CA91" t="inlineStr">
        <is>
          <t>0005</t>
        </is>
      </c>
      <c r="CB91" t="n">
        <v>2015</v>
      </c>
      <c r="CE91" s="72" t="inlineStr">
        <is>
          <t> </t>
        </is>
      </c>
      <c r="CF91" t="n">
        <v>641</v>
      </c>
      <c r="CG91" t="inlineStr">
        <is>
          <t>0005</t>
        </is>
      </c>
      <c r="CH91" t="n">
        <v>2015</v>
      </c>
      <c r="CK91" s="72" t="inlineStr">
        <is>
          <t> </t>
        </is>
      </c>
      <c r="CL91" t="n">
        <v>2057</v>
      </c>
      <c r="CM91" t="inlineStr">
        <is>
          <t>0005</t>
        </is>
      </c>
      <c r="CN91" t="n">
        <v>2015</v>
      </c>
    </row>
    <row r="92">
      <c r="A92" t="n">
        <v>77228955</v>
      </c>
      <c r="B92" s="3" t="inlineStr">
        <is>
          <t>Цистерна для перевозки продуктов</t>
        </is>
      </c>
      <c r="C92" t="inlineStr">
        <is>
          <t>15-150-04П</t>
        </is>
      </c>
      <c r="D92" t="inlineStr">
        <is>
          <t>23.01.2015</t>
        </is>
      </c>
      <c r="E92" t="n">
        <v>2015</v>
      </c>
      <c r="F92" t="inlineStr">
        <is>
          <t>23.01.2047</t>
        </is>
      </c>
      <c r="G92" t="inlineStr">
        <is>
          <t>25.08.2025</t>
        </is>
      </c>
      <c r="H92" t="inlineStr">
        <is>
          <t>Орский ВРЗ-филиал ООО "НВК"</t>
        </is>
      </c>
      <c r="K92" t="inlineStr">
        <is>
          <t>Капитальный</t>
        </is>
      </c>
      <c r="L92" t="inlineStr">
        <is>
          <t>25.08.2028</t>
        </is>
      </c>
      <c r="M92" t="inlineStr">
        <is>
          <t>ООО "ТрансАльянс Запад"</t>
        </is>
      </c>
      <c r="N92" t="n">
        <v>160000</v>
      </c>
      <c r="O92" t="n">
        <v>39794</v>
      </c>
      <c r="P92" t="n">
        <v>120206</v>
      </c>
      <c r="Q92" t="inlineStr">
        <is>
          <t>25.04.2029</t>
        </is>
      </c>
      <c r="R92" t="inlineStr">
        <is>
          <t>25.08.2025</t>
        </is>
      </c>
      <c r="S92" s="72" t="inlineStr">
        <is>
          <t> </t>
        </is>
      </c>
      <c r="T92" t="n">
        <v>300048</v>
      </c>
      <c r="U92" t="inlineStr">
        <is>
          <t>0005</t>
        </is>
      </c>
      <c r="V92" t="n">
        <v>2015</v>
      </c>
      <c r="W92" t="n">
        <v>2348</v>
      </c>
      <c r="X92" t="inlineStr">
        <is>
          <t>авг.25</t>
        </is>
      </c>
      <c r="Y92" t="n">
        <v>33</v>
      </c>
      <c r="Z92" t="n">
        <v>33</v>
      </c>
      <c r="AA92" t="n">
        <v>75</v>
      </c>
      <c r="AB92" t="n">
        <v>75</v>
      </c>
      <c r="AC92" s="72" t="inlineStr">
        <is>
          <t> </t>
        </is>
      </c>
      <c r="AD92" t="n">
        <v>301224</v>
      </c>
      <c r="AE92" t="inlineStr">
        <is>
          <t>0005</t>
        </is>
      </c>
      <c r="AF92" t="n">
        <v>2015</v>
      </c>
      <c r="AG92" t="n">
        <v>2348</v>
      </c>
      <c r="AH92" t="inlineStr">
        <is>
          <t>авг.25</t>
        </is>
      </c>
      <c r="AI92" t="n">
        <v>33</v>
      </c>
      <c r="AJ92" t="n">
        <v>33</v>
      </c>
      <c r="AK92" t="n">
        <v>75</v>
      </c>
      <c r="AL92" t="n">
        <v>75</v>
      </c>
      <c r="AM92" s="72" t="inlineStr">
        <is>
          <t> </t>
        </is>
      </c>
      <c r="AN92" t="n">
        <v>302361</v>
      </c>
      <c r="AO92" t="inlineStr">
        <is>
          <t>0005</t>
        </is>
      </c>
      <c r="AP92" t="n">
        <v>2015</v>
      </c>
      <c r="AQ92" t="n">
        <v>2348</v>
      </c>
      <c r="AR92" t="inlineStr">
        <is>
          <t>авг.25</t>
        </is>
      </c>
      <c r="AS92" t="n">
        <v>33</v>
      </c>
      <c r="AT92" t="n">
        <v>33</v>
      </c>
      <c r="AU92" t="n">
        <v>75</v>
      </c>
      <c r="AV92" t="n">
        <v>75</v>
      </c>
      <c r="AW92" s="72" t="inlineStr">
        <is>
          <t> </t>
        </is>
      </c>
      <c r="AX92" t="n">
        <v>301688</v>
      </c>
      <c r="AY92" t="inlineStr">
        <is>
          <t>0005</t>
        </is>
      </c>
      <c r="AZ92" t="n">
        <v>2015</v>
      </c>
      <c r="BA92" t="n">
        <v>2348</v>
      </c>
      <c r="BB92" t="inlineStr">
        <is>
          <t>авг.25</t>
        </is>
      </c>
      <c r="BC92" t="n">
        <v>33</v>
      </c>
      <c r="BD92" t="n">
        <v>33</v>
      </c>
      <c r="BE92" t="n">
        <v>75</v>
      </c>
      <c r="BF92" t="n">
        <v>75</v>
      </c>
      <c r="BG92" s="72" t="inlineStr">
        <is>
          <t> </t>
        </is>
      </c>
      <c r="BH92" t="n">
        <v>35252</v>
      </c>
      <c r="BI92" t="inlineStr">
        <is>
          <t>0005</t>
        </is>
      </c>
      <c r="BJ92" t="n">
        <v>2014</v>
      </c>
      <c r="BM92" s="72" t="inlineStr">
        <is>
          <t> </t>
        </is>
      </c>
      <c r="BN92" t="n">
        <v>35305</v>
      </c>
      <c r="BO92" t="inlineStr">
        <is>
          <t>0005</t>
        </is>
      </c>
      <c r="BP92" t="n">
        <v>2014</v>
      </c>
      <c r="BS92" s="72" t="inlineStr">
        <is>
          <t> </t>
        </is>
      </c>
      <c r="BT92" t="n">
        <v>228</v>
      </c>
      <c r="BU92" t="inlineStr">
        <is>
          <t>0005</t>
        </is>
      </c>
      <c r="BV92" t="n">
        <v>2015</v>
      </c>
      <c r="BY92" s="72" t="inlineStr">
        <is>
          <t> </t>
        </is>
      </c>
      <c r="BZ92" t="n">
        <v>1584</v>
      </c>
      <c r="CA92" t="inlineStr">
        <is>
          <t>0005</t>
        </is>
      </c>
      <c r="CB92" t="n">
        <v>2015</v>
      </c>
      <c r="CE92" s="72" t="inlineStr">
        <is>
          <t> </t>
        </is>
      </c>
      <c r="CF92" t="n">
        <v>2609</v>
      </c>
      <c r="CG92" t="inlineStr">
        <is>
          <t>0005</t>
        </is>
      </c>
      <c r="CH92" t="n">
        <v>2015</v>
      </c>
      <c r="CK92" s="72" t="inlineStr">
        <is>
          <t> </t>
        </is>
      </c>
      <c r="CL92" t="n">
        <v>1334</v>
      </c>
      <c r="CM92" t="inlineStr">
        <is>
          <t>0005</t>
        </is>
      </c>
      <c r="CN92" t="n">
        <v>2015</v>
      </c>
    </row>
    <row r="93">
      <c r="A93" t="n">
        <v>77228872</v>
      </c>
      <c r="B93" s="3" t="inlineStr">
        <is>
          <t>Цистерна для перевозки продуктов</t>
        </is>
      </c>
      <c r="C93" t="inlineStr">
        <is>
          <t>15-150-04П</t>
        </is>
      </c>
      <c r="D93" t="inlineStr">
        <is>
          <t>22.01.2015</t>
        </is>
      </c>
      <c r="E93" t="n">
        <v>2015</v>
      </c>
      <c r="F93" t="inlineStr">
        <is>
          <t>22.01.2047</t>
        </is>
      </c>
      <c r="G93" t="inlineStr">
        <is>
          <t>20.08.2025</t>
        </is>
      </c>
      <c r="H93" t="inlineStr">
        <is>
          <t>Орский ВРЗ-филиал ООО "НВК"</t>
        </is>
      </c>
      <c r="K93" t="inlineStr">
        <is>
          <t>Капитальный</t>
        </is>
      </c>
      <c r="L93" t="inlineStr">
        <is>
          <t>20.08.2028</t>
        </is>
      </c>
      <c r="M93" t="inlineStr">
        <is>
          <t>ООО "ТрансАльянс Запад"</t>
        </is>
      </c>
      <c r="N93" t="n">
        <v>160000</v>
      </c>
      <c r="O93" t="n">
        <v>36456</v>
      </c>
      <c r="P93" t="n">
        <v>123544</v>
      </c>
      <c r="Q93" t="inlineStr">
        <is>
          <t>11.09.2029</t>
        </is>
      </c>
      <c r="R93" t="inlineStr">
        <is>
          <t>20.08.2025</t>
        </is>
      </c>
      <c r="S93" s="72" t="inlineStr">
        <is>
          <t> </t>
        </is>
      </c>
      <c r="T93" t="n">
        <v>302807</v>
      </c>
      <c r="U93" t="inlineStr">
        <is>
          <t>0005</t>
        </is>
      </c>
      <c r="V93" t="n">
        <v>2015</v>
      </c>
      <c r="W93" t="n">
        <v>2348</v>
      </c>
      <c r="X93" t="inlineStr">
        <is>
          <t>авг.25</t>
        </is>
      </c>
      <c r="Y93" t="n">
        <v>33</v>
      </c>
      <c r="Z93" t="n">
        <v>33</v>
      </c>
      <c r="AA93" t="n">
        <v>74</v>
      </c>
      <c r="AB93" t="n">
        <v>74</v>
      </c>
      <c r="AC93" s="72" t="inlineStr">
        <is>
          <t> </t>
        </is>
      </c>
      <c r="AD93" t="n">
        <v>302089</v>
      </c>
      <c r="AE93" t="inlineStr">
        <is>
          <t>0005</t>
        </is>
      </c>
      <c r="AF93" t="n">
        <v>2015</v>
      </c>
      <c r="AG93" t="n">
        <v>2348</v>
      </c>
      <c r="AH93" t="inlineStr">
        <is>
          <t>авг.25</t>
        </is>
      </c>
      <c r="AI93" t="n">
        <v>33</v>
      </c>
      <c r="AJ93" t="n">
        <v>33</v>
      </c>
      <c r="AK93" t="n">
        <v>74</v>
      </c>
      <c r="AL93" t="n">
        <v>74</v>
      </c>
      <c r="AM93" s="72" t="inlineStr">
        <is>
          <t> </t>
        </is>
      </c>
      <c r="AN93" t="n">
        <v>206198</v>
      </c>
      <c r="AO93" t="inlineStr">
        <is>
          <t>0005</t>
        </is>
      </c>
      <c r="AP93" t="n">
        <v>2014</v>
      </c>
      <c r="AQ93" t="n">
        <v>2348</v>
      </c>
      <c r="AR93" t="inlineStr">
        <is>
          <t>авг.25</t>
        </is>
      </c>
      <c r="AS93" t="n">
        <v>33</v>
      </c>
      <c r="AT93" t="n">
        <v>33</v>
      </c>
      <c r="AU93" t="n">
        <v>74</v>
      </c>
      <c r="AV93" t="n">
        <v>74</v>
      </c>
      <c r="AW93" s="72" t="inlineStr">
        <is>
          <t> </t>
        </is>
      </c>
      <c r="AX93" t="n">
        <v>206591</v>
      </c>
      <c r="AY93" t="inlineStr">
        <is>
          <t>0005</t>
        </is>
      </c>
      <c r="AZ93" t="n">
        <v>2014</v>
      </c>
      <c r="BA93" t="n">
        <v>2348</v>
      </c>
      <c r="BB93" t="inlineStr">
        <is>
          <t>авг.25</t>
        </is>
      </c>
      <c r="BC93" t="n">
        <v>33</v>
      </c>
      <c r="BD93" t="n">
        <v>33</v>
      </c>
      <c r="BE93" t="n">
        <v>74</v>
      </c>
      <c r="BF93" t="n">
        <v>74</v>
      </c>
      <c r="BG93" s="72" t="inlineStr">
        <is>
          <t> </t>
        </is>
      </c>
      <c r="BH93" t="n">
        <v>35184</v>
      </c>
      <c r="BI93" t="inlineStr">
        <is>
          <t>0005</t>
        </is>
      </c>
      <c r="BJ93" t="n">
        <v>2014</v>
      </c>
      <c r="BM93" s="72" t="inlineStr">
        <is>
          <t> </t>
        </is>
      </c>
      <c r="BN93" t="n">
        <v>634</v>
      </c>
      <c r="BO93" t="inlineStr">
        <is>
          <t>0005</t>
        </is>
      </c>
      <c r="BP93" t="n">
        <v>2015</v>
      </c>
      <c r="BS93" s="72" t="inlineStr">
        <is>
          <t> </t>
        </is>
      </c>
      <c r="BT93" t="n">
        <v>2289</v>
      </c>
      <c r="BU93" t="inlineStr">
        <is>
          <t>0005</t>
        </is>
      </c>
      <c r="BV93" t="n">
        <v>2015</v>
      </c>
      <c r="BY93" s="72" t="inlineStr">
        <is>
          <t> </t>
        </is>
      </c>
      <c r="BZ93" t="n">
        <v>2048</v>
      </c>
      <c r="CA93" t="inlineStr">
        <is>
          <t>0005</t>
        </is>
      </c>
      <c r="CB93" t="n">
        <v>2015</v>
      </c>
      <c r="CE93" s="72" t="inlineStr">
        <is>
          <t> </t>
        </is>
      </c>
      <c r="CF93" t="n">
        <v>434</v>
      </c>
      <c r="CG93" t="inlineStr">
        <is>
          <t>0005</t>
        </is>
      </c>
      <c r="CH93" t="n">
        <v>2015</v>
      </c>
      <c r="CK93" s="72" t="inlineStr">
        <is>
          <t> </t>
        </is>
      </c>
      <c r="CL93" t="n">
        <v>1886</v>
      </c>
      <c r="CM93" t="inlineStr">
        <is>
          <t>0005</t>
        </is>
      </c>
      <c r="CN93" t="n">
        <v>2015</v>
      </c>
    </row>
    <row r="94">
      <c r="A94" t="n">
        <v>77228765</v>
      </c>
      <c r="B94" s="3" t="inlineStr">
        <is>
          <t>Цистерна для перевозки продуктов</t>
        </is>
      </c>
      <c r="C94" t="inlineStr">
        <is>
          <t>15-5103-7П</t>
        </is>
      </c>
      <c r="D94" t="inlineStr">
        <is>
          <t>19.01.2015</t>
        </is>
      </c>
      <c r="E94" t="n">
        <v>2015</v>
      </c>
      <c r="F94" t="inlineStr">
        <is>
          <t>19.01.2047</t>
        </is>
      </c>
      <c r="G94" t="inlineStr">
        <is>
          <t>24.08.2025</t>
        </is>
      </c>
      <c r="H94" t="inlineStr">
        <is>
          <t>Орский ВРЗ-филиал ООО "НВК"</t>
        </is>
      </c>
      <c r="K94" t="inlineStr">
        <is>
          <t>Капитальный</t>
        </is>
      </c>
      <c r="L94" t="inlineStr">
        <is>
          <t>24.08.2028</t>
        </is>
      </c>
      <c r="M94" t="inlineStr">
        <is>
          <t>ООО "ТрансАльянс Запад"</t>
        </is>
      </c>
      <c r="N94" t="n">
        <v>160000</v>
      </c>
      <c r="O94" t="n">
        <v>35335</v>
      </c>
      <c r="P94" t="n">
        <v>124665</v>
      </c>
      <c r="Q94" t="inlineStr">
        <is>
          <t>14.10.2029</t>
        </is>
      </c>
      <c r="R94" t="inlineStr">
        <is>
          <t>24.08.2025</t>
        </is>
      </c>
      <c r="S94" s="72" t="inlineStr">
        <is>
          <t> </t>
        </is>
      </c>
      <c r="T94" t="n">
        <v>303157</v>
      </c>
      <c r="U94" t="inlineStr">
        <is>
          <t>0005</t>
        </is>
      </c>
      <c r="V94" t="n">
        <v>2015</v>
      </c>
      <c r="W94" t="n">
        <v>2348</v>
      </c>
      <c r="X94" t="inlineStr">
        <is>
          <t>авг.25</t>
        </is>
      </c>
      <c r="Y94" t="n">
        <v>33</v>
      </c>
      <c r="Z94" t="n">
        <v>33</v>
      </c>
      <c r="AA94" t="n">
        <v>75</v>
      </c>
      <c r="AB94" t="n">
        <v>75</v>
      </c>
      <c r="AC94" s="72" t="inlineStr">
        <is>
          <t> </t>
        </is>
      </c>
      <c r="AD94" t="n">
        <v>205747</v>
      </c>
      <c r="AE94" t="inlineStr">
        <is>
          <t>0005</t>
        </is>
      </c>
      <c r="AF94" t="n">
        <v>2014</v>
      </c>
      <c r="AG94" t="n">
        <v>2348</v>
      </c>
      <c r="AH94" t="inlineStr">
        <is>
          <t>авг.25</t>
        </is>
      </c>
      <c r="AI94" t="n">
        <v>33</v>
      </c>
      <c r="AJ94" t="n">
        <v>33</v>
      </c>
      <c r="AK94" t="n">
        <v>75</v>
      </c>
      <c r="AL94" t="n">
        <v>75</v>
      </c>
      <c r="AM94" s="72" t="inlineStr">
        <is>
          <t> </t>
        </is>
      </c>
      <c r="AN94" t="n">
        <v>302086</v>
      </c>
      <c r="AO94" t="inlineStr">
        <is>
          <t>0005</t>
        </is>
      </c>
      <c r="AP94" t="n">
        <v>2015</v>
      </c>
      <c r="AQ94" t="n">
        <v>2348</v>
      </c>
      <c r="AR94" t="inlineStr">
        <is>
          <t>авг.25</t>
        </is>
      </c>
      <c r="AS94" t="n">
        <v>33</v>
      </c>
      <c r="AT94" t="n">
        <v>33</v>
      </c>
      <c r="AU94" t="n">
        <v>75</v>
      </c>
      <c r="AV94" t="n">
        <v>75</v>
      </c>
      <c r="AW94" s="72" t="inlineStr">
        <is>
          <t> </t>
        </is>
      </c>
      <c r="AX94" t="n">
        <v>301314</v>
      </c>
      <c r="AY94" t="inlineStr">
        <is>
          <t>0005</t>
        </is>
      </c>
      <c r="AZ94" t="n">
        <v>2015</v>
      </c>
      <c r="BA94" t="n">
        <v>2348</v>
      </c>
      <c r="BB94" t="inlineStr">
        <is>
          <t>авг.25</t>
        </is>
      </c>
      <c r="BC94" t="n">
        <v>33</v>
      </c>
      <c r="BD94" t="n">
        <v>33</v>
      </c>
      <c r="BE94" t="n">
        <v>74</v>
      </c>
      <c r="BF94" t="n">
        <v>74</v>
      </c>
      <c r="BG94" s="72" t="inlineStr">
        <is>
          <t> </t>
        </is>
      </c>
      <c r="BH94" t="n">
        <v>28782</v>
      </c>
      <c r="BI94" t="inlineStr">
        <is>
          <t>0005</t>
        </is>
      </c>
      <c r="BJ94" t="n">
        <v>2014</v>
      </c>
      <c r="BM94" s="72" t="inlineStr">
        <is>
          <t> </t>
        </is>
      </c>
      <c r="BN94" t="n">
        <v>33337</v>
      </c>
      <c r="BO94" t="inlineStr">
        <is>
          <t>0005</t>
        </is>
      </c>
      <c r="BP94" t="n">
        <v>2014</v>
      </c>
      <c r="BS94" s="72" t="inlineStr">
        <is>
          <t> </t>
        </is>
      </c>
      <c r="BT94" t="n">
        <v>1078</v>
      </c>
      <c r="BU94" t="inlineStr">
        <is>
          <t>0005</t>
        </is>
      </c>
      <c r="BV94" t="n">
        <v>2015</v>
      </c>
      <c r="BY94" s="72" t="inlineStr">
        <is>
          <t> </t>
        </is>
      </c>
      <c r="BZ94" t="n">
        <v>1203</v>
      </c>
      <c r="CA94" t="inlineStr">
        <is>
          <t>0005</t>
        </is>
      </c>
      <c r="CB94" t="n">
        <v>2015</v>
      </c>
      <c r="CE94" s="72" t="inlineStr">
        <is>
          <t> </t>
        </is>
      </c>
      <c r="CF94" t="n">
        <v>788</v>
      </c>
      <c r="CG94" t="inlineStr">
        <is>
          <t>0005</t>
        </is>
      </c>
      <c r="CH94" t="n">
        <v>2015</v>
      </c>
      <c r="CK94" s="72" t="inlineStr">
        <is>
          <t> </t>
        </is>
      </c>
      <c r="CL94" t="n">
        <v>95068</v>
      </c>
      <c r="CM94" t="inlineStr">
        <is>
          <t>0005</t>
        </is>
      </c>
      <c r="CN94" t="n">
        <v>2015</v>
      </c>
    </row>
    <row r="95">
      <c r="A95" t="n">
        <v>77222057</v>
      </c>
      <c r="B95" s="3" t="inlineStr">
        <is>
          <t>Цистерна для перевозки продуктов</t>
        </is>
      </c>
      <c r="C95" t="inlineStr">
        <is>
          <t>15-150-04П</t>
        </is>
      </c>
      <c r="D95" t="inlineStr">
        <is>
          <t>31.08.2011</t>
        </is>
      </c>
      <c r="E95" t="n">
        <v>2011</v>
      </c>
      <c r="F95" t="inlineStr">
        <is>
          <t>31.08.2043</t>
        </is>
      </c>
      <c r="G95" t="inlineStr">
        <is>
          <t>06.02.2023</t>
        </is>
      </c>
      <c r="H95" t="inlineStr">
        <is>
          <t>ВРЗ Челябинск – филиал ООО "НВК"</t>
        </is>
      </c>
      <c r="I95" t="inlineStr">
        <is>
          <t>06.03.2026</t>
        </is>
      </c>
      <c r="J95" t="inlineStr">
        <is>
          <t>Усть-Каменогорское ВРД</t>
        </is>
      </c>
      <c r="K95" t="inlineStr">
        <is>
          <t>Деповской</t>
        </is>
      </c>
      <c r="L95" t="inlineStr">
        <is>
          <t>06.03.2029</t>
        </is>
      </c>
      <c r="M95" t="inlineStr">
        <is>
          <t>ООО "ТрансАльянс Запад"</t>
        </is>
      </c>
      <c r="N95" t="n">
        <v>160000</v>
      </c>
      <c r="O95" t="n">
        <v>14069</v>
      </c>
      <c r="P95" t="n">
        <v>145931</v>
      </c>
      <c r="Q95" t="inlineStr">
        <is>
          <t>15.07.2030</t>
        </is>
      </c>
      <c r="R95" t="inlineStr">
        <is>
          <t>06.03.2026</t>
        </is>
      </c>
      <c r="S95" s="72" t="inlineStr">
        <is>
          <t> </t>
        </is>
      </c>
      <c r="T95" t="n">
        <v>279078</v>
      </c>
      <c r="U95" t="inlineStr">
        <is>
          <t>0005</t>
        </is>
      </c>
      <c r="V95" t="n">
        <v>2011</v>
      </c>
      <c r="W95" t="n">
        <v>745</v>
      </c>
      <c r="X95" t="inlineStr">
        <is>
          <t>мар.26</t>
        </is>
      </c>
      <c r="Y95" t="n">
        <v>0</v>
      </c>
      <c r="Z95" t="n">
        <v>0</v>
      </c>
      <c r="AA95" t="n">
        <v>58</v>
      </c>
      <c r="AB95" t="n">
        <v>58</v>
      </c>
      <c r="AC95" s="72" t="inlineStr">
        <is>
          <t> </t>
        </is>
      </c>
      <c r="AD95" t="n">
        <v>403484</v>
      </c>
      <c r="AE95" t="inlineStr">
        <is>
          <t>0005</t>
        </is>
      </c>
      <c r="AF95" t="n">
        <v>2013</v>
      </c>
      <c r="AG95" t="n">
        <v>745</v>
      </c>
      <c r="AH95" t="inlineStr">
        <is>
          <t>мар.26</t>
        </is>
      </c>
      <c r="AI95" t="n">
        <v>0</v>
      </c>
      <c r="AJ95" t="n">
        <v>0</v>
      </c>
      <c r="AK95" t="n">
        <v>56</v>
      </c>
      <c r="AL95" t="n">
        <v>56</v>
      </c>
      <c r="AM95" s="72" t="inlineStr">
        <is>
          <t> </t>
        </is>
      </c>
      <c r="AN95" t="n">
        <v>23981</v>
      </c>
      <c r="AO95" t="inlineStr">
        <is>
          <t>0039</t>
        </is>
      </c>
      <c r="AP95" t="n">
        <v>2011</v>
      </c>
      <c r="AQ95" t="n">
        <v>745</v>
      </c>
      <c r="AR95" t="inlineStr">
        <is>
          <t>мар.26</t>
        </is>
      </c>
      <c r="AS95" t="n">
        <v>0</v>
      </c>
      <c r="AT95" t="n">
        <v>0</v>
      </c>
      <c r="AU95" t="n">
        <v>67</v>
      </c>
      <c r="AV95" t="n">
        <v>67</v>
      </c>
      <c r="AW95" s="72" t="inlineStr">
        <is>
          <t> </t>
        </is>
      </c>
      <c r="AX95" t="n">
        <v>283920</v>
      </c>
      <c r="AY95" t="inlineStr">
        <is>
          <t>0005</t>
        </is>
      </c>
      <c r="AZ95" t="n">
        <v>2011</v>
      </c>
      <c r="BA95" t="n">
        <v>745</v>
      </c>
      <c r="BB95" t="inlineStr">
        <is>
          <t>мар.26</t>
        </is>
      </c>
      <c r="BC95" t="n">
        <v>0</v>
      </c>
      <c r="BD95" t="n">
        <v>0</v>
      </c>
      <c r="BE95" t="n">
        <v>66</v>
      </c>
      <c r="BF95" t="n">
        <v>66</v>
      </c>
      <c r="BG95" s="72" t="inlineStr">
        <is>
          <t> </t>
        </is>
      </c>
      <c r="BH95" t="n">
        <v>37179</v>
      </c>
      <c r="BI95" t="inlineStr">
        <is>
          <t>0005</t>
        </is>
      </c>
      <c r="BJ95" t="n">
        <v>2011</v>
      </c>
      <c r="BM95" s="72" t="inlineStr">
        <is>
          <t> </t>
        </is>
      </c>
      <c r="BN95" t="n">
        <v>37342</v>
      </c>
      <c r="BO95" t="inlineStr">
        <is>
          <t>0005</t>
        </is>
      </c>
      <c r="BP95" t="n">
        <v>2011</v>
      </c>
      <c r="BS95" s="72" t="inlineStr">
        <is>
          <t> </t>
        </is>
      </c>
      <c r="BT95" t="n">
        <v>66199</v>
      </c>
      <c r="BU95" t="inlineStr">
        <is>
          <t>0005</t>
        </is>
      </c>
      <c r="BV95" t="n">
        <v>2011</v>
      </c>
      <c r="BY95" s="72" t="inlineStr">
        <is>
          <t> </t>
        </is>
      </c>
      <c r="BZ95" t="n">
        <v>65306</v>
      </c>
      <c r="CA95" t="inlineStr">
        <is>
          <t>0005</t>
        </is>
      </c>
      <c r="CB95" t="n">
        <v>2011</v>
      </c>
      <c r="CE95" s="72" t="inlineStr">
        <is>
          <t> </t>
        </is>
      </c>
      <c r="CF95" t="n">
        <v>65937</v>
      </c>
      <c r="CG95" t="inlineStr">
        <is>
          <t>0005</t>
        </is>
      </c>
      <c r="CH95" t="n">
        <v>2011</v>
      </c>
      <c r="CK95" s="72" t="inlineStr">
        <is>
          <t> </t>
        </is>
      </c>
      <c r="CL95" t="n">
        <v>65915</v>
      </c>
      <c r="CM95" t="inlineStr">
        <is>
          <t>0005</t>
        </is>
      </c>
      <c r="CN95" t="n">
        <v>2011</v>
      </c>
    </row>
    <row r="96">
      <c r="A96" t="n">
        <v>77228948</v>
      </c>
      <c r="B96" s="3" t="inlineStr">
        <is>
          <t>Цистерна для перевозки продуктов</t>
        </is>
      </c>
      <c r="C96" t="inlineStr">
        <is>
          <t>15-150-04П</t>
        </is>
      </c>
      <c r="D96" t="inlineStr">
        <is>
          <t>23.01.2015</t>
        </is>
      </c>
      <c r="E96" t="n">
        <v>2015</v>
      </c>
      <c r="F96" t="inlineStr">
        <is>
          <t>23.01.2047</t>
        </is>
      </c>
      <c r="G96" t="inlineStr">
        <is>
          <t>23.10.2025</t>
        </is>
      </c>
      <c r="H96" t="inlineStr">
        <is>
          <t>ВРД Тольятти – филиал ООО "НВК"</t>
        </is>
      </c>
      <c r="K96" t="inlineStr">
        <is>
          <t>Капитальный</t>
        </is>
      </c>
      <c r="L96" t="inlineStr">
        <is>
          <t>23.10.2028</t>
        </is>
      </c>
      <c r="M96" t="inlineStr">
        <is>
          <t>ООО "ТрансАльянс Запад"</t>
        </is>
      </c>
      <c r="N96" t="n">
        <v>160000</v>
      </c>
      <c r="O96" t="n">
        <v>24614</v>
      </c>
      <c r="P96" t="n">
        <v>135386</v>
      </c>
      <c r="Q96" t="inlineStr">
        <is>
          <t>08.09.2030</t>
        </is>
      </c>
      <c r="R96" t="inlineStr">
        <is>
          <t>23.10.2025</t>
        </is>
      </c>
      <c r="S96" s="72" t="inlineStr">
        <is>
          <t> </t>
        </is>
      </c>
      <c r="T96" t="n">
        <v>300901</v>
      </c>
      <c r="U96" t="inlineStr">
        <is>
          <t>0005</t>
        </is>
      </c>
      <c r="V96" t="n">
        <v>2015</v>
      </c>
      <c r="W96" t="n">
        <v>2080</v>
      </c>
      <c r="X96" t="inlineStr">
        <is>
          <t>окт.25</t>
        </is>
      </c>
      <c r="Y96" t="n">
        <v>30</v>
      </c>
      <c r="Z96" t="n">
        <v>30</v>
      </c>
      <c r="AA96" t="n">
        <v>42</v>
      </c>
      <c r="AB96" t="n">
        <v>42</v>
      </c>
      <c r="AC96" s="72" t="inlineStr">
        <is>
          <t> </t>
        </is>
      </c>
      <c r="AD96" t="n">
        <v>301909</v>
      </c>
      <c r="AE96" t="inlineStr">
        <is>
          <t>0005</t>
        </is>
      </c>
      <c r="AF96" t="n">
        <v>2015</v>
      </c>
      <c r="AG96" t="n">
        <v>2080</v>
      </c>
      <c r="AH96" t="inlineStr">
        <is>
          <t>окт.25</t>
        </is>
      </c>
      <c r="AI96" t="n">
        <v>30</v>
      </c>
      <c r="AJ96" t="n">
        <v>30</v>
      </c>
      <c r="AK96" t="n">
        <v>36</v>
      </c>
      <c r="AL96" t="n">
        <v>36</v>
      </c>
      <c r="AM96" s="72" t="inlineStr">
        <is>
          <t> </t>
        </is>
      </c>
      <c r="AN96" t="n">
        <v>318861</v>
      </c>
      <c r="AO96" t="inlineStr">
        <is>
          <t>0029</t>
        </is>
      </c>
      <c r="AP96" t="n">
        <v>2012</v>
      </c>
      <c r="AQ96" t="n">
        <v>2080</v>
      </c>
      <c r="AR96" t="inlineStr">
        <is>
          <t>окт.25</t>
        </is>
      </c>
      <c r="AS96" t="n">
        <v>30</v>
      </c>
      <c r="AT96" t="n">
        <v>30</v>
      </c>
      <c r="AU96" t="n">
        <v>35</v>
      </c>
      <c r="AV96" t="n">
        <v>35</v>
      </c>
      <c r="AW96" s="72" t="inlineStr">
        <is>
          <t> </t>
        </is>
      </c>
      <c r="AX96" t="n">
        <v>443805</v>
      </c>
      <c r="AY96" t="inlineStr">
        <is>
          <t>0029</t>
        </is>
      </c>
      <c r="AZ96" t="n">
        <v>2013</v>
      </c>
      <c r="BA96" t="n">
        <v>2080</v>
      </c>
      <c r="BB96" t="inlineStr">
        <is>
          <t>окт.25</t>
        </is>
      </c>
      <c r="BC96" t="n">
        <v>30</v>
      </c>
      <c r="BD96" t="n">
        <v>30</v>
      </c>
      <c r="BE96" t="n">
        <v>35</v>
      </c>
      <c r="BF96" t="n">
        <v>35</v>
      </c>
      <c r="BG96" s="72" t="inlineStr">
        <is>
          <t> </t>
        </is>
      </c>
      <c r="BH96" t="n">
        <v>35599</v>
      </c>
      <c r="BI96" t="inlineStr">
        <is>
          <t>0005</t>
        </is>
      </c>
      <c r="BJ96" t="n">
        <v>2014</v>
      </c>
      <c r="BM96" s="72" t="inlineStr">
        <is>
          <t> </t>
        </is>
      </c>
      <c r="BN96" t="n">
        <v>32757</v>
      </c>
      <c r="BO96" t="inlineStr">
        <is>
          <t>0005</t>
        </is>
      </c>
      <c r="BP96" t="n">
        <v>2014</v>
      </c>
      <c r="BS96" s="72" t="inlineStr">
        <is>
          <t> </t>
        </is>
      </c>
      <c r="BT96" t="n">
        <v>1348</v>
      </c>
      <c r="BU96" t="inlineStr">
        <is>
          <t>0005</t>
        </is>
      </c>
      <c r="BV96" t="n">
        <v>2015</v>
      </c>
      <c r="BY96" s="72" t="inlineStr">
        <is>
          <t> </t>
        </is>
      </c>
      <c r="BZ96" t="n">
        <v>1814</v>
      </c>
      <c r="CA96" t="inlineStr">
        <is>
          <t>0005</t>
        </is>
      </c>
      <c r="CB96" t="n">
        <v>2015</v>
      </c>
      <c r="CE96" s="72" t="inlineStr">
        <is>
          <t> </t>
        </is>
      </c>
      <c r="CF96" t="n">
        <v>1823</v>
      </c>
      <c r="CG96" t="inlineStr">
        <is>
          <t>0005</t>
        </is>
      </c>
      <c r="CH96" t="n">
        <v>2015</v>
      </c>
      <c r="CK96" s="72" t="inlineStr">
        <is>
          <t> </t>
        </is>
      </c>
      <c r="CL96" t="n">
        <v>960</v>
      </c>
      <c r="CM96" t="inlineStr">
        <is>
          <t>0005</t>
        </is>
      </c>
      <c r="CN96" t="n">
        <v>2015</v>
      </c>
    </row>
    <row r="97">
      <c r="A97" t="n">
        <v>77228963</v>
      </c>
      <c r="B97" s="3" t="inlineStr">
        <is>
          <t>Цистерна для перевозки продуктов</t>
        </is>
      </c>
      <c r="C97" t="inlineStr">
        <is>
          <t>15-150-04П</t>
        </is>
      </c>
      <c r="D97" t="inlineStr">
        <is>
          <t>23.01.2015</t>
        </is>
      </c>
      <c r="E97" t="n">
        <v>2015</v>
      </c>
      <c r="F97" t="inlineStr">
        <is>
          <t>23.01.2047</t>
        </is>
      </c>
      <c r="G97" t="inlineStr">
        <is>
          <t>20.08.2025</t>
        </is>
      </c>
      <c r="H97" t="inlineStr">
        <is>
          <t>Орский ВРЗ-филиал ООО "НВК"</t>
        </is>
      </c>
      <c r="K97" t="inlineStr">
        <is>
          <t>Капитальный</t>
        </is>
      </c>
      <c r="L97" t="inlineStr">
        <is>
          <t>20.08.2028</t>
        </is>
      </c>
      <c r="M97" t="inlineStr">
        <is>
          <t>ООО "ТрансАльянс Запад"</t>
        </is>
      </c>
      <c r="N97" t="n">
        <v>160000</v>
      </c>
      <c r="O97" t="n">
        <v>32636</v>
      </c>
      <c r="P97" t="n">
        <v>127364</v>
      </c>
      <c r="Q97" t="inlineStr">
        <is>
          <t>04.03.2030</t>
        </is>
      </c>
      <c r="R97" t="inlineStr">
        <is>
          <t>20.08.2025</t>
        </is>
      </c>
      <c r="S97" s="72" t="inlineStr">
        <is>
          <t> </t>
        </is>
      </c>
      <c r="T97" t="n">
        <v>212321</v>
      </c>
      <c r="U97" t="inlineStr">
        <is>
          <t>0005</t>
        </is>
      </c>
      <c r="V97" t="n">
        <v>2014</v>
      </c>
      <c r="W97" t="n">
        <v>2348</v>
      </c>
      <c r="X97" t="inlineStr">
        <is>
          <t>авг.25</t>
        </is>
      </c>
      <c r="Y97" t="n">
        <v>30</v>
      </c>
      <c r="Z97" t="n">
        <v>30</v>
      </c>
      <c r="AA97" t="n">
        <v>45</v>
      </c>
      <c r="AB97" t="n">
        <v>45</v>
      </c>
      <c r="AC97" s="72" t="inlineStr">
        <is>
          <t> </t>
        </is>
      </c>
      <c r="AD97" t="n">
        <v>300869</v>
      </c>
      <c r="AE97" t="inlineStr">
        <is>
          <t>0005</t>
        </is>
      </c>
      <c r="AF97" t="n">
        <v>2015</v>
      </c>
      <c r="AG97" t="n">
        <v>2348</v>
      </c>
      <c r="AH97" t="inlineStr">
        <is>
          <t>авг.25</t>
        </is>
      </c>
      <c r="AI97" t="n">
        <v>30</v>
      </c>
      <c r="AJ97" t="n">
        <v>30</v>
      </c>
      <c r="AK97" t="n">
        <v>45</v>
      </c>
      <c r="AL97" t="n">
        <v>45</v>
      </c>
      <c r="AM97" s="72" t="inlineStr">
        <is>
          <t> </t>
        </is>
      </c>
      <c r="AN97" t="n">
        <v>301127</v>
      </c>
      <c r="AO97" t="inlineStr">
        <is>
          <t>0005</t>
        </is>
      </c>
      <c r="AP97" t="n">
        <v>2015</v>
      </c>
      <c r="AQ97" t="n">
        <v>2348</v>
      </c>
      <c r="AR97" t="inlineStr">
        <is>
          <t>авг.25</t>
        </is>
      </c>
      <c r="AS97" t="n">
        <v>30</v>
      </c>
      <c r="AT97" t="n">
        <v>30</v>
      </c>
      <c r="AU97" t="n">
        <v>35</v>
      </c>
      <c r="AV97" t="n">
        <v>35</v>
      </c>
      <c r="AW97" s="72" t="inlineStr">
        <is>
          <t> </t>
        </is>
      </c>
      <c r="AX97" t="n">
        <v>207109</v>
      </c>
      <c r="AY97" t="inlineStr">
        <is>
          <t>0005</t>
        </is>
      </c>
      <c r="AZ97" t="n">
        <v>2014</v>
      </c>
      <c r="BA97" t="n">
        <v>2348</v>
      </c>
      <c r="BB97" t="inlineStr">
        <is>
          <t>авг.25</t>
        </is>
      </c>
      <c r="BC97" t="n">
        <v>30</v>
      </c>
      <c r="BD97" t="n">
        <v>30</v>
      </c>
      <c r="BE97" t="n">
        <v>35</v>
      </c>
      <c r="BF97" t="n">
        <v>35</v>
      </c>
      <c r="BG97" s="72" t="inlineStr">
        <is>
          <t> </t>
        </is>
      </c>
      <c r="BH97" t="n">
        <v>35111</v>
      </c>
      <c r="BI97" t="inlineStr">
        <is>
          <t>0005</t>
        </is>
      </c>
      <c r="BJ97" t="n">
        <v>2014</v>
      </c>
      <c r="BM97" s="72" t="inlineStr">
        <is>
          <t> </t>
        </is>
      </c>
      <c r="BN97" t="n">
        <v>34209</v>
      </c>
      <c r="BO97" t="inlineStr">
        <is>
          <t>0005</t>
        </is>
      </c>
      <c r="BP97" t="n">
        <v>2014</v>
      </c>
      <c r="BS97" s="72" t="inlineStr">
        <is>
          <t> </t>
        </is>
      </c>
      <c r="BT97" t="n">
        <v>582</v>
      </c>
      <c r="BU97" t="inlineStr">
        <is>
          <t>0005</t>
        </is>
      </c>
      <c r="BV97" t="n">
        <v>2015</v>
      </c>
      <c r="BY97" s="72" t="inlineStr">
        <is>
          <t> </t>
        </is>
      </c>
      <c r="BZ97" t="n">
        <v>1062</v>
      </c>
      <c r="CA97" t="inlineStr">
        <is>
          <t>0005</t>
        </is>
      </c>
      <c r="CB97" t="n">
        <v>2015</v>
      </c>
      <c r="CE97" s="72" t="inlineStr">
        <is>
          <t> </t>
        </is>
      </c>
      <c r="CF97" t="n">
        <v>1634</v>
      </c>
      <c r="CG97" t="inlineStr">
        <is>
          <t>0005</t>
        </is>
      </c>
      <c r="CH97" t="n">
        <v>2015</v>
      </c>
      <c r="CK97" s="72" t="inlineStr">
        <is>
          <t> </t>
        </is>
      </c>
      <c r="CL97" t="n">
        <v>2447</v>
      </c>
      <c r="CM97" t="inlineStr">
        <is>
          <t>0005</t>
        </is>
      </c>
      <c r="CN97" t="n">
        <v>2015</v>
      </c>
    </row>
    <row r="98">
      <c r="A98" t="n">
        <v>77228922</v>
      </c>
      <c r="B98" s="3" t="inlineStr">
        <is>
          <t>Цистерна для перевозки продуктов</t>
        </is>
      </c>
      <c r="C98" t="inlineStr">
        <is>
          <t>15-150-04П</t>
        </is>
      </c>
      <c r="D98" t="inlineStr">
        <is>
          <t>22.01.2015</t>
        </is>
      </c>
      <c r="E98" t="n">
        <v>2015</v>
      </c>
      <c r="F98" t="inlineStr">
        <is>
          <t>22.01.2047</t>
        </is>
      </c>
      <c r="G98" t="inlineStr">
        <is>
          <t>29.07.2024</t>
        </is>
      </c>
      <c r="H98" t="inlineStr">
        <is>
          <t>ВЧД Унеча-ООО "НВК"</t>
        </is>
      </c>
      <c r="K98" t="inlineStr">
        <is>
          <t>Деповской</t>
        </is>
      </c>
      <c r="L98" t="inlineStr">
        <is>
          <t>29.07.2027</t>
        </is>
      </c>
      <c r="M98" t="inlineStr">
        <is>
          <t>ООО "ТрансАльянс Запад"</t>
        </is>
      </c>
      <c r="N98" t="n">
        <v>110000</v>
      </c>
      <c r="O98" t="n">
        <v>80291</v>
      </c>
      <c r="P98" t="n">
        <v>29709</v>
      </c>
      <c r="Q98" t="inlineStr">
        <is>
          <t>18.04.2027</t>
        </is>
      </c>
      <c r="R98" t="inlineStr">
        <is>
          <t>29.07.2024</t>
        </is>
      </c>
      <c r="S98" s="72" t="inlineStr">
        <is>
          <t> </t>
        </is>
      </c>
      <c r="T98" t="n">
        <v>205340</v>
      </c>
      <c r="U98" t="inlineStr">
        <is>
          <t>0005</t>
        </is>
      </c>
      <c r="V98" t="n">
        <v>2014</v>
      </c>
      <c r="W98" t="n">
        <v>357</v>
      </c>
      <c r="X98" t="inlineStr">
        <is>
          <t>июль.24</t>
        </is>
      </c>
      <c r="Y98" t="n">
        <v>30</v>
      </c>
      <c r="Z98" t="n">
        <v>30</v>
      </c>
      <c r="AA98" t="n">
        <v>30</v>
      </c>
      <c r="AB98" t="n">
        <v>30</v>
      </c>
      <c r="AC98" s="72" t="inlineStr">
        <is>
          <t> </t>
        </is>
      </c>
      <c r="AD98" t="n">
        <v>301050</v>
      </c>
      <c r="AE98" t="inlineStr">
        <is>
          <t>0005</t>
        </is>
      </c>
      <c r="AF98" t="n">
        <v>2015</v>
      </c>
      <c r="AG98" t="n">
        <v>357</v>
      </c>
      <c r="AH98" t="inlineStr">
        <is>
          <t>июль.24</t>
        </is>
      </c>
      <c r="AI98" t="n">
        <v>30</v>
      </c>
      <c r="AJ98" t="n">
        <v>30</v>
      </c>
      <c r="AK98" t="n">
        <v>30</v>
      </c>
      <c r="AL98" t="n">
        <v>30</v>
      </c>
      <c r="AM98" s="72" t="inlineStr">
        <is>
          <t> </t>
        </is>
      </c>
      <c r="AN98" t="n">
        <v>301215</v>
      </c>
      <c r="AO98" t="inlineStr">
        <is>
          <t>0005</t>
        </is>
      </c>
      <c r="AP98" t="n">
        <v>2015</v>
      </c>
      <c r="AQ98" t="n">
        <v>357</v>
      </c>
      <c r="AR98" t="inlineStr">
        <is>
          <t>июль.24</t>
        </is>
      </c>
      <c r="AS98" t="n">
        <v>30</v>
      </c>
      <c r="AT98" t="n">
        <v>30</v>
      </c>
      <c r="AU98" t="n">
        <v>36</v>
      </c>
      <c r="AV98" t="n">
        <v>36</v>
      </c>
      <c r="AW98" s="72" t="inlineStr">
        <is>
          <t> </t>
        </is>
      </c>
      <c r="AX98" t="n">
        <v>205465</v>
      </c>
      <c r="AY98" t="inlineStr">
        <is>
          <t>0005</t>
        </is>
      </c>
      <c r="AZ98" t="n">
        <v>2014</v>
      </c>
      <c r="BA98" t="n">
        <v>357</v>
      </c>
      <c r="BB98" t="inlineStr">
        <is>
          <t>июль.24</t>
        </is>
      </c>
      <c r="BC98" t="n">
        <v>30</v>
      </c>
      <c r="BD98" t="n">
        <v>30</v>
      </c>
      <c r="BE98" t="n">
        <v>37</v>
      </c>
      <c r="BF98" t="n">
        <v>37</v>
      </c>
      <c r="BG98" s="72" t="inlineStr">
        <is>
          <t> </t>
        </is>
      </c>
      <c r="BH98" t="n">
        <v>35104</v>
      </c>
      <c r="BI98" t="inlineStr">
        <is>
          <t>0005</t>
        </is>
      </c>
      <c r="BJ98" t="n">
        <v>2014</v>
      </c>
      <c r="BM98" s="72" t="inlineStr">
        <is>
          <t> </t>
        </is>
      </c>
      <c r="BN98" t="n">
        <v>334</v>
      </c>
      <c r="BO98" t="inlineStr">
        <is>
          <t>0005</t>
        </is>
      </c>
      <c r="BP98" t="n">
        <v>2015</v>
      </c>
      <c r="BS98" s="72" t="inlineStr">
        <is>
          <t> </t>
        </is>
      </c>
      <c r="BT98" t="n">
        <v>2082</v>
      </c>
      <c r="BU98" t="inlineStr">
        <is>
          <t>0005</t>
        </is>
      </c>
      <c r="BV98" t="n">
        <v>2015</v>
      </c>
      <c r="BY98" s="72" t="inlineStr">
        <is>
          <t> </t>
        </is>
      </c>
      <c r="BZ98" t="n">
        <v>2380</v>
      </c>
      <c r="CA98" t="inlineStr">
        <is>
          <t>0005</t>
        </is>
      </c>
      <c r="CB98" t="n">
        <v>2015</v>
      </c>
      <c r="CE98" s="72" t="inlineStr">
        <is>
          <t> </t>
        </is>
      </c>
      <c r="CF98" t="n">
        <v>1235</v>
      </c>
      <c r="CG98" t="inlineStr">
        <is>
          <t>0005</t>
        </is>
      </c>
      <c r="CH98" t="n">
        <v>2015</v>
      </c>
      <c r="CK98" s="72" t="inlineStr">
        <is>
          <t> </t>
        </is>
      </c>
      <c r="CL98" t="n">
        <v>2672</v>
      </c>
      <c r="CM98" t="inlineStr">
        <is>
          <t>0005</t>
        </is>
      </c>
      <c r="CN98" t="n">
        <v>2015</v>
      </c>
    </row>
    <row r="99">
      <c r="A99" t="n">
        <v>77221885</v>
      </c>
      <c r="B99" s="3" t="inlineStr">
        <is>
          <t>Цистерна для перевозки продуктов</t>
        </is>
      </c>
      <c r="C99" t="inlineStr">
        <is>
          <t>15-5103-7П</t>
        </is>
      </c>
      <c r="D99" t="inlineStr">
        <is>
          <t>06.09.2011</t>
        </is>
      </c>
      <c r="E99" t="n">
        <v>2011</v>
      </c>
      <c r="F99" t="inlineStr">
        <is>
          <t>06.09.2043</t>
        </is>
      </c>
      <c r="G99" t="inlineStr">
        <is>
          <t>24.02.2023</t>
        </is>
      </c>
      <c r="H99" t="inlineStr">
        <is>
          <t>ВРД Кочетовка – филиал ООО "НВК"</t>
        </is>
      </c>
      <c r="I99" t="inlineStr">
        <is>
          <t>10.03.2026</t>
        </is>
      </c>
      <c r="J99" t="inlineStr">
        <is>
          <t>Усть-Каменогорское ВРД</t>
        </is>
      </c>
      <c r="K99" t="inlineStr">
        <is>
          <t>Деповской</t>
        </is>
      </c>
      <c r="L99" t="inlineStr">
        <is>
          <t>10.03.2029</t>
        </is>
      </c>
      <c r="M99" t="inlineStr">
        <is>
          <t>ООО "ТрансАльянс Запад"</t>
        </is>
      </c>
      <c r="N99" t="n">
        <v>160000</v>
      </c>
      <c r="O99" t="n">
        <v>14079</v>
      </c>
      <c r="P99" t="n">
        <v>145921</v>
      </c>
      <c r="Q99" t="inlineStr">
        <is>
          <t>03.06.2030</t>
        </is>
      </c>
      <c r="R99" t="inlineStr">
        <is>
          <t>10.03.2026</t>
        </is>
      </c>
      <c r="S99" s="72" t="inlineStr">
        <is>
          <t> </t>
        </is>
      </c>
      <c r="T99" t="n">
        <v>285054</v>
      </c>
      <c r="U99" t="inlineStr">
        <is>
          <t>0005</t>
        </is>
      </c>
      <c r="V99" t="n">
        <v>2011</v>
      </c>
      <c r="W99" t="n">
        <v>745</v>
      </c>
      <c r="X99" t="inlineStr">
        <is>
          <t>мар.26</t>
        </is>
      </c>
      <c r="Y99" t="n">
        <v>0</v>
      </c>
      <c r="Z99" t="n">
        <v>0</v>
      </c>
      <c r="AA99" t="n">
        <v>62</v>
      </c>
      <c r="AB99" t="n">
        <v>62</v>
      </c>
      <c r="AC99" s="72" t="inlineStr">
        <is>
          <t> </t>
        </is>
      </c>
      <c r="AD99" t="n">
        <v>284962</v>
      </c>
      <c r="AE99" t="inlineStr">
        <is>
          <t>0005</t>
        </is>
      </c>
      <c r="AF99" t="n">
        <v>2011</v>
      </c>
      <c r="AG99" t="n">
        <v>745</v>
      </c>
      <c r="AH99" t="inlineStr">
        <is>
          <t>мар.26</t>
        </is>
      </c>
      <c r="AI99" t="n">
        <v>0</v>
      </c>
      <c r="AJ99" t="n">
        <v>0</v>
      </c>
      <c r="AK99" t="n">
        <v>60</v>
      </c>
      <c r="AL99" t="n">
        <v>60</v>
      </c>
      <c r="AM99" s="72" t="inlineStr">
        <is>
          <t> </t>
        </is>
      </c>
      <c r="AN99" t="n">
        <v>387489</v>
      </c>
      <c r="AO99" t="inlineStr">
        <is>
          <t>0005</t>
        </is>
      </c>
      <c r="AP99" t="n">
        <v>2013</v>
      </c>
      <c r="AQ99" t="n">
        <v>745</v>
      </c>
      <c r="AR99" t="inlineStr">
        <is>
          <t>мар.26</t>
        </is>
      </c>
      <c r="AS99" t="n">
        <v>0</v>
      </c>
      <c r="AT99" t="n">
        <v>0</v>
      </c>
      <c r="AU99" t="n">
        <v>66</v>
      </c>
      <c r="AV99" t="n">
        <v>66</v>
      </c>
      <c r="AW99" s="72" t="inlineStr">
        <is>
          <t> </t>
        </is>
      </c>
      <c r="AX99" t="n">
        <v>279750</v>
      </c>
      <c r="AY99" t="inlineStr">
        <is>
          <t>0005</t>
        </is>
      </c>
      <c r="AZ99" t="n">
        <v>2011</v>
      </c>
      <c r="BA99" t="n">
        <v>745</v>
      </c>
      <c r="BB99" t="inlineStr">
        <is>
          <t>мар.26</t>
        </is>
      </c>
      <c r="BC99" t="n">
        <v>0</v>
      </c>
      <c r="BD99" t="n">
        <v>0</v>
      </c>
      <c r="BE99" t="n">
        <v>64</v>
      </c>
      <c r="BF99" t="n">
        <v>64</v>
      </c>
      <c r="BG99" s="72" t="inlineStr">
        <is>
          <t> </t>
        </is>
      </c>
      <c r="BH99" t="n">
        <v>37855</v>
      </c>
      <c r="BI99" t="inlineStr">
        <is>
          <t>0005</t>
        </is>
      </c>
      <c r="BJ99" t="n">
        <v>2011</v>
      </c>
      <c r="BM99" s="72" t="inlineStr">
        <is>
          <t> </t>
        </is>
      </c>
      <c r="BN99" t="n">
        <v>37442</v>
      </c>
      <c r="BO99" t="inlineStr">
        <is>
          <t>0005</t>
        </is>
      </c>
      <c r="BP99" t="n">
        <v>2011</v>
      </c>
      <c r="BS99" s="72" t="inlineStr">
        <is>
          <t> </t>
        </is>
      </c>
      <c r="BT99" t="n">
        <v>66604</v>
      </c>
      <c r="BU99" t="inlineStr">
        <is>
          <t>0005</t>
        </is>
      </c>
      <c r="BV99" t="n">
        <v>2011</v>
      </c>
      <c r="BY99" s="72" t="inlineStr">
        <is>
          <t> </t>
        </is>
      </c>
      <c r="BZ99" t="n">
        <v>66235</v>
      </c>
      <c r="CA99" t="inlineStr">
        <is>
          <t>0005</t>
        </is>
      </c>
      <c r="CB99" t="n">
        <v>2011</v>
      </c>
      <c r="CE99" s="72" t="inlineStr">
        <is>
          <t> </t>
        </is>
      </c>
      <c r="CF99" t="n">
        <v>66630</v>
      </c>
      <c r="CG99" t="inlineStr">
        <is>
          <t>0005</t>
        </is>
      </c>
      <c r="CH99" t="n">
        <v>2011</v>
      </c>
      <c r="CK99" s="72" t="inlineStr">
        <is>
          <t> </t>
        </is>
      </c>
      <c r="CL99" t="n">
        <v>66283</v>
      </c>
      <c r="CM99" t="inlineStr">
        <is>
          <t>0005</t>
        </is>
      </c>
      <c r="CN99" t="n">
        <v>2011</v>
      </c>
    </row>
    <row r="100">
      <c r="A100" t="n">
        <v>77221802</v>
      </c>
      <c r="B100" s="3" t="inlineStr">
        <is>
          <t>Цистерна для перевозки продуктов</t>
        </is>
      </c>
      <c r="C100" t="inlineStr">
        <is>
          <t>15-5103-7П</t>
        </is>
      </c>
      <c r="D100" t="inlineStr">
        <is>
          <t>05.09.2011</t>
        </is>
      </c>
      <c r="E100" t="n">
        <v>2011</v>
      </c>
      <c r="F100" t="inlineStr">
        <is>
          <t>05.09.2043</t>
        </is>
      </c>
      <c r="G100" t="inlineStr">
        <is>
          <t>02.03.2023</t>
        </is>
      </c>
      <c r="H100" t="inlineStr">
        <is>
          <t>ВРД Кочетовка – филиал ООО "НВК"</t>
        </is>
      </c>
      <c r="I100" t="inlineStr">
        <is>
          <t>29.10.2025</t>
        </is>
      </c>
      <c r="J100" t="inlineStr">
        <is>
          <t>Орский ВРЗ-филиал ООО "НВК"</t>
        </is>
      </c>
      <c r="K100" t="inlineStr">
        <is>
          <t>Деповской</t>
        </is>
      </c>
      <c r="L100" t="inlineStr">
        <is>
          <t>29.10.2028</t>
        </is>
      </c>
      <c r="M100" t="inlineStr">
        <is>
          <t>ООО "ТрансАльянс Запад"</t>
        </is>
      </c>
      <c r="N100" t="n">
        <v>160000</v>
      </c>
      <c r="O100" t="n">
        <v>22146</v>
      </c>
      <c r="P100" t="n">
        <v>137854</v>
      </c>
      <c r="Q100" t="inlineStr">
        <is>
          <t>16.02.2031</t>
        </is>
      </c>
      <c r="R100" t="inlineStr">
        <is>
          <t>29.10.2025</t>
        </is>
      </c>
      <c r="S100" s="72" t="inlineStr">
        <is>
          <t> </t>
        </is>
      </c>
      <c r="T100" t="n">
        <v>174585</v>
      </c>
      <c r="U100" t="inlineStr">
        <is>
          <t>0005</t>
        </is>
      </c>
      <c r="V100" t="n">
        <v>2012</v>
      </c>
      <c r="W100" t="n">
        <v>2348</v>
      </c>
      <c r="X100" t="inlineStr">
        <is>
          <t>окт.25</t>
        </is>
      </c>
      <c r="Y100" t="n">
        <v>30</v>
      </c>
      <c r="Z100" t="n">
        <v>30</v>
      </c>
      <c r="AA100" t="n">
        <v>65</v>
      </c>
      <c r="AB100" t="n">
        <v>65</v>
      </c>
      <c r="AC100" s="72" t="inlineStr">
        <is>
          <t> </t>
        </is>
      </c>
      <c r="AD100" t="n">
        <v>280880</v>
      </c>
      <c r="AE100" t="inlineStr">
        <is>
          <t>0005</t>
        </is>
      </c>
      <c r="AF100" t="n">
        <v>2011</v>
      </c>
      <c r="AG100" t="n">
        <v>2348</v>
      </c>
      <c r="AH100" t="inlineStr">
        <is>
          <t>окт.25</t>
        </is>
      </c>
      <c r="AI100" t="n">
        <v>30</v>
      </c>
      <c r="AJ100" t="n">
        <v>30</v>
      </c>
      <c r="AK100" t="n">
        <v>69</v>
      </c>
      <c r="AL100" t="n">
        <v>69</v>
      </c>
      <c r="AM100" s="72" t="inlineStr">
        <is>
          <t> </t>
        </is>
      </c>
      <c r="AN100" t="n">
        <v>285721</v>
      </c>
      <c r="AO100" t="inlineStr">
        <is>
          <t>0005</t>
        </is>
      </c>
      <c r="AP100" t="n">
        <v>2011</v>
      </c>
      <c r="AQ100" t="n">
        <v>2348</v>
      </c>
      <c r="AR100" t="inlineStr">
        <is>
          <t>окт.25</t>
        </is>
      </c>
      <c r="AS100" t="n">
        <v>30</v>
      </c>
      <c r="AT100" t="n">
        <v>30</v>
      </c>
      <c r="AU100" t="n">
        <v>67</v>
      </c>
      <c r="AV100" t="n">
        <v>67</v>
      </c>
      <c r="AW100" s="72" t="inlineStr">
        <is>
          <t> </t>
        </is>
      </c>
      <c r="AX100" t="n">
        <v>279763</v>
      </c>
      <c r="AY100" t="inlineStr">
        <is>
          <t>0005</t>
        </is>
      </c>
      <c r="AZ100" t="n">
        <v>2011</v>
      </c>
      <c r="BA100" t="n">
        <v>2348</v>
      </c>
      <c r="BB100" t="inlineStr">
        <is>
          <t>окт.25</t>
        </is>
      </c>
      <c r="BC100" t="n">
        <v>30</v>
      </c>
      <c r="BD100" t="n">
        <v>30</v>
      </c>
      <c r="BE100" t="n">
        <v>68</v>
      </c>
      <c r="BF100" t="n">
        <v>68</v>
      </c>
      <c r="BG100" s="72" t="inlineStr">
        <is>
          <t> </t>
        </is>
      </c>
      <c r="BH100" t="n">
        <v>37629</v>
      </c>
      <c r="BI100" t="inlineStr">
        <is>
          <t>0005</t>
        </is>
      </c>
      <c r="BJ100" t="n">
        <v>2011</v>
      </c>
      <c r="BM100" s="72" t="inlineStr">
        <is>
          <t> </t>
        </is>
      </c>
      <c r="BN100" t="n">
        <v>37546</v>
      </c>
      <c r="BO100" t="inlineStr">
        <is>
          <t>0005</t>
        </is>
      </c>
      <c r="BP100" t="n">
        <v>2011</v>
      </c>
      <c r="BS100" s="72" t="inlineStr">
        <is>
          <t> </t>
        </is>
      </c>
      <c r="BT100" t="n">
        <v>62051</v>
      </c>
      <c r="BU100" t="inlineStr">
        <is>
          <t>0005</t>
        </is>
      </c>
      <c r="BV100" t="n">
        <v>2011</v>
      </c>
      <c r="BY100" s="72" t="inlineStr">
        <is>
          <t> </t>
        </is>
      </c>
      <c r="BZ100" t="n">
        <v>66325</v>
      </c>
      <c r="CA100" t="inlineStr">
        <is>
          <t>0005</t>
        </is>
      </c>
      <c r="CB100" t="n">
        <v>2011</v>
      </c>
      <c r="CE100" s="72" t="inlineStr">
        <is>
          <t> </t>
        </is>
      </c>
      <c r="CF100" t="n">
        <v>65715</v>
      </c>
      <c r="CG100" t="inlineStr">
        <is>
          <t>0005</t>
        </is>
      </c>
      <c r="CH100" t="n">
        <v>2011</v>
      </c>
      <c r="CK100" s="72" t="inlineStr">
        <is>
          <t> </t>
        </is>
      </c>
      <c r="CL100" t="n">
        <v>65069</v>
      </c>
      <c r="CM100" t="inlineStr">
        <is>
          <t>0005</t>
        </is>
      </c>
      <c r="CN100" t="n">
        <v>2011</v>
      </c>
    </row>
    <row r="101">
      <c r="A101" t="n">
        <v>77222016</v>
      </c>
      <c r="B101" s="3" t="inlineStr">
        <is>
          <t>Цистерна для перевозки продуктов</t>
        </is>
      </c>
      <c r="C101" t="inlineStr">
        <is>
          <t>15-5103-7П</t>
        </is>
      </c>
      <c r="D101" t="inlineStr">
        <is>
          <t>12.09.2011</t>
        </is>
      </c>
      <c r="E101" t="n">
        <v>2011</v>
      </c>
      <c r="F101" t="inlineStr">
        <is>
          <t>12.09.2043</t>
        </is>
      </c>
      <c r="G101" t="inlineStr">
        <is>
          <t>27.01.2023</t>
        </is>
      </c>
      <c r="H101" t="inlineStr">
        <is>
          <t>ВРД Кочетовка – филиал ООО "НВК"</t>
        </is>
      </c>
      <c r="I101" t="inlineStr">
        <is>
          <t>23.08.2025</t>
        </is>
      </c>
      <c r="J101" t="inlineStr">
        <is>
          <t>ВРЗ Челябинск – филиал ООО "НВК"</t>
        </is>
      </c>
      <c r="K101" t="inlineStr">
        <is>
          <t>Деповской</t>
        </is>
      </c>
      <c r="L101" t="inlineStr">
        <is>
          <t>23.08.2028</t>
        </is>
      </c>
      <c r="M101" t="inlineStr">
        <is>
          <t>ООО "ТрансАльянс Запад"</t>
        </is>
      </c>
      <c r="N101" t="n">
        <v>160000</v>
      </c>
      <c r="O101" t="n">
        <v>37096</v>
      </c>
      <c r="P101" t="n">
        <v>122904</v>
      </c>
      <c r="Q101" t="inlineStr">
        <is>
          <t>07.08.2029</t>
        </is>
      </c>
      <c r="R101" t="inlineStr">
        <is>
          <t>23.08.2025</t>
        </is>
      </c>
      <c r="S101" s="72" t="inlineStr">
        <is>
          <t> </t>
        </is>
      </c>
      <c r="T101" t="n">
        <v>282793</v>
      </c>
      <c r="U101" t="inlineStr">
        <is>
          <t>0005</t>
        </is>
      </c>
      <c r="V101" t="n">
        <v>2011</v>
      </c>
      <c r="W101" t="n">
        <v>600</v>
      </c>
      <c r="X101" t="inlineStr">
        <is>
          <t>авг.25</t>
        </is>
      </c>
      <c r="Y101" t="n">
        <v>33</v>
      </c>
      <c r="Z101" t="n">
        <v>33</v>
      </c>
      <c r="AA101" t="n">
        <v>73</v>
      </c>
      <c r="AB101" t="n">
        <v>73</v>
      </c>
      <c r="AC101" s="72" t="inlineStr">
        <is>
          <t> </t>
        </is>
      </c>
      <c r="AD101" t="n">
        <v>283845</v>
      </c>
      <c r="AE101" t="inlineStr">
        <is>
          <t>0005</t>
        </is>
      </c>
      <c r="AF101" t="n">
        <v>2011</v>
      </c>
      <c r="AG101" t="n">
        <v>600</v>
      </c>
      <c r="AH101" t="inlineStr">
        <is>
          <t>авг.25</t>
        </is>
      </c>
      <c r="AI101" t="n">
        <v>33</v>
      </c>
      <c r="AJ101" t="n">
        <v>33</v>
      </c>
      <c r="AK101" t="n">
        <v>73</v>
      </c>
      <c r="AL101" t="n">
        <v>73</v>
      </c>
      <c r="AM101" s="72" t="inlineStr">
        <is>
          <t> </t>
        </is>
      </c>
      <c r="AN101" t="n">
        <v>284445</v>
      </c>
      <c r="AO101" t="inlineStr">
        <is>
          <t>0005</t>
        </is>
      </c>
      <c r="AP101" t="n">
        <v>2011</v>
      </c>
      <c r="AQ101" t="n">
        <v>600</v>
      </c>
      <c r="AR101" t="inlineStr">
        <is>
          <t>авг.25</t>
        </is>
      </c>
      <c r="AS101" t="n">
        <v>33</v>
      </c>
      <c r="AT101" t="n">
        <v>33</v>
      </c>
      <c r="AU101" t="n">
        <v>75</v>
      </c>
      <c r="AV101" t="n">
        <v>75</v>
      </c>
      <c r="AW101" s="72" t="inlineStr">
        <is>
          <t> </t>
        </is>
      </c>
      <c r="AX101" t="n">
        <v>283448</v>
      </c>
      <c r="AY101" t="inlineStr">
        <is>
          <t>0005</t>
        </is>
      </c>
      <c r="AZ101" t="n">
        <v>2011</v>
      </c>
      <c r="BA101" t="n">
        <v>600</v>
      </c>
      <c r="BB101" t="inlineStr">
        <is>
          <t>авг.25</t>
        </is>
      </c>
      <c r="BC101" t="n">
        <v>33</v>
      </c>
      <c r="BD101" t="n">
        <v>33</v>
      </c>
      <c r="BE101" t="n">
        <v>75</v>
      </c>
      <c r="BF101" t="n">
        <v>75</v>
      </c>
      <c r="BG101" s="72" t="inlineStr">
        <is>
          <t> </t>
        </is>
      </c>
      <c r="BH101" t="n">
        <v>36737</v>
      </c>
      <c r="BI101" t="inlineStr">
        <is>
          <t>0005</t>
        </is>
      </c>
      <c r="BJ101" t="n">
        <v>2011</v>
      </c>
      <c r="BM101" s="72" t="inlineStr">
        <is>
          <t> </t>
        </is>
      </c>
      <c r="BN101" t="n">
        <v>37455</v>
      </c>
      <c r="BO101" t="inlineStr">
        <is>
          <t>0005</t>
        </is>
      </c>
      <c r="BP101" t="n">
        <v>2011</v>
      </c>
      <c r="BS101" s="72" t="inlineStr">
        <is>
          <t> </t>
        </is>
      </c>
      <c r="BT101" t="n">
        <v>63109</v>
      </c>
      <c r="BU101" t="inlineStr">
        <is>
          <t>0005</t>
        </is>
      </c>
      <c r="BV101" t="n">
        <v>2011</v>
      </c>
      <c r="BY101" s="72" t="inlineStr">
        <is>
          <t> </t>
        </is>
      </c>
      <c r="BZ101" t="n">
        <v>63193</v>
      </c>
      <c r="CA101" t="inlineStr">
        <is>
          <t>0005</t>
        </is>
      </c>
      <c r="CB101" t="n">
        <v>2011</v>
      </c>
      <c r="CE101" s="72" t="inlineStr">
        <is>
          <t> </t>
        </is>
      </c>
      <c r="CF101" t="n">
        <v>64922</v>
      </c>
      <c r="CG101" t="inlineStr">
        <is>
          <t>0005</t>
        </is>
      </c>
      <c r="CH101" t="n">
        <v>2011</v>
      </c>
      <c r="CK101" s="72" t="inlineStr">
        <is>
          <t> </t>
        </is>
      </c>
      <c r="CL101" t="n">
        <v>64302</v>
      </c>
      <c r="CM101" t="inlineStr">
        <is>
          <t>0005</t>
        </is>
      </c>
      <c r="CN101" t="n">
        <v>2011</v>
      </c>
    </row>
    <row r="102">
      <c r="A102" t="n">
        <v>77228807</v>
      </c>
      <c r="B102" s="3" t="inlineStr">
        <is>
          <t>Цистерна для перевозки продуктов</t>
        </is>
      </c>
      <c r="C102" t="inlineStr">
        <is>
          <t>15-5103-7П</t>
        </is>
      </c>
      <c r="D102" t="inlineStr">
        <is>
          <t>19.01.2015</t>
        </is>
      </c>
      <c r="E102" t="n">
        <v>2015</v>
      </c>
      <c r="F102" t="inlineStr">
        <is>
          <t>19.01.2047</t>
        </is>
      </c>
      <c r="G102" t="inlineStr">
        <is>
          <t>24.08.2025</t>
        </is>
      </c>
      <c r="H102" t="inlineStr">
        <is>
          <t>Орский ВРЗ-филиал ООО "НВК"</t>
        </is>
      </c>
      <c r="K102" t="inlineStr">
        <is>
          <t>Капитальный</t>
        </is>
      </c>
      <c r="L102" t="inlineStr">
        <is>
          <t>24.08.2028</t>
        </is>
      </c>
      <c r="M102" t="inlineStr">
        <is>
          <t>ООО "ТрансАльянс Запад"</t>
        </is>
      </c>
      <c r="N102" t="n">
        <v>160000</v>
      </c>
      <c r="O102" t="n">
        <v>39757</v>
      </c>
      <c r="P102" t="n">
        <v>120243</v>
      </c>
      <c r="Q102" t="inlineStr">
        <is>
          <t>29.04.2029</t>
        </is>
      </c>
      <c r="R102" t="inlineStr">
        <is>
          <t>10.11.2025</t>
        </is>
      </c>
      <c r="S102" s="72" t="inlineStr">
        <is>
          <t> </t>
        </is>
      </c>
      <c r="T102" t="n">
        <v>301258</v>
      </c>
      <c r="U102" t="inlineStr">
        <is>
          <t>0005</t>
        </is>
      </c>
      <c r="V102" t="n">
        <v>2015</v>
      </c>
      <c r="W102" t="n">
        <v>4046</v>
      </c>
      <c r="X102" t="inlineStr">
        <is>
          <t>ноя.25</t>
        </is>
      </c>
      <c r="Y102" t="n">
        <v>0</v>
      </c>
      <c r="Z102" t="n">
        <v>0</v>
      </c>
      <c r="AA102" t="n">
        <v>48</v>
      </c>
      <c r="AB102" t="n">
        <v>48</v>
      </c>
      <c r="AC102" s="72" t="inlineStr">
        <is>
          <t> </t>
        </is>
      </c>
      <c r="AD102" t="n">
        <v>301723</v>
      </c>
      <c r="AE102" t="inlineStr">
        <is>
          <t>0005</t>
        </is>
      </c>
      <c r="AF102" t="n">
        <v>2015</v>
      </c>
      <c r="AG102" t="n">
        <v>4046</v>
      </c>
      <c r="AH102" t="inlineStr">
        <is>
          <t>ноя.25</t>
        </is>
      </c>
      <c r="AI102" t="n">
        <v>0</v>
      </c>
      <c r="AJ102" t="n">
        <v>0</v>
      </c>
      <c r="AK102" t="n">
        <v>48</v>
      </c>
      <c r="AL102" t="n">
        <v>48</v>
      </c>
      <c r="AM102" s="72" t="inlineStr">
        <is>
          <t> </t>
        </is>
      </c>
      <c r="AN102" t="n">
        <v>301008</v>
      </c>
      <c r="AO102" t="inlineStr">
        <is>
          <t>0005</t>
        </is>
      </c>
      <c r="AP102" t="n">
        <v>2015</v>
      </c>
      <c r="AQ102" t="n">
        <v>4046</v>
      </c>
      <c r="AR102" t="inlineStr">
        <is>
          <t>ноя.25</t>
        </is>
      </c>
      <c r="AS102" t="n">
        <v>0</v>
      </c>
      <c r="AT102" t="n">
        <v>0</v>
      </c>
      <c r="AU102" t="n">
        <v>37</v>
      </c>
      <c r="AV102" t="n">
        <v>36</v>
      </c>
      <c r="AW102" s="72" t="inlineStr">
        <is>
          <t> </t>
        </is>
      </c>
      <c r="AX102" t="n">
        <v>301673</v>
      </c>
      <c r="AY102" t="inlineStr">
        <is>
          <t>0005</t>
        </is>
      </c>
      <c r="AZ102" t="n">
        <v>2015</v>
      </c>
      <c r="BA102" t="n">
        <v>4046</v>
      </c>
      <c r="BB102" t="inlineStr">
        <is>
          <t>ноя.25</t>
        </is>
      </c>
      <c r="BC102" t="n">
        <v>0</v>
      </c>
      <c r="BD102" t="n">
        <v>0</v>
      </c>
      <c r="BE102" t="n">
        <v>45</v>
      </c>
      <c r="BF102" t="n">
        <v>45</v>
      </c>
      <c r="BG102" s="72" t="inlineStr">
        <is>
          <t> </t>
        </is>
      </c>
      <c r="BH102" t="n">
        <v>916</v>
      </c>
      <c r="BI102" t="inlineStr">
        <is>
          <t>0005</t>
        </is>
      </c>
      <c r="BJ102" t="n">
        <v>2015</v>
      </c>
      <c r="BM102" s="72" t="inlineStr">
        <is>
          <t> </t>
        </is>
      </c>
      <c r="BN102" t="n">
        <v>34860</v>
      </c>
      <c r="BO102" t="inlineStr">
        <is>
          <t>0005</t>
        </is>
      </c>
      <c r="BP102" t="n">
        <v>2014</v>
      </c>
      <c r="BS102" s="72" t="inlineStr">
        <is>
          <t> </t>
        </is>
      </c>
      <c r="BT102" t="n">
        <v>702</v>
      </c>
      <c r="BU102" t="inlineStr">
        <is>
          <t>0005</t>
        </is>
      </c>
      <c r="BV102" t="n">
        <v>2015</v>
      </c>
      <c r="BY102" s="72" t="inlineStr">
        <is>
          <t> </t>
        </is>
      </c>
      <c r="BZ102" t="n">
        <v>2510</v>
      </c>
      <c r="CA102" t="inlineStr">
        <is>
          <t>0005</t>
        </is>
      </c>
      <c r="CB102" t="n">
        <v>2015</v>
      </c>
      <c r="CE102" s="72" t="inlineStr">
        <is>
          <t> </t>
        </is>
      </c>
      <c r="CF102" t="n">
        <v>818</v>
      </c>
      <c r="CG102" t="inlineStr">
        <is>
          <t>0005</t>
        </is>
      </c>
      <c r="CH102" t="n">
        <v>2015</v>
      </c>
      <c r="CK102" s="72" t="inlineStr">
        <is>
          <t> </t>
        </is>
      </c>
      <c r="CL102" t="n">
        <v>1524</v>
      </c>
      <c r="CM102" t="inlineStr">
        <is>
          <t>0005</t>
        </is>
      </c>
      <c r="CN102" t="n">
        <v>2015</v>
      </c>
    </row>
    <row r="103">
      <c r="A103" t="n">
        <v>77228831</v>
      </c>
      <c r="B103" s="3" t="inlineStr">
        <is>
          <t>Цистерна для перевозки продуктов</t>
        </is>
      </c>
      <c r="C103" t="inlineStr">
        <is>
          <t>15-150-04П</t>
        </is>
      </c>
      <c r="D103" t="inlineStr">
        <is>
          <t>22.01.2015</t>
        </is>
      </c>
      <c r="E103" t="n">
        <v>2015</v>
      </c>
      <c r="F103" t="inlineStr">
        <is>
          <t>22.01.2047</t>
        </is>
      </c>
      <c r="G103" t="inlineStr">
        <is>
          <t>09.11.2023</t>
        </is>
      </c>
      <c r="H103" t="inlineStr">
        <is>
          <t>ВРД Кочетовка – филиал ООО "НВК"</t>
        </is>
      </c>
      <c r="K103" t="inlineStr">
        <is>
          <t>Деповской</t>
        </is>
      </c>
      <c r="L103" t="inlineStr">
        <is>
          <t>09.11.2026</t>
        </is>
      </c>
      <c r="M103" t="inlineStr">
        <is>
          <t>ООО "ТрансАльянс Запад"</t>
        </is>
      </c>
      <c r="N103" t="n">
        <v>160000</v>
      </c>
      <c r="O103" t="n">
        <v>103736</v>
      </c>
      <c r="P103" t="n">
        <v>56264</v>
      </c>
      <c r="Q103" t="inlineStr">
        <is>
          <t>11.01.2028</t>
        </is>
      </c>
      <c r="R103" t="inlineStr">
        <is>
          <t>09.12.2024</t>
        </is>
      </c>
      <c r="S103" s="72" t="inlineStr">
        <is>
          <t> </t>
        </is>
      </c>
      <c r="T103" t="n">
        <v>301035</v>
      </c>
      <c r="U103" t="inlineStr">
        <is>
          <t>0005</t>
        </is>
      </c>
      <c r="V103" t="n">
        <v>2015</v>
      </c>
      <c r="W103" t="n">
        <v>837</v>
      </c>
      <c r="X103" t="inlineStr">
        <is>
          <t>дек.24</t>
        </is>
      </c>
      <c r="Y103" t="n">
        <v>30</v>
      </c>
      <c r="Z103" t="n">
        <v>30</v>
      </c>
      <c r="AA103" t="n">
        <v>28</v>
      </c>
      <c r="AB103" t="n">
        <v>28</v>
      </c>
      <c r="AC103" s="72" t="inlineStr">
        <is>
          <t> </t>
        </is>
      </c>
      <c r="AD103" t="n">
        <v>868910</v>
      </c>
      <c r="AE103" t="inlineStr">
        <is>
          <t>0005</t>
        </is>
      </c>
      <c r="AF103" t="n">
        <v>2018</v>
      </c>
      <c r="AG103" t="n">
        <v>837</v>
      </c>
      <c r="AH103" t="inlineStr">
        <is>
          <t>дек.24</t>
        </is>
      </c>
      <c r="AI103" t="n">
        <v>30</v>
      </c>
      <c r="AJ103" t="n">
        <v>30</v>
      </c>
      <c r="AK103" t="n">
        <v>29</v>
      </c>
      <c r="AL103" t="n">
        <v>29</v>
      </c>
      <c r="AM103" s="72" t="inlineStr">
        <is>
          <t> </t>
        </is>
      </c>
      <c r="AN103" t="n">
        <v>370593</v>
      </c>
      <c r="AO103" t="inlineStr">
        <is>
          <t>0029</t>
        </is>
      </c>
      <c r="AP103" t="n">
        <v>2012</v>
      </c>
      <c r="AQ103" t="n">
        <v>837</v>
      </c>
      <c r="AR103" t="inlineStr">
        <is>
          <t>дек.24</t>
        </is>
      </c>
      <c r="AS103" t="n">
        <v>30</v>
      </c>
      <c r="AT103" t="n">
        <v>30</v>
      </c>
      <c r="AU103" t="n">
        <v>37</v>
      </c>
      <c r="AV103" t="n">
        <v>37</v>
      </c>
      <c r="AW103" s="72" t="inlineStr">
        <is>
          <t> </t>
        </is>
      </c>
      <c r="AX103" t="n">
        <v>301036</v>
      </c>
      <c r="AY103" t="inlineStr">
        <is>
          <t>0005</t>
        </is>
      </c>
      <c r="AZ103" t="n">
        <v>2015</v>
      </c>
      <c r="BA103" t="n">
        <v>837</v>
      </c>
      <c r="BB103" t="inlineStr">
        <is>
          <t>дек.24</t>
        </is>
      </c>
      <c r="BC103" t="n">
        <v>30</v>
      </c>
      <c r="BD103" t="n">
        <v>30</v>
      </c>
      <c r="BE103" t="n">
        <v>37</v>
      </c>
      <c r="BF103" t="n">
        <v>37</v>
      </c>
      <c r="BG103" s="72" t="inlineStr">
        <is>
          <t> </t>
        </is>
      </c>
      <c r="BH103" t="n">
        <v>33360</v>
      </c>
      <c r="BI103" t="inlineStr">
        <is>
          <t>0005</t>
        </is>
      </c>
      <c r="BJ103" t="n">
        <v>2014</v>
      </c>
      <c r="BM103" s="72" t="inlineStr">
        <is>
          <t> </t>
        </is>
      </c>
      <c r="BN103" t="n">
        <v>35576</v>
      </c>
      <c r="BO103" t="inlineStr">
        <is>
          <t>0005</t>
        </is>
      </c>
      <c r="BP103" t="n">
        <v>2014</v>
      </c>
      <c r="BS103" s="72" t="inlineStr">
        <is>
          <t> </t>
        </is>
      </c>
      <c r="BT103" t="n">
        <v>1172</v>
      </c>
      <c r="BU103" t="inlineStr">
        <is>
          <t>0005</t>
        </is>
      </c>
      <c r="BV103" t="n">
        <v>2015</v>
      </c>
      <c r="BY103" s="72" t="inlineStr">
        <is>
          <t> </t>
        </is>
      </c>
      <c r="BZ103" t="n">
        <v>468</v>
      </c>
      <c r="CA103" t="inlineStr">
        <is>
          <t>0005</t>
        </is>
      </c>
      <c r="CB103" t="n">
        <v>2015</v>
      </c>
      <c r="CE103" s="72" t="inlineStr">
        <is>
          <t> </t>
        </is>
      </c>
      <c r="CF103" t="n">
        <v>1207</v>
      </c>
      <c r="CG103" t="inlineStr">
        <is>
          <t>0005</t>
        </is>
      </c>
      <c r="CH103" t="n">
        <v>2015</v>
      </c>
      <c r="CK103" s="72" t="inlineStr">
        <is>
          <t> </t>
        </is>
      </c>
      <c r="CL103" t="n">
        <v>673</v>
      </c>
      <c r="CM103" t="inlineStr">
        <is>
          <t>0005</t>
        </is>
      </c>
      <c r="CN103" t="n">
        <v>2015</v>
      </c>
    </row>
    <row r="104">
      <c r="A104" t="n">
        <v>77221968</v>
      </c>
      <c r="B104" s="3" t="inlineStr">
        <is>
          <t>Цистерна для перевозки продуктов</t>
        </is>
      </c>
      <c r="C104" t="inlineStr">
        <is>
          <t>15-150-04П</t>
        </is>
      </c>
      <c r="D104" t="inlineStr">
        <is>
          <t>28.02.2012</t>
        </is>
      </c>
      <c r="E104" t="n">
        <v>2012</v>
      </c>
      <c r="F104" t="inlineStr">
        <is>
          <t>28.02.2044</t>
        </is>
      </c>
      <c r="G104" t="inlineStr">
        <is>
          <t>29.09.2022</t>
        </is>
      </c>
      <c r="H104" t="inlineStr">
        <is>
          <t>ВЧД Унеча-ООО "НВК"</t>
        </is>
      </c>
      <c r="I104" t="inlineStr">
        <is>
          <t>11.08.2025</t>
        </is>
      </c>
      <c r="J104" t="inlineStr">
        <is>
          <t>ВРД Кочетовка – филиал ООО "НВК"</t>
        </is>
      </c>
      <c r="K104" t="inlineStr">
        <is>
          <t>Деповской</t>
        </is>
      </c>
      <c r="L104" t="inlineStr">
        <is>
          <t>11.08.2027</t>
        </is>
      </c>
      <c r="M104" t="inlineStr">
        <is>
          <t>ООО "ТрансАльянс Запад"</t>
        </is>
      </c>
      <c r="N104" t="inlineStr">
        <is>
          <t>Вагон не ремонтируется по пробегу.</t>
        </is>
      </c>
      <c r="R104" t="inlineStr">
        <is>
          <t>11.08.2025</t>
        </is>
      </c>
      <c r="S104" s="72" t="inlineStr">
        <is>
          <t> </t>
        </is>
      </c>
      <c r="T104" t="n">
        <v>120396</v>
      </c>
      <c r="U104" t="inlineStr">
        <is>
          <t>0005</t>
        </is>
      </c>
      <c r="V104" t="n">
        <v>2012</v>
      </c>
      <c r="W104" t="n">
        <v>301</v>
      </c>
      <c r="X104" t="inlineStr">
        <is>
          <t>авг.25</t>
        </is>
      </c>
      <c r="Y104" t="n">
        <v>30</v>
      </c>
      <c r="Z104" t="n">
        <v>29</v>
      </c>
      <c r="AA104" t="n">
        <v>39</v>
      </c>
      <c r="AB104" t="n">
        <v>39</v>
      </c>
      <c r="AC104" s="72" t="inlineStr">
        <is>
          <t> </t>
        </is>
      </c>
      <c r="AD104" t="n">
        <v>122483</v>
      </c>
      <c r="AE104" t="inlineStr">
        <is>
          <t>0005</t>
        </is>
      </c>
      <c r="AF104" t="n">
        <v>2012</v>
      </c>
      <c r="AG104" t="n">
        <v>301</v>
      </c>
      <c r="AH104" t="inlineStr">
        <is>
          <t>авг.25</t>
        </is>
      </c>
      <c r="AI104" t="n">
        <v>30</v>
      </c>
      <c r="AJ104" t="n">
        <v>31</v>
      </c>
      <c r="AK104" t="n">
        <v>36</v>
      </c>
      <c r="AL104" t="n">
        <v>36</v>
      </c>
      <c r="AM104" s="72" t="inlineStr">
        <is>
          <t> </t>
        </is>
      </c>
      <c r="AN104" t="n">
        <v>523308</v>
      </c>
      <c r="AO104" t="inlineStr">
        <is>
          <t>0029</t>
        </is>
      </c>
      <c r="AP104" t="n">
        <v>2014</v>
      </c>
      <c r="AQ104" t="n">
        <v>301</v>
      </c>
      <c r="AR104" t="inlineStr">
        <is>
          <t>авг.25</t>
        </is>
      </c>
      <c r="AS104" t="n">
        <v>30</v>
      </c>
      <c r="AT104" t="n">
        <v>29</v>
      </c>
      <c r="AU104" t="n">
        <v>40</v>
      </c>
      <c r="AV104" t="n">
        <v>40</v>
      </c>
      <c r="AW104" s="72" t="inlineStr">
        <is>
          <t> </t>
        </is>
      </c>
      <c r="AX104" t="n">
        <v>443982</v>
      </c>
      <c r="AY104" t="inlineStr">
        <is>
          <t>0029</t>
        </is>
      </c>
      <c r="AZ104" t="n">
        <v>2013</v>
      </c>
      <c r="BA104" t="n">
        <v>301</v>
      </c>
      <c r="BB104" t="inlineStr">
        <is>
          <t>авг.25</t>
        </is>
      </c>
      <c r="BC104" t="n">
        <v>30</v>
      </c>
      <c r="BD104" t="n">
        <v>29</v>
      </c>
      <c r="BE104" t="n">
        <v>44</v>
      </c>
      <c r="BF104" t="n">
        <v>44</v>
      </c>
      <c r="BG104" s="72" t="inlineStr">
        <is>
          <t> </t>
        </is>
      </c>
      <c r="BH104" t="n">
        <v>10391</v>
      </c>
      <c r="BI104" t="inlineStr">
        <is>
          <t>0005</t>
        </is>
      </c>
      <c r="BJ104" t="n">
        <v>2012</v>
      </c>
      <c r="BM104" s="72" t="inlineStr">
        <is>
          <t> </t>
        </is>
      </c>
      <c r="BN104" t="n">
        <v>10631</v>
      </c>
      <c r="BO104" t="inlineStr">
        <is>
          <t>0005</t>
        </is>
      </c>
      <c r="BP104" t="n">
        <v>2012</v>
      </c>
      <c r="BS104" s="72" t="inlineStr">
        <is>
          <t> </t>
        </is>
      </c>
      <c r="BT104" t="n">
        <v>3751</v>
      </c>
      <c r="BU104" t="inlineStr">
        <is>
          <t>0005</t>
        </is>
      </c>
      <c r="BV104" t="n">
        <v>2012</v>
      </c>
      <c r="BY104" s="72" t="inlineStr">
        <is>
          <t> </t>
        </is>
      </c>
      <c r="BZ104" t="n">
        <v>3778</v>
      </c>
      <c r="CA104" t="inlineStr">
        <is>
          <t>0005</t>
        </is>
      </c>
      <c r="CB104" t="n">
        <v>2012</v>
      </c>
      <c r="CE104" s="72" t="inlineStr">
        <is>
          <t> </t>
        </is>
      </c>
      <c r="CF104" t="n">
        <v>3702</v>
      </c>
      <c r="CG104" t="inlineStr">
        <is>
          <t>0005</t>
        </is>
      </c>
      <c r="CH104" t="n">
        <v>2012</v>
      </c>
      <c r="CK104" s="72" t="inlineStr">
        <is>
          <t> </t>
        </is>
      </c>
      <c r="CL104" t="n">
        <v>3914</v>
      </c>
      <c r="CM104" t="inlineStr">
        <is>
          <t>0005</t>
        </is>
      </c>
      <c r="CN104" t="n">
        <v>2012</v>
      </c>
    </row>
    <row r="105">
      <c r="A105" t="n">
        <v>77221869</v>
      </c>
      <c r="B105" s="3" t="inlineStr">
        <is>
          <t>Цистерна для перевозки продуктов</t>
        </is>
      </c>
      <c r="C105" t="inlineStr">
        <is>
          <t>15-5103-7П</t>
        </is>
      </c>
      <c r="D105" t="inlineStr">
        <is>
          <t>05.09.2011</t>
        </is>
      </c>
      <c r="E105" t="n">
        <v>2011</v>
      </c>
      <c r="F105" t="inlineStr">
        <is>
          <t>05.09.2043</t>
        </is>
      </c>
      <c r="G105" t="inlineStr">
        <is>
          <t>30.01.2023</t>
        </is>
      </c>
      <c r="H105" t="inlineStr">
        <is>
          <t>ВРД Кочетовка – филиал ООО "НВК"</t>
        </is>
      </c>
      <c r="I105" t="inlineStr">
        <is>
          <t>29.10.2025</t>
        </is>
      </c>
      <c r="J105" t="inlineStr">
        <is>
          <t>Орский ВРЗ-филиал ООО "НВК"</t>
        </is>
      </c>
      <c r="K105" t="inlineStr">
        <is>
          <t>Деповской</t>
        </is>
      </c>
      <c r="L105" t="inlineStr">
        <is>
          <t>29.10.2028</t>
        </is>
      </c>
      <c r="M105" t="inlineStr">
        <is>
          <t>ООО "ТрансАльянс Запад"</t>
        </is>
      </c>
      <c r="N105" t="n">
        <v>160000</v>
      </c>
      <c r="O105" t="n">
        <v>13600</v>
      </c>
      <c r="P105" t="n">
        <v>146400</v>
      </c>
      <c r="Q105" t="inlineStr">
        <is>
          <t>17.06.2034</t>
        </is>
      </c>
      <c r="R105" t="inlineStr">
        <is>
          <t>29.10.2025</t>
        </is>
      </c>
      <c r="S105" s="72" t="inlineStr">
        <is>
          <t> </t>
        </is>
      </c>
      <c r="T105" t="n">
        <v>178513</v>
      </c>
      <c r="U105" t="inlineStr">
        <is>
          <t>0005</t>
        </is>
      </c>
      <c r="V105" t="n">
        <v>2014</v>
      </c>
      <c r="W105" t="n">
        <v>2348</v>
      </c>
      <c r="X105" t="inlineStr">
        <is>
          <t>окт.25</t>
        </is>
      </c>
      <c r="Y105" t="n">
        <v>30</v>
      </c>
      <c r="Z105" t="n">
        <v>30</v>
      </c>
      <c r="AA105" t="n">
        <v>68</v>
      </c>
      <c r="AB105" t="n">
        <v>68</v>
      </c>
      <c r="AC105" s="72" t="inlineStr">
        <is>
          <t> </t>
        </is>
      </c>
      <c r="AD105" t="n">
        <v>284807</v>
      </c>
      <c r="AE105" t="inlineStr">
        <is>
          <t>0005</t>
        </is>
      </c>
      <c r="AF105" t="n">
        <v>2011</v>
      </c>
      <c r="AG105" t="n">
        <v>2348</v>
      </c>
      <c r="AH105" t="inlineStr">
        <is>
          <t>окт.25</t>
        </is>
      </c>
      <c r="AI105" t="n">
        <v>30</v>
      </c>
      <c r="AJ105" t="n">
        <v>30</v>
      </c>
      <c r="AK105" t="n">
        <v>68</v>
      </c>
      <c r="AL105" t="n">
        <v>68</v>
      </c>
      <c r="AM105" s="72" t="inlineStr">
        <is>
          <t> </t>
        </is>
      </c>
      <c r="AN105" t="n">
        <v>277168</v>
      </c>
      <c r="AO105" t="inlineStr">
        <is>
          <t>0005</t>
        </is>
      </c>
      <c r="AP105" t="n">
        <v>2011</v>
      </c>
      <c r="AQ105" t="n">
        <v>2348</v>
      </c>
      <c r="AR105" t="inlineStr">
        <is>
          <t>окт.25</t>
        </is>
      </c>
      <c r="AS105" t="n">
        <v>30</v>
      </c>
      <c r="AT105" t="n">
        <v>30</v>
      </c>
      <c r="AU105" t="n">
        <v>68</v>
      </c>
      <c r="AV105" t="n">
        <v>68</v>
      </c>
      <c r="AW105" s="72" t="inlineStr">
        <is>
          <t> </t>
        </is>
      </c>
      <c r="AX105" t="n">
        <v>284925</v>
      </c>
      <c r="AY105" t="inlineStr">
        <is>
          <t>0005</t>
        </is>
      </c>
      <c r="AZ105" t="n">
        <v>2011</v>
      </c>
      <c r="BA105" t="n">
        <v>2348</v>
      </c>
      <c r="BB105" t="inlineStr">
        <is>
          <t>окт.25</t>
        </is>
      </c>
      <c r="BC105" t="n">
        <v>30</v>
      </c>
      <c r="BD105" t="n">
        <v>30</v>
      </c>
      <c r="BE105" t="n">
        <v>69</v>
      </c>
      <c r="BF105" t="n">
        <v>69</v>
      </c>
      <c r="BG105" s="72" t="inlineStr">
        <is>
          <t> </t>
        </is>
      </c>
      <c r="BH105" t="n">
        <v>68491</v>
      </c>
      <c r="BI105" t="inlineStr">
        <is>
          <t>0014</t>
        </is>
      </c>
      <c r="BJ105" t="n">
        <v>2011</v>
      </c>
      <c r="BM105" s="72" t="inlineStr">
        <is>
          <t> </t>
        </is>
      </c>
      <c r="BN105" t="n">
        <v>68176</v>
      </c>
      <c r="BO105" t="inlineStr">
        <is>
          <t>0014</t>
        </is>
      </c>
      <c r="BP105" t="n">
        <v>2011</v>
      </c>
      <c r="BS105" s="72" t="inlineStr">
        <is>
          <t> </t>
        </is>
      </c>
      <c r="BT105" t="n">
        <v>525689</v>
      </c>
      <c r="BU105" t="inlineStr">
        <is>
          <t>0014</t>
        </is>
      </c>
      <c r="BV105" t="n">
        <v>2011</v>
      </c>
      <c r="BY105" s="72" t="inlineStr">
        <is>
          <t> </t>
        </is>
      </c>
      <c r="BZ105" t="n">
        <v>113471</v>
      </c>
      <c r="CA105" t="inlineStr">
        <is>
          <t>0014</t>
        </is>
      </c>
      <c r="CB105" t="n">
        <v>2011</v>
      </c>
      <c r="CE105" s="72" t="inlineStr">
        <is>
          <t> </t>
        </is>
      </c>
      <c r="CF105" t="n">
        <v>115126</v>
      </c>
      <c r="CG105" t="inlineStr">
        <is>
          <t>0014</t>
        </is>
      </c>
      <c r="CH105" t="n">
        <v>2011</v>
      </c>
      <c r="CK105" s="72" t="inlineStr">
        <is>
          <t> </t>
        </is>
      </c>
      <c r="CL105" t="n">
        <v>114995</v>
      </c>
      <c r="CM105" t="inlineStr">
        <is>
          <t>0014</t>
        </is>
      </c>
      <c r="CN105" t="n">
        <v>2011</v>
      </c>
    </row>
    <row r="106">
      <c r="A106" t="n">
        <v>77228815</v>
      </c>
      <c r="B106" s="3" t="inlineStr">
        <is>
          <t>Цистерна для перевозки продуктов</t>
        </is>
      </c>
      <c r="C106" t="inlineStr">
        <is>
          <t>15-5103-7П</t>
        </is>
      </c>
      <c r="D106" t="inlineStr">
        <is>
          <t>20.01.2015</t>
        </is>
      </c>
      <c r="E106" t="n">
        <v>2015</v>
      </c>
      <c r="F106" t="inlineStr">
        <is>
          <t>20.01.2047</t>
        </is>
      </c>
      <c r="G106" t="inlineStr">
        <is>
          <t>05.08.2025</t>
        </is>
      </c>
      <c r="H106" t="inlineStr">
        <is>
          <t>ВЧД Унеча-ООО "НВК"</t>
        </is>
      </c>
      <c r="K106" t="inlineStr">
        <is>
          <t>Капитальный</t>
        </is>
      </c>
      <c r="L106" t="inlineStr">
        <is>
          <t>05.08.2028</t>
        </is>
      </c>
      <c r="M106" t="inlineStr">
        <is>
          <t>ООО "ТрансАльянс Запад"</t>
        </is>
      </c>
      <c r="N106" t="n">
        <v>160000</v>
      </c>
      <c r="O106" t="n">
        <v>24492</v>
      </c>
      <c r="P106" t="n">
        <v>135508</v>
      </c>
      <c r="Q106" t="inlineStr">
        <is>
          <t>28.11.2031</t>
        </is>
      </c>
      <c r="R106" t="inlineStr">
        <is>
          <t>05.08.2025</t>
        </is>
      </c>
      <c r="S106" s="72" t="inlineStr">
        <is>
          <t> </t>
        </is>
      </c>
      <c r="T106" t="n">
        <v>302267</v>
      </c>
      <c r="U106" t="inlineStr">
        <is>
          <t>0005</t>
        </is>
      </c>
      <c r="V106" t="n">
        <v>2015</v>
      </c>
      <c r="W106" t="n">
        <v>357</v>
      </c>
      <c r="X106" t="inlineStr">
        <is>
          <t>авг.25</t>
        </is>
      </c>
      <c r="Y106" t="n">
        <v>33</v>
      </c>
      <c r="Z106" t="n">
        <v>33</v>
      </c>
      <c r="AA106" t="n">
        <v>77</v>
      </c>
      <c r="AB106" t="n">
        <v>77</v>
      </c>
      <c r="AC106" s="72" t="inlineStr">
        <is>
          <t> </t>
        </is>
      </c>
      <c r="AD106" t="n">
        <v>212362</v>
      </c>
      <c r="AE106" t="inlineStr">
        <is>
          <t>0005</t>
        </is>
      </c>
      <c r="AF106" t="n">
        <v>2014</v>
      </c>
      <c r="AG106" t="n">
        <v>357</v>
      </c>
      <c r="AH106" t="inlineStr">
        <is>
          <t>авг.25</t>
        </is>
      </c>
      <c r="AI106" t="n">
        <v>33</v>
      </c>
      <c r="AJ106" t="n">
        <v>33</v>
      </c>
      <c r="AK106" t="n">
        <v>77</v>
      </c>
      <c r="AL106" t="n">
        <v>77</v>
      </c>
      <c r="AM106" s="72" t="inlineStr">
        <is>
          <t> </t>
        </is>
      </c>
      <c r="AN106" t="n">
        <v>11280</v>
      </c>
      <c r="AO106" t="inlineStr">
        <is>
          <t>0005</t>
        </is>
      </c>
      <c r="AP106" t="n">
        <v>1998</v>
      </c>
      <c r="AQ106" t="n">
        <v>357</v>
      </c>
      <c r="AR106" t="inlineStr">
        <is>
          <t>авг.25</t>
        </is>
      </c>
      <c r="AS106" t="n">
        <v>33</v>
      </c>
      <c r="AT106" t="n">
        <v>33</v>
      </c>
      <c r="AU106" t="n">
        <v>74</v>
      </c>
      <c r="AV106" t="n">
        <v>74</v>
      </c>
      <c r="AW106" s="72" t="inlineStr">
        <is>
          <t> </t>
        </is>
      </c>
      <c r="AX106" t="n">
        <v>460020</v>
      </c>
      <c r="AY106" t="inlineStr">
        <is>
          <t>0029</t>
        </is>
      </c>
      <c r="AZ106" t="n">
        <v>2013</v>
      </c>
      <c r="BA106" t="n">
        <v>357</v>
      </c>
      <c r="BB106" t="inlineStr">
        <is>
          <t>авг.25</t>
        </is>
      </c>
      <c r="BC106" t="n">
        <v>33</v>
      </c>
      <c r="BD106" t="n">
        <v>33</v>
      </c>
      <c r="BE106" t="n">
        <v>75</v>
      </c>
      <c r="BF106" t="n">
        <v>75</v>
      </c>
      <c r="BG106" s="72" t="inlineStr">
        <is>
          <t> </t>
        </is>
      </c>
      <c r="BH106" t="n">
        <v>34753</v>
      </c>
      <c r="BI106" t="inlineStr">
        <is>
          <t>0005</t>
        </is>
      </c>
      <c r="BJ106" t="n">
        <v>2014</v>
      </c>
      <c r="BM106" s="72" t="inlineStr">
        <is>
          <t> </t>
        </is>
      </c>
      <c r="BN106" t="n">
        <v>35629</v>
      </c>
      <c r="BO106" t="inlineStr">
        <is>
          <t>0005</t>
        </is>
      </c>
      <c r="BP106" t="n">
        <v>2014</v>
      </c>
      <c r="BS106" s="72" t="inlineStr">
        <is>
          <t> </t>
        </is>
      </c>
      <c r="BT106" t="n">
        <v>204</v>
      </c>
      <c r="BU106" t="inlineStr">
        <is>
          <t>0005</t>
        </is>
      </c>
      <c r="BV106" t="n">
        <v>2015</v>
      </c>
      <c r="BY106" s="72" t="inlineStr">
        <is>
          <t> </t>
        </is>
      </c>
      <c r="BZ106" t="n">
        <v>1396</v>
      </c>
      <c r="CA106" t="inlineStr">
        <is>
          <t>0005</t>
        </is>
      </c>
      <c r="CB106" t="n">
        <v>2015</v>
      </c>
      <c r="CE106" s="72" t="inlineStr">
        <is>
          <t> </t>
        </is>
      </c>
      <c r="CF106" t="n">
        <v>2285</v>
      </c>
      <c r="CG106" t="inlineStr">
        <is>
          <t>0005</t>
        </is>
      </c>
      <c r="CH106" t="n">
        <v>2015</v>
      </c>
      <c r="CK106" s="72" t="inlineStr">
        <is>
          <t> </t>
        </is>
      </c>
      <c r="CL106" t="n">
        <v>1583</v>
      </c>
      <c r="CM106" t="inlineStr">
        <is>
          <t>0005</t>
        </is>
      </c>
      <c r="CN106" t="n">
        <v>2015</v>
      </c>
    </row>
    <row r="107">
      <c r="A107" t="n">
        <v>77221927</v>
      </c>
      <c r="B107" s="3" t="inlineStr">
        <is>
          <t>Цистерна для перевозки продуктов</t>
        </is>
      </c>
      <c r="C107" t="inlineStr">
        <is>
          <t>15-5103-7П</t>
        </is>
      </c>
      <c r="D107" t="inlineStr">
        <is>
          <t>12.09.2011</t>
        </is>
      </c>
      <c r="E107" t="n">
        <v>2011</v>
      </c>
      <c r="F107" t="inlineStr">
        <is>
          <t>12.09.2043</t>
        </is>
      </c>
      <c r="G107" t="inlineStr">
        <is>
          <t>13.02.2023</t>
        </is>
      </c>
      <c r="H107" t="inlineStr">
        <is>
          <t>ВРД Кавказская – филиал ООО "НВК"</t>
        </is>
      </c>
      <c r="I107" t="inlineStr">
        <is>
          <t>20.10.2025</t>
        </is>
      </c>
      <c r="J107" t="inlineStr">
        <is>
          <t>ВЧД Унеча-ООО "НВК"</t>
        </is>
      </c>
      <c r="K107" t="inlineStr">
        <is>
          <t>Деповской</t>
        </is>
      </c>
      <c r="L107" t="inlineStr">
        <is>
          <t>20.10.2028</t>
        </is>
      </c>
      <c r="M107" t="inlineStr">
        <is>
          <t>ООО "ТрансАльянс Запад"</t>
        </is>
      </c>
      <c r="N107" t="n">
        <v>160000</v>
      </c>
      <c r="O107" t="n">
        <v>19494</v>
      </c>
      <c r="P107" t="n">
        <v>140506</v>
      </c>
      <c r="Q107" t="inlineStr">
        <is>
          <t>10.01.2032</t>
        </is>
      </c>
      <c r="R107" t="inlineStr">
        <is>
          <t>20.10.2025</t>
        </is>
      </c>
      <c r="S107" s="72" t="inlineStr">
        <is>
          <t> </t>
        </is>
      </c>
      <c r="T107" t="n">
        <v>283784</v>
      </c>
      <c r="U107" t="inlineStr">
        <is>
          <t>0005</t>
        </is>
      </c>
      <c r="V107" t="n">
        <v>2011</v>
      </c>
      <c r="W107" t="n">
        <v>357</v>
      </c>
      <c r="X107" t="inlineStr">
        <is>
          <t>окт.25</t>
        </is>
      </c>
      <c r="Y107" t="n">
        <v>33</v>
      </c>
      <c r="Z107" t="n">
        <v>33</v>
      </c>
      <c r="AA107" t="n">
        <v>74</v>
      </c>
      <c r="AB107" t="n">
        <v>74</v>
      </c>
      <c r="AC107" s="72" t="inlineStr">
        <is>
          <t> </t>
        </is>
      </c>
      <c r="AD107" t="n">
        <v>313587</v>
      </c>
      <c r="AE107" t="inlineStr">
        <is>
          <t>0005</t>
        </is>
      </c>
      <c r="AF107" t="n">
        <v>2013</v>
      </c>
      <c r="AG107" t="n">
        <v>357</v>
      </c>
      <c r="AH107" t="inlineStr">
        <is>
          <t>окт.25</t>
        </is>
      </c>
      <c r="AI107" t="n">
        <v>33</v>
      </c>
      <c r="AJ107" t="n">
        <v>33</v>
      </c>
      <c r="AK107" t="n">
        <v>74</v>
      </c>
      <c r="AL107" t="n">
        <v>73</v>
      </c>
      <c r="AM107" s="72" t="inlineStr">
        <is>
          <t> </t>
        </is>
      </c>
      <c r="AN107" t="n">
        <v>283990</v>
      </c>
      <c r="AO107" t="inlineStr">
        <is>
          <t>0005</t>
        </is>
      </c>
      <c r="AP107" t="n">
        <v>2011</v>
      </c>
      <c r="AQ107" t="n">
        <v>357</v>
      </c>
      <c r="AR107" t="inlineStr">
        <is>
          <t>окт.25</t>
        </is>
      </c>
      <c r="AS107" t="n">
        <v>33</v>
      </c>
      <c r="AT107" t="n">
        <v>33</v>
      </c>
      <c r="AU107" t="n">
        <v>74</v>
      </c>
      <c r="AV107" t="n">
        <v>73</v>
      </c>
      <c r="AW107" s="72" t="inlineStr">
        <is>
          <t> </t>
        </is>
      </c>
      <c r="AX107" t="n">
        <v>283994</v>
      </c>
      <c r="AY107" t="inlineStr">
        <is>
          <t>0005</t>
        </is>
      </c>
      <c r="AZ107" t="n">
        <v>2011</v>
      </c>
      <c r="BA107" t="n">
        <v>357</v>
      </c>
      <c r="BB107" t="inlineStr">
        <is>
          <t>окт.25</t>
        </is>
      </c>
      <c r="BC107" t="n">
        <v>33</v>
      </c>
      <c r="BD107" t="n">
        <v>33</v>
      </c>
      <c r="BE107" t="n">
        <v>74</v>
      </c>
      <c r="BF107" t="n">
        <v>73</v>
      </c>
      <c r="BG107" s="72" t="inlineStr">
        <is>
          <t> </t>
        </is>
      </c>
      <c r="BH107" t="n">
        <v>37258</v>
      </c>
      <c r="BI107" t="inlineStr">
        <is>
          <t>0005</t>
        </is>
      </c>
      <c r="BJ107" t="n">
        <v>2011</v>
      </c>
      <c r="BM107" s="72" t="inlineStr">
        <is>
          <t> </t>
        </is>
      </c>
      <c r="BN107" t="n">
        <v>36576</v>
      </c>
      <c r="BO107" t="inlineStr">
        <is>
          <t>0005</t>
        </is>
      </c>
      <c r="BP107" t="n">
        <v>2011</v>
      </c>
      <c r="BS107" s="72" t="inlineStr">
        <is>
          <t> </t>
        </is>
      </c>
      <c r="BT107" t="n">
        <v>64521</v>
      </c>
      <c r="BU107" t="inlineStr">
        <is>
          <t>0005</t>
        </is>
      </c>
      <c r="BV107" t="n">
        <v>2011</v>
      </c>
      <c r="BY107" s="72" t="inlineStr">
        <is>
          <t> </t>
        </is>
      </c>
      <c r="BZ107" t="n">
        <v>35668</v>
      </c>
      <c r="CA107" t="inlineStr">
        <is>
          <t>0005</t>
        </is>
      </c>
      <c r="CB107" t="n">
        <v>2011</v>
      </c>
      <c r="CE107" s="72" t="inlineStr">
        <is>
          <t> </t>
        </is>
      </c>
      <c r="CF107" t="n">
        <v>65097</v>
      </c>
      <c r="CG107" t="inlineStr">
        <is>
          <t>0005</t>
        </is>
      </c>
      <c r="CH107" t="n">
        <v>2011</v>
      </c>
      <c r="CK107" s="72" t="inlineStr">
        <is>
          <t> </t>
        </is>
      </c>
      <c r="CL107" t="n">
        <v>65680</v>
      </c>
      <c r="CM107" t="inlineStr">
        <is>
          <t>0005</t>
        </is>
      </c>
      <c r="CN107" t="n">
        <v>2011</v>
      </c>
    </row>
    <row r="108">
      <c r="A108" t="n">
        <v>77206043</v>
      </c>
      <c r="B108" s="3" t="inlineStr">
        <is>
          <t>Цистерна для перевозки продуктов</t>
        </is>
      </c>
      <c r="C108" t="inlineStr">
        <is>
          <t>15-1755П</t>
        </is>
      </c>
      <c r="D108" t="inlineStr">
        <is>
          <t>20.06.2013</t>
        </is>
      </c>
      <c r="E108" t="n">
        <v>2013</v>
      </c>
      <c r="F108" t="inlineStr">
        <is>
          <t>20.06.2043</t>
        </is>
      </c>
      <c r="G108" t="inlineStr">
        <is>
          <t>28.07.2025</t>
        </is>
      </c>
      <c r="H108" t="inlineStr">
        <is>
          <t>ВРД Кочетовка – филиал ООО "НВК"</t>
        </is>
      </c>
      <c r="I108" t="inlineStr">
        <is>
          <t>25.08.2023</t>
        </is>
      </c>
      <c r="J108" t="inlineStr">
        <is>
          <t>ВРД Кочетовка – филиал ООО "НВК"</t>
        </is>
      </c>
      <c r="K108" t="inlineStr">
        <is>
          <t>Деповской</t>
        </is>
      </c>
      <c r="L108" t="inlineStr">
        <is>
          <t>28.07.2027</t>
        </is>
      </c>
      <c r="M108" t="inlineStr">
        <is>
          <t>ООО "ТрансАльянс Запад"</t>
        </is>
      </c>
      <c r="N108" t="n">
        <v>160000</v>
      </c>
      <c r="O108" t="n">
        <v>27738</v>
      </c>
      <c r="P108" t="n">
        <v>132262</v>
      </c>
      <c r="Q108" t="inlineStr">
        <is>
          <t>10.04.2031</t>
        </is>
      </c>
      <c r="R108" t="inlineStr">
        <is>
          <t>28.07.2025</t>
        </is>
      </c>
      <c r="S108" s="72" t="inlineStr">
        <is>
          <t> </t>
        </is>
      </c>
      <c r="T108" t="n">
        <v>44844</v>
      </c>
      <c r="U108" t="inlineStr">
        <is>
          <t>0039</t>
        </is>
      </c>
      <c r="V108" t="n">
        <v>1985</v>
      </c>
      <c r="W108" t="n">
        <v>301</v>
      </c>
      <c r="X108" t="inlineStr">
        <is>
          <t>июль.25</t>
        </is>
      </c>
      <c r="Y108" t="n">
        <v>33</v>
      </c>
      <c r="Z108" t="n">
        <v>32</v>
      </c>
      <c r="AA108" t="n">
        <v>68</v>
      </c>
      <c r="AB108" t="n">
        <v>68</v>
      </c>
      <c r="AC108" s="72" t="inlineStr">
        <is>
          <t> </t>
        </is>
      </c>
      <c r="AD108" t="n">
        <v>846740</v>
      </c>
      <c r="AE108" t="inlineStr">
        <is>
          <t>0029</t>
        </is>
      </c>
      <c r="AF108" t="n">
        <v>2010</v>
      </c>
      <c r="AG108" t="n">
        <v>301</v>
      </c>
      <c r="AH108" t="inlineStr">
        <is>
          <t>июль.25</t>
        </is>
      </c>
      <c r="AI108" t="n">
        <v>33</v>
      </c>
      <c r="AJ108" t="n">
        <v>32</v>
      </c>
      <c r="AK108" t="n">
        <v>66</v>
      </c>
      <c r="AL108" t="n">
        <v>66</v>
      </c>
      <c r="AM108" s="72" t="inlineStr">
        <is>
          <t> </t>
        </is>
      </c>
      <c r="AN108" t="n">
        <v>5314</v>
      </c>
      <c r="AO108" t="n">
        <v>1175</v>
      </c>
      <c r="AP108" t="n">
        <v>2007</v>
      </c>
      <c r="AQ108" t="n">
        <v>301</v>
      </c>
      <c r="AR108" t="inlineStr">
        <is>
          <t>июль.25</t>
        </is>
      </c>
      <c r="AS108" t="n">
        <v>30</v>
      </c>
      <c r="AT108" t="n">
        <v>31</v>
      </c>
      <c r="AU108" t="n">
        <v>56</v>
      </c>
      <c r="AV108" t="n">
        <v>56</v>
      </c>
      <c r="AW108" s="72" t="inlineStr">
        <is>
          <t> </t>
        </is>
      </c>
      <c r="AX108" t="n">
        <v>716466</v>
      </c>
      <c r="AY108" t="inlineStr">
        <is>
          <t>0029</t>
        </is>
      </c>
      <c r="AZ108" t="n">
        <v>1997</v>
      </c>
      <c r="BA108" t="n">
        <v>301</v>
      </c>
      <c r="BB108" t="inlineStr">
        <is>
          <t>июль.25</t>
        </is>
      </c>
      <c r="BC108" t="n">
        <v>33</v>
      </c>
      <c r="BD108" t="n">
        <v>32</v>
      </c>
      <c r="BE108" t="n">
        <v>63</v>
      </c>
      <c r="BF108" t="n">
        <v>63</v>
      </c>
      <c r="BG108" s="72" t="inlineStr">
        <is>
          <t> </t>
        </is>
      </c>
      <c r="BH108" t="n">
        <v>13578</v>
      </c>
      <c r="BI108" t="n">
        <v>1291</v>
      </c>
      <c r="BJ108" t="n">
        <v>2013</v>
      </c>
      <c r="BM108" s="72" t="inlineStr">
        <is>
          <t> </t>
        </is>
      </c>
      <c r="BN108" t="n">
        <v>52109</v>
      </c>
      <c r="BO108" t="n">
        <v>1291</v>
      </c>
      <c r="BP108" t="n">
        <v>2013</v>
      </c>
      <c r="BS108" s="72" t="inlineStr">
        <is>
          <t> </t>
        </is>
      </c>
      <c r="BT108" t="n">
        <v>39383</v>
      </c>
      <c r="BU108" t="n">
        <v>1291</v>
      </c>
      <c r="BV108" t="n">
        <v>2013</v>
      </c>
      <c r="BY108" s="72" t="inlineStr">
        <is>
          <t> </t>
        </is>
      </c>
      <c r="BZ108" t="n">
        <v>40264</v>
      </c>
      <c r="CA108" t="n">
        <v>1291</v>
      </c>
      <c r="CB108" t="n">
        <v>2013</v>
      </c>
      <c r="CE108" s="72" t="inlineStr">
        <is>
          <t> </t>
        </is>
      </c>
      <c r="CF108" t="n">
        <v>41649</v>
      </c>
      <c r="CG108" t="n">
        <v>1291</v>
      </c>
      <c r="CH108" t="n">
        <v>2013</v>
      </c>
      <c r="CK108" s="72" t="inlineStr">
        <is>
          <t> </t>
        </is>
      </c>
      <c r="CL108" t="n">
        <v>41630</v>
      </c>
      <c r="CM108" t="n">
        <v>1291</v>
      </c>
      <c r="CN108" t="n">
        <v>2013</v>
      </c>
    </row>
    <row r="109">
      <c r="A109" t="n">
        <v>77223824</v>
      </c>
      <c r="B109" s="3" t="inlineStr">
        <is>
          <t>Цистерна для перевозки продуктов</t>
        </is>
      </c>
      <c r="C109" t="inlineStr">
        <is>
          <t>15-5103-7П</t>
        </is>
      </c>
      <c r="D109" t="inlineStr">
        <is>
          <t>05.09.2011</t>
        </is>
      </c>
      <c r="E109" t="n">
        <v>2011</v>
      </c>
      <c r="F109" t="inlineStr">
        <is>
          <t>05.09.2043</t>
        </is>
      </c>
      <c r="G109" t="inlineStr">
        <is>
          <t>08.05.2023</t>
        </is>
      </c>
      <c r="H109" t="inlineStr">
        <is>
          <t>ВРД Кочетовка – филиал ООО "НВК"</t>
        </is>
      </c>
      <c r="I109" t="inlineStr">
        <is>
          <t>14.05.2026</t>
        </is>
      </c>
      <c r="J109" t="inlineStr">
        <is>
          <t>Усть-Каменогорское ВРД</t>
        </is>
      </c>
      <c r="K109" t="inlineStr">
        <is>
          <t>Деповской</t>
        </is>
      </c>
      <c r="L109" t="inlineStr">
        <is>
          <t>14.05.2029</t>
        </is>
      </c>
      <c r="M109" t="inlineStr">
        <is>
          <t>ООО "ТрансАльянс Запад"</t>
        </is>
      </c>
      <c r="N109" t="n">
        <v>160000</v>
      </c>
      <c r="O109" t="n">
        <v>280</v>
      </c>
      <c r="P109" t="n">
        <v>159720</v>
      </c>
      <c r="Q109" t="inlineStr">
        <is>
          <t>20.07.2137</t>
        </is>
      </c>
      <c r="R109" t="inlineStr">
        <is>
          <t>14.05.2026</t>
        </is>
      </c>
      <c r="S109" s="72" t="inlineStr">
        <is>
          <t> </t>
        </is>
      </c>
      <c r="T109" t="n">
        <v>284204</v>
      </c>
      <c r="U109" t="inlineStr">
        <is>
          <t>0005</t>
        </is>
      </c>
      <c r="V109" t="n">
        <v>2011</v>
      </c>
      <c r="W109" t="n">
        <v>745</v>
      </c>
      <c r="X109" t="inlineStr">
        <is>
          <t>май.26</t>
        </is>
      </c>
      <c r="Y109" t="n">
        <v>0</v>
      </c>
      <c r="Z109" t="n">
        <v>0</v>
      </c>
      <c r="AA109" t="n">
        <v>69</v>
      </c>
      <c r="AB109" t="n">
        <v>69</v>
      </c>
      <c r="AC109" s="72" t="inlineStr">
        <is>
          <t> </t>
        </is>
      </c>
      <c r="AD109" t="n">
        <v>285024</v>
      </c>
      <c r="AE109" t="inlineStr">
        <is>
          <t>0005</t>
        </is>
      </c>
      <c r="AF109" t="n">
        <v>2011</v>
      </c>
      <c r="AG109" t="n">
        <v>745</v>
      </c>
      <c r="AH109" t="inlineStr">
        <is>
          <t>май.26</t>
        </is>
      </c>
      <c r="AI109" t="n">
        <v>0</v>
      </c>
      <c r="AJ109" t="n">
        <v>0</v>
      </c>
      <c r="AK109" t="n">
        <v>67</v>
      </c>
      <c r="AL109" t="n">
        <v>67</v>
      </c>
      <c r="AM109" s="72" t="inlineStr">
        <is>
          <t> </t>
        </is>
      </c>
      <c r="AN109" t="n">
        <v>284568</v>
      </c>
      <c r="AO109" t="inlineStr">
        <is>
          <t>0005</t>
        </is>
      </c>
      <c r="AP109" t="n">
        <v>2011</v>
      </c>
      <c r="AQ109" t="n">
        <v>745</v>
      </c>
      <c r="AR109" t="inlineStr">
        <is>
          <t>май.26</t>
        </is>
      </c>
      <c r="AS109" t="n">
        <v>0</v>
      </c>
      <c r="AT109" t="n">
        <v>0</v>
      </c>
      <c r="AU109" t="n">
        <v>58</v>
      </c>
      <c r="AV109" t="n">
        <v>58</v>
      </c>
      <c r="AW109" s="72" t="inlineStr">
        <is>
          <t> </t>
        </is>
      </c>
      <c r="AX109" t="n">
        <v>320517</v>
      </c>
      <c r="AY109" t="inlineStr">
        <is>
          <t>0005</t>
        </is>
      </c>
      <c r="AZ109" t="n">
        <v>2013</v>
      </c>
      <c r="BA109" t="n">
        <v>745</v>
      </c>
      <c r="BB109" t="inlineStr">
        <is>
          <t>май.26</t>
        </is>
      </c>
      <c r="BC109" t="n">
        <v>0</v>
      </c>
      <c r="BD109" t="n">
        <v>0</v>
      </c>
      <c r="BE109" t="n">
        <v>60</v>
      </c>
      <c r="BF109" t="n">
        <v>60</v>
      </c>
      <c r="BG109" s="72" t="inlineStr">
        <is>
          <t> </t>
        </is>
      </c>
      <c r="BH109" t="n">
        <v>37488</v>
      </c>
      <c r="BI109" t="inlineStr">
        <is>
          <t>0005</t>
        </is>
      </c>
      <c r="BJ109" t="n">
        <v>2011</v>
      </c>
      <c r="BM109" s="72" t="inlineStr">
        <is>
          <t> </t>
        </is>
      </c>
      <c r="BN109" t="n">
        <v>37338</v>
      </c>
      <c r="BO109" t="inlineStr">
        <is>
          <t>0005</t>
        </is>
      </c>
      <c r="BP109" t="n">
        <v>2011</v>
      </c>
      <c r="BS109" s="72" t="inlineStr">
        <is>
          <t> </t>
        </is>
      </c>
      <c r="BT109" t="n">
        <v>66149</v>
      </c>
      <c r="BU109" t="inlineStr">
        <is>
          <t>0005</t>
        </is>
      </c>
      <c r="BV109" t="n">
        <v>2011</v>
      </c>
      <c r="BY109" s="72" t="inlineStr">
        <is>
          <t> </t>
        </is>
      </c>
      <c r="BZ109" t="n">
        <v>65959</v>
      </c>
      <c r="CA109" t="inlineStr">
        <is>
          <t>0005</t>
        </is>
      </c>
      <c r="CB109" t="n">
        <v>2011</v>
      </c>
      <c r="CE109" s="72" t="inlineStr">
        <is>
          <t> </t>
        </is>
      </c>
      <c r="CF109" t="n">
        <v>64475</v>
      </c>
      <c r="CG109" t="inlineStr">
        <is>
          <t>0005</t>
        </is>
      </c>
      <c r="CH109" t="n">
        <v>2011</v>
      </c>
      <c r="CK109" s="72" t="inlineStr">
        <is>
          <t> </t>
        </is>
      </c>
      <c r="CL109" t="n">
        <v>65045</v>
      </c>
      <c r="CM109" t="inlineStr">
        <is>
          <t>0005</t>
        </is>
      </c>
      <c r="CN109" t="n">
        <v>2011</v>
      </c>
    </row>
    <row r="110">
      <c r="A110" t="n">
        <v>77224517</v>
      </c>
      <c r="B110" s="3" t="inlineStr">
        <is>
          <t>Цистерна для перевозки продуктов</t>
        </is>
      </c>
      <c r="C110" t="inlineStr">
        <is>
          <t>15-5103-7П</t>
        </is>
      </c>
      <c r="D110" t="inlineStr">
        <is>
          <t>12.09.2011</t>
        </is>
      </c>
      <c r="E110" t="n">
        <v>2011</v>
      </c>
      <c r="F110" t="inlineStr">
        <is>
          <t>12.09.2043</t>
        </is>
      </c>
      <c r="G110" t="inlineStr">
        <is>
          <t>12.07.2023</t>
        </is>
      </c>
      <c r="H110" t="inlineStr">
        <is>
          <t>ВРД Кочетовка – филиал ООО "НВК"</t>
        </is>
      </c>
      <c r="I110" t="inlineStr">
        <is>
          <t>23.06.2026</t>
        </is>
      </c>
      <c r="J110" t="inlineStr">
        <is>
          <t>Усть-Каменогорское ВРД</t>
        </is>
      </c>
      <c r="K110" t="inlineStr">
        <is>
          <t>Деповской</t>
        </is>
      </c>
      <c r="L110" t="inlineStr">
        <is>
          <t>23.06.2029</t>
        </is>
      </c>
      <c r="M110" t="inlineStr">
        <is>
          <t>ООО "ТрансАльянс Запад"</t>
        </is>
      </c>
      <c r="N110" t="n">
        <v>160000</v>
      </c>
      <c r="O110" t="n">
        <v>280</v>
      </c>
      <c r="P110" t="n">
        <v>159720</v>
      </c>
      <c r="Q110" t="inlineStr">
        <is>
          <t>27.12.2074</t>
        </is>
      </c>
      <c r="R110" t="inlineStr">
        <is>
          <t>23.06.2026</t>
        </is>
      </c>
      <c r="S110" s="72" t="inlineStr">
        <is>
          <t> </t>
        </is>
      </c>
      <c r="T110" t="n">
        <v>9172</v>
      </c>
      <c r="U110" t="inlineStr">
        <is>
          <t>0039</t>
        </is>
      </c>
      <c r="V110" t="n">
        <v>1989</v>
      </c>
      <c r="W110" t="n">
        <v>745</v>
      </c>
      <c r="X110" t="inlineStr">
        <is>
          <t>июнь.26</t>
        </is>
      </c>
      <c r="Y110" t="n">
        <v>0</v>
      </c>
      <c r="Z110" t="n">
        <v>0</v>
      </c>
      <c r="AA110" t="n">
        <v>66</v>
      </c>
      <c r="AB110" t="n">
        <v>66</v>
      </c>
      <c r="AC110" s="72" t="inlineStr">
        <is>
          <t> </t>
        </is>
      </c>
      <c r="AD110" t="n">
        <v>271439</v>
      </c>
      <c r="AE110" t="inlineStr">
        <is>
          <t>0005</t>
        </is>
      </c>
      <c r="AF110" t="n">
        <v>2011</v>
      </c>
      <c r="AG110" t="n">
        <v>745</v>
      </c>
      <c r="AH110" t="inlineStr">
        <is>
          <t>июнь.26</t>
        </is>
      </c>
      <c r="AI110" t="n">
        <v>0</v>
      </c>
      <c r="AJ110" t="n">
        <v>0</v>
      </c>
      <c r="AK110" t="n">
        <v>67</v>
      </c>
      <c r="AL110" t="n">
        <v>67</v>
      </c>
      <c r="AM110" s="72" t="inlineStr">
        <is>
          <t> </t>
        </is>
      </c>
      <c r="AN110" t="n">
        <v>284801</v>
      </c>
      <c r="AO110" t="inlineStr">
        <is>
          <t>0005</t>
        </is>
      </c>
      <c r="AP110" t="n">
        <v>2011</v>
      </c>
      <c r="AQ110" t="n">
        <v>745</v>
      </c>
      <c r="AR110" t="inlineStr">
        <is>
          <t>июнь.26</t>
        </is>
      </c>
      <c r="AS110" t="n">
        <v>0</v>
      </c>
      <c r="AT110" t="n">
        <v>0</v>
      </c>
      <c r="AU110" t="n">
        <v>69</v>
      </c>
      <c r="AV110" t="n">
        <v>69</v>
      </c>
      <c r="AW110" s="72" t="inlineStr">
        <is>
          <t> </t>
        </is>
      </c>
      <c r="AX110" t="n">
        <v>282917</v>
      </c>
      <c r="AY110" t="inlineStr">
        <is>
          <t>0005</t>
        </is>
      </c>
      <c r="AZ110" t="n">
        <v>2011</v>
      </c>
      <c r="BA110" t="n">
        <v>745</v>
      </c>
      <c r="BB110" t="inlineStr">
        <is>
          <t>июнь.26</t>
        </is>
      </c>
      <c r="BC110" t="n">
        <v>0</v>
      </c>
      <c r="BD110" t="n">
        <v>0</v>
      </c>
      <c r="BE110" t="n">
        <v>68</v>
      </c>
      <c r="BF110" t="n">
        <v>68</v>
      </c>
      <c r="BG110" s="72" t="inlineStr">
        <is>
          <t> </t>
        </is>
      </c>
      <c r="BH110" t="n">
        <v>34411</v>
      </c>
      <c r="BI110" t="inlineStr">
        <is>
          <t>0005</t>
        </is>
      </c>
      <c r="BJ110" t="n">
        <v>2011</v>
      </c>
      <c r="BM110" s="72" t="inlineStr">
        <is>
          <t> </t>
        </is>
      </c>
      <c r="BN110" t="n">
        <v>34383</v>
      </c>
      <c r="BO110" t="inlineStr">
        <is>
          <t>0005</t>
        </is>
      </c>
      <c r="BP110" t="n">
        <v>2011</v>
      </c>
      <c r="BS110" s="72" t="inlineStr">
        <is>
          <t> </t>
        </is>
      </c>
      <c r="BT110" t="n">
        <v>82091</v>
      </c>
      <c r="BU110" t="inlineStr">
        <is>
          <t>0005</t>
        </is>
      </c>
      <c r="BV110" t="n">
        <v>2013</v>
      </c>
      <c r="BY110" s="72" t="inlineStr">
        <is>
          <t> </t>
        </is>
      </c>
      <c r="BZ110" t="n">
        <v>59886</v>
      </c>
      <c r="CA110" t="inlineStr">
        <is>
          <t>0005</t>
        </is>
      </c>
      <c r="CB110" t="n">
        <v>2011</v>
      </c>
      <c r="CE110" s="72" t="inlineStr">
        <is>
          <t> </t>
        </is>
      </c>
      <c r="CF110" t="n">
        <v>59673</v>
      </c>
      <c r="CG110" t="inlineStr">
        <is>
          <t>0005</t>
        </is>
      </c>
      <c r="CH110" t="n">
        <v>2011</v>
      </c>
      <c r="CK110" s="72" t="inlineStr">
        <is>
          <t> </t>
        </is>
      </c>
      <c r="CL110" t="n">
        <v>58793</v>
      </c>
      <c r="CM110" t="inlineStr">
        <is>
          <t>0005</t>
        </is>
      </c>
      <c r="CN110" t="n">
        <v>2011</v>
      </c>
    </row>
    <row r="111">
      <c r="A111" t="n">
        <v>77228989</v>
      </c>
      <c r="B111" s="3" t="inlineStr">
        <is>
          <t>Цистерна для перевозки продуктов</t>
        </is>
      </c>
      <c r="C111" t="inlineStr">
        <is>
          <t>15-150-04П</t>
        </is>
      </c>
      <c r="D111" t="inlineStr">
        <is>
          <t>23.01.2015</t>
        </is>
      </c>
      <c r="E111" t="n">
        <v>2015</v>
      </c>
      <c r="F111" t="inlineStr">
        <is>
          <t>23.01.2047</t>
        </is>
      </c>
      <c r="G111" t="inlineStr">
        <is>
          <t>25.12.2023</t>
        </is>
      </c>
      <c r="H111" t="inlineStr">
        <is>
          <t>ВРД Кочетовка – филиал ООО "НВК"</t>
        </is>
      </c>
      <c r="K111" t="inlineStr">
        <is>
          <t>Деповской</t>
        </is>
      </c>
      <c r="L111" t="inlineStr">
        <is>
          <t>25.12.2026</t>
        </is>
      </c>
      <c r="M111" t="inlineStr">
        <is>
          <t>ООО "ТрансАльянс Запад"</t>
        </is>
      </c>
      <c r="N111" t="n">
        <v>160000</v>
      </c>
      <c r="O111" t="n">
        <v>105345</v>
      </c>
      <c r="P111" t="n">
        <v>54655</v>
      </c>
      <c r="Q111" t="inlineStr">
        <is>
          <t>25.11.2027</t>
        </is>
      </c>
      <c r="R111" t="inlineStr">
        <is>
          <t>01.04.2026</t>
        </is>
      </c>
      <c r="S111" s="72" t="inlineStr">
        <is>
          <t> </t>
        </is>
      </c>
      <c r="T111" t="n">
        <v>301227</v>
      </c>
      <c r="U111" t="inlineStr">
        <is>
          <t>0005</t>
        </is>
      </c>
      <c r="V111" t="n">
        <v>2015</v>
      </c>
      <c r="W111" t="n">
        <v>3018</v>
      </c>
      <c r="X111" t="inlineStr">
        <is>
          <t>апр.26</t>
        </is>
      </c>
      <c r="Y111" t="n">
        <v>0</v>
      </c>
      <c r="Z111" t="n">
        <v>0</v>
      </c>
      <c r="AA111" t="n">
        <v>33</v>
      </c>
      <c r="AB111" t="n">
        <v>33</v>
      </c>
      <c r="AC111" s="72" t="inlineStr">
        <is>
          <t> </t>
        </is>
      </c>
      <c r="AD111" t="n">
        <v>301115</v>
      </c>
      <c r="AE111" t="inlineStr">
        <is>
          <t>0005</t>
        </is>
      </c>
      <c r="AF111" t="n">
        <v>2015</v>
      </c>
      <c r="AG111" t="n">
        <v>3018</v>
      </c>
      <c r="AH111" t="inlineStr">
        <is>
          <t>апр.26</t>
        </is>
      </c>
      <c r="AI111" t="n">
        <v>0</v>
      </c>
      <c r="AJ111" t="n">
        <v>0</v>
      </c>
      <c r="AK111" t="n">
        <v>38</v>
      </c>
      <c r="AL111" t="n">
        <v>38</v>
      </c>
      <c r="AM111" s="72" t="inlineStr">
        <is>
          <t> </t>
        </is>
      </c>
      <c r="AN111" t="n">
        <v>205969</v>
      </c>
      <c r="AO111" t="inlineStr">
        <is>
          <t>0005</t>
        </is>
      </c>
      <c r="AP111" t="n">
        <v>2014</v>
      </c>
      <c r="AQ111" t="n">
        <v>3018</v>
      </c>
      <c r="AR111" t="inlineStr">
        <is>
          <t>апр.26</t>
        </is>
      </c>
      <c r="AS111" t="n">
        <v>0</v>
      </c>
      <c r="AT111" t="n">
        <v>0</v>
      </c>
      <c r="AU111" t="n">
        <v>39</v>
      </c>
      <c r="AV111" t="n">
        <v>39</v>
      </c>
      <c r="AW111" s="72" t="inlineStr">
        <is>
          <t> </t>
        </is>
      </c>
      <c r="AX111" t="n">
        <v>205313</v>
      </c>
      <c r="AY111" t="inlineStr">
        <is>
          <t>0005</t>
        </is>
      </c>
      <c r="AZ111" t="n">
        <v>2014</v>
      </c>
      <c r="BA111" t="n">
        <v>3018</v>
      </c>
      <c r="BB111" t="inlineStr">
        <is>
          <t>апр.26</t>
        </is>
      </c>
      <c r="BC111" t="n">
        <v>0</v>
      </c>
      <c r="BD111" t="n">
        <v>0</v>
      </c>
      <c r="BE111" t="n">
        <v>41</v>
      </c>
      <c r="BF111" t="n">
        <v>41</v>
      </c>
      <c r="BG111" s="72" t="inlineStr">
        <is>
          <t> </t>
        </is>
      </c>
      <c r="BH111" t="n">
        <v>830</v>
      </c>
      <c r="BI111" t="inlineStr">
        <is>
          <t>0005</t>
        </is>
      </c>
      <c r="BJ111" t="n">
        <v>2015</v>
      </c>
      <c r="BM111" s="72" t="inlineStr">
        <is>
          <t> </t>
        </is>
      </c>
      <c r="BN111" t="n">
        <v>915</v>
      </c>
      <c r="BO111" t="inlineStr">
        <is>
          <t>0005</t>
        </is>
      </c>
      <c r="BP111" t="n">
        <v>2015</v>
      </c>
      <c r="BS111" s="72" t="inlineStr">
        <is>
          <t> </t>
        </is>
      </c>
      <c r="BT111" t="n">
        <v>1480</v>
      </c>
      <c r="BU111" t="inlineStr">
        <is>
          <t>0005</t>
        </is>
      </c>
      <c r="BV111" t="n">
        <v>2015</v>
      </c>
      <c r="BY111" s="72" t="inlineStr">
        <is>
          <t> </t>
        </is>
      </c>
      <c r="BZ111" t="n">
        <v>2601</v>
      </c>
      <c r="CA111" t="inlineStr">
        <is>
          <t>0005</t>
        </is>
      </c>
      <c r="CB111" t="n">
        <v>2015</v>
      </c>
      <c r="CE111" s="72" t="inlineStr">
        <is>
          <t> </t>
        </is>
      </c>
      <c r="CF111" t="n">
        <v>1450</v>
      </c>
      <c r="CG111" t="inlineStr">
        <is>
          <t>0005</t>
        </is>
      </c>
      <c r="CH111" t="n">
        <v>2015</v>
      </c>
      <c r="CK111" s="72" t="inlineStr">
        <is>
          <t> </t>
        </is>
      </c>
      <c r="CL111" t="n">
        <v>95013</v>
      </c>
      <c r="CM111" t="inlineStr">
        <is>
          <t>0005</t>
        </is>
      </c>
      <c r="CN111" t="n">
        <v>2015</v>
      </c>
    </row>
    <row r="112">
      <c r="A112" t="n">
        <v>77223832</v>
      </c>
      <c r="B112" s="3" t="inlineStr">
        <is>
          <t>Цистерна для перевозки продуктов</t>
        </is>
      </c>
      <c r="C112" t="inlineStr">
        <is>
          <t>15-150-04П</t>
        </is>
      </c>
      <c r="D112" t="inlineStr">
        <is>
          <t>30.08.2011</t>
        </is>
      </c>
      <c r="E112" t="n">
        <v>2011</v>
      </c>
      <c r="F112" t="inlineStr">
        <is>
          <t>30.08.2043</t>
        </is>
      </c>
      <c r="G112" t="inlineStr">
        <is>
          <t>07.07.2023</t>
        </is>
      </c>
      <c r="H112" t="inlineStr">
        <is>
          <t>ВРД Кочетовка – филиал ООО "НВК"</t>
        </is>
      </c>
      <c r="I112" t="inlineStr">
        <is>
          <t>18.06.2026</t>
        </is>
      </c>
      <c r="J112" t="inlineStr">
        <is>
          <t>Усть-Каменогорское ВРД</t>
        </is>
      </c>
      <c r="K112" t="inlineStr">
        <is>
          <t>Деповской</t>
        </is>
      </c>
      <c r="L112" t="inlineStr">
        <is>
          <t>18.06.2029</t>
        </is>
      </c>
      <c r="M112" t="inlineStr">
        <is>
          <t>ООО "ТрансАльянс Запад"</t>
        </is>
      </c>
      <c r="N112" t="n">
        <v>160000</v>
      </c>
      <c r="O112" t="n">
        <v>280</v>
      </c>
      <c r="P112" t="n">
        <v>159720</v>
      </c>
      <c r="Q112" t="inlineStr">
        <is>
          <t>08.10.2082</t>
        </is>
      </c>
      <c r="R112" t="inlineStr">
        <is>
          <t>18.06.2026</t>
        </is>
      </c>
      <c r="S112" s="72" t="inlineStr">
        <is>
          <t> </t>
        </is>
      </c>
      <c r="T112" t="n">
        <v>281811</v>
      </c>
      <c r="U112" t="inlineStr">
        <is>
          <t>0005</t>
        </is>
      </c>
      <c r="V112" t="n">
        <v>2011</v>
      </c>
      <c r="W112" t="n">
        <v>745</v>
      </c>
      <c r="X112" t="inlineStr">
        <is>
          <t>июнь.26</t>
        </is>
      </c>
      <c r="Y112" t="n">
        <v>0</v>
      </c>
      <c r="Z112" t="n">
        <v>0</v>
      </c>
      <c r="AA112" t="n">
        <v>75</v>
      </c>
      <c r="AB112" t="n">
        <v>75</v>
      </c>
      <c r="AC112" s="72" t="inlineStr">
        <is>
          <t> </t>
        </is>
      </c>
      <c r="AD112" t="n">
        <v>285957</v>
      </c>
      <c r="AE112" t="inlineStr">
        <is>
          <t>0005</t>
        </is>
      </c>
      <c r="AF112" t="n">
        <v>2011</v>
      </c>
      <c r="AG112" t="n">
        <v>745</v>
      </c>
      <c r="AH112" t="inlineStr">
        <is>
          <t>июнь.26</t>
        </is>
      </c>
      <c r="AI112" t="n">
        <v>0</v>
      </c>
      <c r="AJ112" t="n">
        <v>0</v>
      </c>
      <c r="AK112" t="n">
        <v>75</v>
      </c>
      <c r="AL112" t="n">
        <v>75</v>
      </c>
      <c r="AM112" s="72" t="inlineStr">
        <is>
          <t> </t>
        </is>
      </c>
      <c r="AN112" t="n">
        <v>271587</v>
      </c>
      <c r="AO112" t="inlineStr">
        <is>
          <t>0005</t>
        </is>
      </c>
      <c r="AP112" t="n">
        <v>2011</v>
      </c>
      <c r="AQ112" t="n">
        <v>745</v>
      </c>
      <c r="AR112" t="inlineStr">
        <is>
          <t>июнь.26</t>
        </is>
      </c>
      <c r="AS112" t="n">
        <v>0</v>
      </c>
      <c r="AT112" t="n">
        <v>0</v>
      </c>
      <c r="AU112" t="n">
        <v>75</v>
      </c>
      <c r="AV112" t="n">
        <v>75</v>
      </c>
      <c r="AW112" s="72" t="inlineStr">
        <is>
          <t> </t>
        </is>
      </c>
      <c r="AX112" t="n">
        <v>271475</v>
      </c>
      <c r="AY112" t="inlineStr">
        <is>
          <t>0005</t>
        </is>
      </c>
      <c r="AZ112" t="n">
        <v>2011</v>
      </c>
      <c r="BA112" t="n">
        <v>745</v>
      </c>
      <c r="BB112" t="inlineStr">
        <is>
          <t>июнь.26</t>
        </is>
      </c>
      <c r="BC112" t="n">
        <v>0</v>
      </c>
      <c r="BD112" t="n">
        <v>0</v>
      </c>
      <c r="BE112" t="n">
        <v>76</v>
      </c>
      <c r="BF112" t="n">
        <v>76</v>
      </c>
      <c r="BG112" s="72" t="inlineStr">
        <is>
          <t> </t>
        </is>
      </c>
      <c r="BH112" t="n">
        <v>36966</v>
      </c>
      <c r="BI112" t="inlineStr">
        <is>
          <t>0005</t>
        </is>
      </c>
      <c r="BJ112" t="n">
        <v>2011</v>
      </c>
      <c r="BM112" s="72" t="inlineStr">
        <is>
          <t> </t>
        </is>
      </c>
      <c r="BN112" t="n">
        <v>37287</v>
      </c>
      <c r="BO112" t="inlineStr">
        <is>
          <t>0005</t>
        </is>
      </c>
      <c r="BP112" t="n">
        <v>2011</v>
      </c>
      <c r="BS112" s="72" t="inlineStr">
        <is>
          <t> </t>
        </is>
      </c>
      <c r="BT112" t="n">
        <v>64479</v>
      </c>
      <c r="BU112" t="inlineStr">
        <is>
          <t>0005</t>
        </is>
      </c>
      <c r="BV112" t="n">
        <v>2011</v>
      </c>
      <c r="BY112" s="72" t="inlineStr">
        <is>
          <t> </t>
        </is>
      </c>
      <c r="BZ112" t="n">
        <v>62553</v>
      </c>
      <c r="CA112" t="inlineStr">
        <is>
          <t>0005</t>
        </is>
      </c>
      <c r="CB112" t="n">
        <v>2011</v>
      </c>
      <c r="CE112" s="72" t="inlineStr">
        <is>
          <t> </t>
        </is>
      </c>
      <c r="CF112" t="n">
        <v>64448</v>
      </c>
      <c r="CG112" t="inlineStr">
        <is>
          <t>0005</t>
        </is>
      </c>
      <c r="CH112" t="n">
        <v>2011</v>
      </c>
      <c r="CK112" s="72" t="inlineStr">
        <is>
          <t> </t>
        </is>
      </c>
      <c r="CL112" t="n">
        <v>65677</v>
      </c>
      <c r="CM112" t="inlineStr">
        <is>
          <t>0005</t>
        </is>
      </c>
      <c r="CN112" t="n">
        <v>2011</v>
      </c>
    </row>
    <row r="113">
      <c r="A113" t="n">
        <v>77224483</v>
      </c>
      <c r="B113" s="3" t="inlineStr">
        <is>
          <t>Цистерна для перевозки продуктов</t>
        </is>
      </c>
      <c r="C113" t="inlineStr">
        <is>
          <t>15-5103-7П</t>
        </is>
      </c>
      <c r="D113" t="inlineStr">
        <is>
          <t>06.09.2011</t>
        </is>
      </c>
      <c r="E113" t="n">
        <v>2011</v>
      </c>
      <c r="F113" t="inlineStr">
        <is>
          <t>06.09.2043</t>
        </is>
      </c>
      <c r="G113" t="inlineStr">
        <is>
          <t>07.07.2023</t>
        </is>
      </c>
      <c r="H113" t="inlineStr">
        <is>
          <t>ТОО "Аждар и К"</t>
        </is>
      </c>
      <c r="I113" t="inlineStr">
        <is>
          <t>26.03.2026</t>
        </is>
      </c>
      <c r="J113" t="inlineStr">
        <is>
          <t>Усть-Каменогорское ВРД</t>
        </is>
      </c>
      <c r="K113" t="inlineStr">
        <is>
          <t>Деповской</t>
        </is>
      </c>
      <c r="L113" t="inlineStr">
        <is>
          <t>26.03.2029</t>
        </is>
      </c>
      <c r="M113" t="inlineStr">
        <is>
          <t>ООО "ТрансАльянс Запад"</t>
        </is>
      </c>
      <c r="N113" t="n">
        <v>160000</v>
      </c>
      <c r="O113" t="n">
        <v>3425</v>
      </c>
      <c r="P113" t="n">
        <v>156575</v>
      </c>
      <c r="Q113" t="inlineStr">
        <is>
          <t>31.07.2041</t>
        </is>
      </c>
      <c r="R113" t="inlineStr">
        <is>
          <t>26.03.2026</t>
        </is>
      </c>
      <c r="S113" s="72" t="inlineStr">
        <is>
          <t> </t>
        </is>
      </c>
      <c r="T113" t="n">
        <v>285409</v>
      </c>
      <c r="U113" t="inlineStr">
        <is>
          <t>0005</t>
        </is>
      </c>
      <c r="V113" t="n">
        <v>2011</v>
      </c>
      <c r="W113" t="n">
        <v>745</v>
      </c>
      <c r="X113" t="inlineStr">
        <is>
          <t>мар.26</t>
        </is>
      </c>
      <c r="Y113" t="n">
        <v>0</v>
      </c>
      <c r="Z113" t="n">
        <v>0</v>
      </c>
      <c r="AA113" t="n">
        <v>74</v>
      </c>
      <c r="AB113" t="n">
        <v>74</v>
      </c>
      <c r="AC113" s="72" t="inlineStr">
        <is>
          <t> </t>
        </is>
      </c>
      <c r="AD113" t="n">
        <v>279786</v>
      </c>
      <c r="AE113" t="inlineStr">
        <is>
          <t>0005</t>
        </is>
      </c>
      <c r="AF113" t="n">
        <v>2011</v>
      </c>
      <c r="AG113" t="n">
        <v>745</v>
      </c>
      <c r="AH113" t="inlineStr">
        <is>
          <t>мар.26</t>
        </is>
      </c>
      <c r="AI113" t="n">
        <v>0</v>
      </c>
      <c r="AJ113" t="n">
        <v>0</v>
      </c>
      <c r="AK113" t="n">
        <v>73</v>
      </c>
      <c r="AL113" t="n">
        <v>73</v>
      </c>
      <c r="AM113" s="72" t="inlineStr">
        <is>
          <t> </t>
        </is>
      </c>
      <c r="AN113" t="n">
        <v>285306</v>
      </c>
      <c r="AO113" t="inlineStr">
        <is>
          <t>0005</t>
        </is>
      </c>
      <c r="AP113" t="n">
        <v>2011</v>
      </c>
      <c r="AQ113" t="n">
        <v>745</v>
      </c>
      <c r="AR113" t="inlineStr">
        <is>
          <t>мар.26</t>
        </is>
      </c>
      <c r="AS113" t="n">
        <v>0</v>
      </c>
      <c r="AT113" t="n">
        <v>0</v>
      </c>
      <c r="AU113" t="n">
        <v>72</v>
      </c>
      <c r="AV113" t="n">
        <v>72</v>
      </c>
      <c r="AW113" s="72" t="inlineStr">
        <is>
          <t> </t>
        </is>
      </c>
      <c r="AX113" t="n">
        <v>284179</v>
      </c>
      <c r="AY113" t="inlineStr">
        <is>
          <t>0005</t>
        </is>
      </c>
      <c r="AZ113" t="n">
        <v>2011</v>
      </c>
      <c r="BA113" t="n">
        <v>745</v>
      </c>
      <c r="BB113" t="inlineStr">
        <is>
          <t>мар.26</t>
        </is>
      </c>
      <c r="BC113" t="n">
        <v>0</v>
      </c>
      <c r="BD113" t="n">
        <v>0</v>
      </c>
      <c r="BE113" t="n">
        <v>73</v>
      </c>
      <c r="BF113" t="n">
        <v>73</v>
      </c>
      <c r="BG113" s="72" t="inlineStr">
        <is>
          <t> </t>
        </is>
      </c>
      <c r="BH113" t="n">
        <v>37782</v>
      </c>
      <c r="BI113" t="inlineStr">
        <is>
          <t>0005</t>
        </is>
      </c>
      <c r="BJ113" t="n">
        <v>2011</v>
      </c>
      <c r="BM113" s="72" t="inlineStr">
        <is>
          <t> </t>
        </is>
      </c>
      <c r="BN113" t="n">
        <v>37509</v>
      </c>
      <c r="BO113" t="inlineStr">
        <is>
          <t>0005</t>
        </is>
      </c>
      <c r="BP113" t="n">
        <v>2011</v>
      </c>
      <c r="BS113" s="72" t="inlineStr">
        <is>
          <t> </t>
        </is>
      </c>
      <c r="BT113" t="n">
        <v>66295</v>
      </c>
      <c r="BU113" t="inlineStr">
        <is>
          <t>0005</t>
        </is>
      </c>
      <c r="BV113" t="n">
        <v>2011</v>
      </c>
      <c r="BY113" s="72" t="inlineStr">
        <is>
          <t> </t>
        </is>
      </c>
      <c r="BZ113" t="n">
        <v>66489</v>
      </c>
      <c r="CA113" t="inlineStr">
        <is>
          <t>0005</t>
        </is>
      </c>
      <c r="CB113" t="n">
        <v>2011</v>
      </c>
      <c r="CE113" s="72" t="inlineStr">
        <is>
          <t> </t>
        </is>
      </c>
      <c r="CF113" t="n">
        <v>63990</v>
      </c>
      <c r="CG113" t="inlineStr">
        <is>
          <t>0005</t>
        </is>
      </c>
      <c r="CH113" t="n">
        <v>2011</v>
      </c>
      <c r="CK113" s="72" t="inlineStr">
        <is>
          <t> </t>
        </is>
      </c>
      <c r="CL113" t="n">
        <v>63314</v>
      </c>
      <c r="CM113" t="inlineStr">
        <is>
          <t>0005</t>
        </is>
      </c>
      <c r="CN113" t="n">
        <v>2011</v>
      </c>
    </row>
    <row r="114">
      <c r="A114" t="n">
        <v>77223907</v>
      </c>
      <c r="B114" s="3" t="inlineStr">
        <is>
          <t>Цистерна для перевозки продуктов</t>
        </is>
      </c>
      <c r="C114" t="inlineStr">
        <is>
          <t>15-5103-7П</t>
        </is>
      </c>
      <c r="D114" t="inlineStr">
        <is>
          <t>30.08.2011</t>
        </is>
      </c>
      <c r="E114" t="n">
        <v>2011</v>
      </c>
      <c r="F114" t="inlineStr">
        <is>
          <t>30.08.2043</t>
        </is>
      </c>
      <c r="G114" t="inlineStr">
        <is>
          <t>11.07.2023</t>
        </is>
      </c>
      <c r="H114" t="inlineStr">
        <is>
          <t>ВРД Кочетовка – филиал ООО "НВК"</t>
        </is>
      </c>
      <c r="I114" t="inlineStr">
        <is>
          <t>16.06.2026</t>
        </is>
      </c>
      <c r="J114" t="inlineStr">
        <is>
          <t>Усть-Каменогорское ВРД</t>
        </is>
      </c>
      <c r="K114" t="inlineStr">
        <is>
          <t>Деповской</t>
        </is>
      </c>
      <c r="L114" t="inlineStr">
        <is>
          <t>16.06.2029</t>
        </is>
      </c>
      <c r="M114" t="inlineStr">
        <is>
          <t>ООО "ТрансАльянс Запад"</t>
        </is>
      </c>
      <c r="N114" t="n">
        <v>160000</v>
      </c>
      <c r="O114" t="n">
        <v>280</v>
      </c>
      <c r="P114" t="n">
        <v>159720</v>
      </c>
      <c r="Q114" t="inlineStr">
        <is>
          <t>23.11.2085</t>
        </is>
      </c>
      <c r="R114" t="inlineStr">
        <is>
          <t>16.06.2026</t>
        </is>
      </c>
      <c r="S114" s="72" t="inlineStr">
        <is>
          <t> </t>
        </is>
      </c>
      <c r="T114" t="n">
        <v>60087</v>
      </c>
      <c r="U114" t="inlineStr">
        <is>
          <t>0039</t>
        </is>
      </c>
      <c r="V114" t="n">
        <v>1983</v>
      </c>
      <c r="W114" t="n">
        <v>745</v>
      </c>
      <c r="X114" t="inlineStr">
        <is>
          <t>июнь.26</t>
        </is>
      </c>
      <c r="Y114" t="n">
        <v>0</v>
      </c>
      <c r="Z114" t="n">
        <v>0</v>
      </c>
      <c r="AA114" t="n">
        <v>54</v>
      </c>
      <c r="AB114" t="n">
        <v>54</v>
      </c>
      <c r="AC114" s="72" t="inlineStr">
        <is>
          <t> </t>
        </is>
      </c>
      <c r="AD114" t="n">
        <v>312517</v>
      </c>
      <c r="AE114" t="inlineStr">
        <is>
          <t>0005</t>
        </is>
      </c>
      <c r="AF114" t="n">
        <v>2011</v>
      </c>
      <c r="AG114" t="n">
        <v>745</v>
      </c>
      <c r="AH114" t="inlineStr">
        <is>
          <t>июнь.26</t>
        </is>
      </c>
      <c r="AI114" t="n">
        <v>0</v>
      </c>
      <c r="AJ114" t="n">
        <v>0</v>
      </c>
      <c r="AK114" t="n">
        <v>56</v>
      </c>
      <c r="AL114" t="n">
        <v>56</v>
      </c>
      <c r="AM114" s="72" t="inlineStr">
        <is>
          <t> </t>
        </is>
      </c>
      <c r="AN114" t="n">
        <v>55885</v>
      </c>
      <c r="AO114" t="inlineStr">
        <is>
          <t>0039</t>
        </is>
      </c>
      <c r="AP114" t="n">
        <v>1987</v>
      </c>
      <c r="AQ114" t="n">
        <v>745</v>
      </c>
      <c r="AR114" t="inlineStr">
        <is>
          <t>июнь.26</t>
        </is>
      </c>
      <c r="AS114" t="n">
        <v>0</v>
      </c>
      <c r="AT114" t="n">
        <v>0</v>
      </c>
      <c r="AU114" t="n">
        <v>58</v>
      </c>
      <c r="AV114" t="n">
        <v>58</v>
      </c>
      <c r="AW114" s="72" t="inlineStr">
        <is>
          <t> </t>
        </is>
      </c>
      <c r="AX114" t="n">
        <v>161312</v>
      </c>
      <c r="AY114" t="inlineStr">
        <is>
          <t>0029</t>
        </is>
      </c>
      <c r="AZ114" t="n">
        <v>1992</v>
      </c>
      <c r="BA114" t="n">
        <v>745</v>
      </c>
      <c r="BB114" t="inlineStr">
        <is>
          <t>июнь.26</t>
        </is>
      </c>
      <c r="BC114" t="n">
        <v>0</v>
      </c>
      <c r="BD114" t="n">
        <v>0</v>
      </c>
      <c r="BE114" t="n">
        <v>58</v>
      </c>
      <c r="BF114" t="n">
        <v>58</v>
      </c>
      <c r="BG114" s="72" t="inlineStr">
        <is>
          <t> </t>
        </is>
      </c>
      <c r="BH114" t="n">
        <v>63117</v>
      </c>
      <c r="BI114" t="inlineStr">
        <is>
          <t>0014</t>
        </is>
      </c>
      <c r="BJ114" t="n">
        <v>2011</v>
      </c>
      <c r="BM114" s="72" t="inlineStr">
        <is>
          <t> </t>
        </is>
      </c>
      <c r="BN114" t="n">
        <v>60678</v>
      </c>
      <c r="BO114" t="inlineStr">
        <is>
          <t>0014</t>
        </is>
      </c>
      <c r="BP114" t="n">
        <v>2011</v>
      </c>
      <c r="BS114" s="72" t="inlineStr">
        <is>
          <t> </t>
        </is>
      </c>
      <c r="BT114" t="n">
        <v>102547</v>
      </c>
      <c r="BU114" t="inlineStr">
        <is>
          <t>0014</t>
        </is>
      </c>
      <c r="BV114" t="n">
        <v>2011</v>
      </c>
      <c r="BY114" s="72" t="inlineStr">
        <is>
          <t> </t>
        </is>
      </c>
      <c r="BZ114" t="n">
        <v>102184</v>
      </c>
      <c r="CA114" t="inlineStr">
        <is>
          <t>0014</t>
        </is>
      </c>
      <c r="CB114" t="n">
        <v>2011</v>
      </c>
      <c r="CE114" s="72" t="inlineStr">
        <is>
          <t> </t>
        </is>
      </c>
      <c r="CF114" t="n">
        <v>99012</v>
      </c>
      <c r="CG114" t="inlineStr">
        <is>
          <t>0014</t>
        </is>
      </c>
      <c r="CH114" t="n">
        <v>2011</v>
      </c>
      <c r="CK114" s="72" t="inlineStr">
        <is>
          <t> </t>
        </is>
      </c>
      <c r="CL114" t="n">
        <v>101996</v>
      </c>
      <c r="CM114" t="inlineStr">
        <is>
          <t>0014</t>
        </is>
      </c>
      <c r="CN114" t="n">
        <v>2011</v>
      </c>
    </row>
    <row r="115">
      <c r="A115" t="n">
        <v>77222107</v>
      </c>
      <c r="B115" s="3" t="inlineStr">
        <is>
          <t>Цистерна для перевозки продуктов</t>
        </is>
      </c>
      <c r="C115" t="inlineStr">
        <is>
          <t>15-5103-7П</t>
        </is>
      </c>
      <c r="D115" t="inlineStr">
        <is>
          <t>05.09.2011</t>
        </is>
      </c>
      <c r="E115" t="n">
        <v>2011</v>
      </c>
      <c r="F115" t="inlineStr">
        <is>
          <t>05.09.2043</t>
        </is>
      </c>
      <c r="G115" t="inlineStr">
        <is>
          <t>02.03.2023</t>
        </is>
      </c>
      <c r="H115" t="inlineStr">
        <is>
          <t>ВРД Кочетовка – филиал ООО "НВК"</t>
        </is>
      </c>
      <c r="I115" t="inlineStr">
        <is>
          <t>06.03.2026</t>
        </is>
      </c>
      <c r="J115" t="inlineStr">
        <is>
          <t>Павлодарское ВРД</t>
        </is>
      </c>
      <c r="K115" t="inlineStr">
        <is>
          <t>Деповской</t>
        </is>
      </c>
      <c r="L115" t="inlineStr">
        <is>
          <t>06.03.2029</t>
        </is>
      </c>
      <c r="M115" t="inlineStr">
        <is>
          <t>ООО "ТрансАльянс Запад"</t>
        </is>
      </c>
      <c r="N115" t="n">
        <v>160000</v>
      </c>
      <c r="O115" t="n">
        <v>362</v>
      </c>
      <c r="P115" t="n">
        <v>159638</v>
      </c>
      <c r="Q115" t="inlineStr">
        <is>
          <t>25.04.2195</t>
        </is>
      </c>
      <c r="R115" t="inlineStr">
        <is>
          <t>06.03.2026</t>
        </is>
      </c>
      <c r="S115" s="72" t="inlineStr">
        <is>
          <t> </t>
        </is>
      </c>
      <c r="T115" t="n">
        <v>284563</v>
      </c>
      <c r="U115" t="inlineStr">
        <is>
          <t>0005</t>
        </is>
      </c>
      <c r="V115" t="n">
        <v>2011</v>
      </c>
      <c r="W115" t="n">
        <v>753</v>
      </c>
      <c r="X115" t="inlineStr">
        <is>
          <t>мар.26</t>
        </is>
      </c>
      <c r="Y115" t="n">
        <v>0</v>
      </c>
      <c r="Z115" t="n">
        <v>0</v>
      </c>
      <c r="AA115" t="n">
        <v>70</v>
      </c>
      <c r="AB115" t="n">
        <v>70</v>
      </c>
      <c r="AC115" s="72" t="inlineStr">
        <is>
          <t> </t>
        </is>
      </c>
      <c r="AD115" t="n">
        <v>286626</v>
      </c>
      <c r="AE115" t="inlineStr">
        <is>
          <t>0005</t>
        </is>
      </c>
      <c r="AF115" t="n">
        <v>2011</v>
      </c>
      <c r="AG115" t="n">
        <v>753</v>
      </c>
      <c r="AH115" t="inlineStr">
        <is>
          <t>мар.26</t>
        </is>
      </c>
      <c r="AI115" t="n">
        <v>0</v>
      </c>
      <c r="AJ115" t="n">
        <v>0</v>
      </c>
      <c r="AK115" t="n">
        <v>68</v>
      </c>
      <c r="AL115" t="n">
        <v>68</v>
      </c>
      <c r="AM115" s="72" t="inlineStr">
        <is>
          <t> </t>
        </is>
      </c>
      <c r="AN115" t="n">
        <v>284612</v>
      </c>
      <c r="AO115" t="inlineStr">
        <is>
          <t>0005</t>
        </is>
      </c>
      <c r="AP115" t="n">
        <v>2011</v>
      </c>
      <c r="AQ115" t="n">
        <v>753</v>
      </c>
      <c r="AR115" t="inlineStr">
        <is>
          <t>мар.26</t>
        </is>
      </c>
      <c r="AS115" t="n">
        <v>0</v>
      </c>
      <c r="AT115" t="n">
        <v>0</v>
      </c>
      <c r="AU115" t="n">
        <v>68</v>
      </c>
      <c r="AV115" t="n">
        <v>68</v>
      </c>
      <c r="AW115" s="72" t="inlineStr">
        <is>
          <t> </t>
        </is>
      </c>
      <c r="AX115" t="n">
        <v>284469</v>
      </c>
      <c r="AY115" t="inlineStr">
        <is>
          <t>0005</t>
        </is>
      </c>
      <c r="AZ115" t="n">
        <v>2011</v>
      </c>
      <c r="BA115" t="n">
        <v>753</v>
      </c>
      <c r="BB115" t="inlineStr">
        <is>
          <t>мар.26</t>
        </is>
      </c>
      <c r="BC115" t="n">
        <v>0</v>
      </c>
      <c r="BD115" t="n">
        <v>0</v>
      </c>
      <c r="BE115" t="n">
        <v>69</v>
      </c>
      <c r="BF115" t="n">
        <v>69</v>
      </c>
      <c r="BG115" s="72" t="inlineStr">
        <is>
          <t> </t>
        </is>
      </c>
      <c r="BH115" t="n">
        <v>37347</v>
      </c>
      <c r="BI115" t="inlineStr">
        <is>
          <t>0005</t>
        </is>
      </c>
      <c r="BJ115" t="n">
        <v>2011</v>
      </c>
      <c r="BM115" s="72" t="inlineStr">
        <is>
          <t> </t>
        </is>
      </c>
      <c r="BN115" t="n">
        <v>37135</v>
      </c>
      <c r="BO115" t="inlineStr">
        <is>
          <t>0005</t>
        </is>
      </c>
      <c r="BP115" t="n">
        <v>2011</v>
      </c>
      <c r="BS115" s="72" t="inlineStr">
        <is>
          <t> </t>
        </is>
      </c>
      <c r="BT115" t="n">
        <v>65623</v>
      </c>
      <c r="BU115" t="inlineStr">
        <is>
          <t>0005</t>
        </is>
      </c>
      <c r="BV115" t="n">
        <v>2011</v>
      </c>
      <c r="BY115" s="72" t="inlineStr">
        <is>
          <t> </t>
        </is>
      </c>
      <c r="BZ115" t="n">
        <v>63814</v>
      </c>
      <c r="CA115" t="inlineStr">
        <is>
          <t>0005</t>
        </is>
      </c>
      <c r="CB115" t="n">
        <v>2011</v>
      </c>
      <c r="CE115" s="72" t="inlineStr">
        <is>
          <t> </t>
        </is>
      </c>
      <c r="CF115" t="n">
        <v>66115</v>
      </c>
      <c r="CG115" t="inlineStr">
        <is>
          <t>0005</t>
        </is>
      </c>
      <c r="CH115" t="n">
        <v>2011</v>
      </c>
      <c r="CK115" s="72" t="inlineStr">
        <is>
          <t> </t>
        </is>
      </c>
      <c r="CL115" t="n">
        <v>65564</v>
      </c>
      <c r="CM115" t="inlineStr">
        <is>
          <t>0005</t>
        </is>
      </c>
      <c r="CN115" t="n">
        <v>2011</v>
      </c>
    </row>
    <row r="116">
      <c r="A116" t="n">
        <v>77222032</v>
      </c>
      <c r="B116" s="3" t="inlineStr">
        <is>
          <t>Цистерна для перевозки продуктов</t>
        </is>
      </c>
      <c r="C116" t="inlineStr">
        <is>
          <t>15-150-04П</t>
        </is>
      </c>
      <c r="D116" t="inlineStr">
        <is>
          <t>30.08.2011</t>
        </is>
      </c>
      <c r="E116" t="n">
        <v>2011</v>
      </c>
      <c r="F116" t="inlineStr">
        <is>
          <t>30.08.2043</t>
        </is>
      </c>
      <c r="G116" t="inlineStr">
        <is>
          <t>07.03.2023</t>
        </is>
      </c>
      <c r="H116" t="inlineStr">
        <is>
          <t>ВРД Кочетовка – филиал ООО "НВК"</t>
        </is>
      </c>
      <c r="I116" t="inlineStr">
        <is>
          <t>08.03.2026</t>
        </is>
      </c>
      <c r="J116" t="inlineStr">
        <is>
          <t>Павлодарское ВРД</t>
        </is>
      </c>
      <c r="K116" t="inlineStr">
        <is>
          <t>Деповской</t>
        </is>
      </c>
      <c r="L116" t="inlineStr">
        <is>
          <t>08.03.2029</t>
        </is>
      </c>
      <c r="M116" t="inlineStr">
        <is>
          <t>ООО "ТрансАльянс Запад"</t>
        </is>
      </c>
      <c r="N116" t="n">
        <v>160000</v>
      </c>
      <c r="O116" t="n">
        <v>362</v>
      </c>
      <c r="P116" t="n">
        <v>159638</v>
      </c>
      <c r="Q116" t="inlineStr">
        <is>
          <t>20.05.2193</t>
        </is>
      </c>
      <c r="R116" t="inlineStr">
        <is>
          <t>08.03.2026</t>
        </is>
      </c>
      <c r="S116" s="72" t="inlineStr">
        <is>
          <t> </t>
        </is>
      </c>
      <c r="T116" t="n">
        <v>30594</v>
      </c>
      <c r="U116" t="n">
        <v>1175</v>
      </c>
      <c r="V116" t="n">
        <v>2009</v>
      </c>
      <c r="W116" t="n">
        <v>753</v>
      </c>
      <c r="X116" t="inlineStr">
        <is>
          <t>мар.26</t>
        </is>
      </c>
      <c r="Y116" t="n">
        <v>0</v>
      </c>
      <c r="Z116" t="n">
        <v>0</v>
      </c>
      <c r="AA116" t="n">
        <v>62</v>
      </c>
      <c r="AB116" t="n">
        <v>62</v>
      </c>
      <c r="AC116" s="72" t="inlineStr">
        <is>
          <t> </t>
        </is>
      </c>
      <c r="AD116" t="n">
        <v>285844</v>
      </c>
      <c r="AE116" t="inlineStr">
        <is>
          <t>0005</t>
        </is>
      </c>
      <c r="AF116" t="n">
        <v>2011</v>
      </c>
      <c r="AG116" t="n">
        <v>753</v>
      </c>
      <c r="AH116" t="inlineStr">
        <is>
          <t>мар.26</t>
        </is>
      </c>
      <c r="AI116" t="n">
        <v>0</v>
      </c>
      <c r="AJ116" t="n">
        <v>0</v>
      </c>
      <c r="AK116" t="n">
        <v>61</v>
      </c>
      <c r="AL116" t="n">
        <v>61</v>
      </c>
      <c r="AM116" s="72" t="inlineStr">
        <is>
          <t> </t>
        </is>
      </c>
      <c r="AN116" t="n">
        <v>22226</v>
      </c>
      <c r="AO116" t="inlineStr">
        <is>
          <t>0029</t>
        </is>
      </c>
      <c r="AP116" t="n">
        <v>2011</v>
      </c>
      <c r="AQ116" t="n">
        <v>753</v>
      </c>
      <c r="AR116" t="inlineStr">
        <is>
          <t>мар.26</t>
        </is>
      </c>
      <c r="AS116" t="n">
        <v>0</v>
      </c>
      <c r="AT116" t="n">
        <v>0</v>
      </c>
      <c r="AU116" t="n">
        <v>58</v>
      </c>
      <c r="AV116" t="n">
        <v>58</v>
      </c>
      <c r="AW116" s="72" t="inlineStr">
        <is>
          <t> </t>
        </is>
      </c>
      <c r="AX116" t="n">
        <v>22036</v>
      </c>
      <c r="AY116" t="inlineStr">
        <is>
          <t>0029</t>
        </is>
      </c>
      <c r="AZ116" t="n">
        <v>2011</v>
      </c>
      <c r="BA116" t="n">
        <v>753</v>
      </c>
      <c r="BB116" t="inlineStr">
        <is>
          <t>мар.26</t>
        </is>
      </c>
      <c r="BC116" t="n">
        <v>0</v>
      </c>
      <c r="BD116" t="n">
        <v>0</v>
      </c>
      <c r="BE116" t="n">
        <v>60</v>
      </c>
      <c r="BF116" t="n">
        <v>60</v>
      </c>
      <c r="BG116" s="72" t="inlineStr">
        <is>
          <t> </t>
        </is>
      </c>
      <c r="BH116" t="n">
        <v>37402</v>
      </c>
      <c r="BI116" t="inlineStr">
        <is>
          <t>0005</t>
        </is>
      </c>
      <c r="BJ116" t="n">
        <v>2011</v>
      </c>
      <c r="BM116" s="72" t="inlineStr">
        <is>
          <t> </t>
        </is>
      </c>
      <c r="BN116" t="n">
        <v>37337</v>
      </c>
      <c r="BO116" t="inlineStr">
        <is>
          <t>0005</t>
        </is>
      </c>
      <c r="BP116" t="n">
        <v>2011</v>
      </c>
      <c r="BS116" s="72" t="inlineStr">
        <is>
          <t> </t>
        </is>
      </c>
      <c r="BT116" t="n">
        <v>64014</v>
      </c>
      <c r="BU116" t="inlineStr">
        <is>
          <t>0005</t>
        </is>
      </c>
      <c r="BV116" t="n">
        <v>2011</v>
      </c>
      <c r="BY116" s="72" t="inlineStr">
        <is>
          <t> </t>
        </is>
      </c>
      <c r="BZ116" t="n">
        <v>63890</v>
      </c>
      <c r="CA116" t="inlineStr">
        <is>
          <t>0005</t>
        </is>
      </c>
      <c r="CB116" t="n">
        <v>2011</v>
      </c>
      <c r="CE116" s="72" t="inlineStr">
        <is>
          <t> </t>
        </is>
      </c>
      <c r="CF116" t="n">
        <v>63433</v>
      </c>
      <c r="CG116" t="inlineStr">
        <is>
          <t>0005</t>
        </is>
      </c>
      <c r="CH116" t="n">
        <v>2011</v>
      </c>
      <c r="CK116" s="72" t="inlineStr">
        <is>
          <t> </t>
        </is>
      </c>
      <c r="CL116" t="n">
        <v>63442</v>
      </c>
      <c r="CM116" t="inlineStr">
        <is>
          <t>0005</t>
        </is>
      </c>
      <c r="CN116" t="n">
        <v>2011</v>
      </c>
    </row>
    <row r="117">
      <c r="A117" t="n">
        <v>77224202</v>
      </c>
      <c r="B117" s="3" t="inlineStr">
        <is>
          <t>Цистерна для перевозки продуктов</t>
        </is>
      </c>
      <c r="C117" t="inlineStr">
        <is>
          <t>15-150-04П</t>
        </is>
      </c>
      <c r="D117" t="inlineStr">
        <is>
          <t>31.08.2011</t>
        </is>
      </c>
      <c r="E117" t="n">
        <v>2011</v>
      </c>
      <c r="F117" t="inlineStr">
        <is>
          <t>31.08.2043</t>
        </is>
      </c>
      <c r="G117" t="inlineStr">
        <is>
          <t>19.05.2023</t>
        </is>
      </c>
      <c r="H117" t="inlineStr">
        <is>
          <t>ВРД Кочетовка – филиал ООО "НВК"</t>
        </is>
      </c>
      <c r="I117" t="inlineStr">
        <is>
          <t>06.05.2026</t>
        </is>
      </c>
      <c r="J117" t="inlineStr">
        <is>
          <t>Усть-Каменогорское ВРД</t>
        </is>
      </c>
      <c r="K117" t="inlineStr">
        <is>
          <t>Деповской</t>
        </is>
      </c>
      <c r="L117" t="inlineStr">
        <is>
          <t>06.05.2029</t>
        </is>
      </c>
      <c r="M117" t="inlineStr">
        <is>
          <t>ООО "ТрансАльянс Запад"</t>
        </is>
      </c>
      <c r="N117" t="n">
        <v>160000</v>
      </c>
      <c r="O117" t="n">
        <v>4922</v>
      </c>
      <c r="P117" t="n">
        <v>155078</v>
      </c>
      <c r="Q117" t="inlineStr">
        <is>
          <t>17.05.2033</t>
        </is>
      </c>
      <c r="R117" t="inlineStr">
        <is>
          <t>06.05.2026</t>
        </is>
      </c>
      <c r="S117" s="72" t="inlineStr">
        <is>
          <t> </t>
        </is>
      </c>
      <c r="T117" t="n">
        <v>852961</v>
      </c>
      <c r="U117" t="inlineStr">
        <is>
          <t>0005</t>
        </is>
      </c>
      <c r="V117" t="n">
        <v>2018</v>
      </c>
      <c r="W117" t="n">
        <v>745</v>
      </c>
      <c r="X117" t="inlineStr">
        <is>
          <t>май.26</t>
        </is>
      </c>
      <c r="Y117" t="n">
        <v>0</v>
      </c>
      <c r="Z117" t="n">
        <v>0</v>
      </c>
      <c r="AA117" t="n">
        <v>75</v>
      </c>
      <c r="AB117" t="n">
        <v>75</v>
      </c>
      <c r="AC117" s="72" t="inlineStr">
        <is>
          <t> </t>
        </is>
      </c>
      <c r="AD117" t="n">
        <v>635549</v>
      </c>
      <c r="AE117" t="inlineStr">
        <is>
          <t>0029</t>
        </is>
      </c>
      <c r="AF117" t="n">
        <v>1996</v>
      </c>
      <c r="AG117" t="n">
        <v>745</v>
      </c>
      <c r="AH117" t="inlineStr">
        <is>
          <t>май.26</t>
        </is>
      </c>
      <c r="AI117" t="n">
        <v>0</v>
      </c>
      <c r="AJ117" t="n">
        <v>0</v>
      </c>
      <c r="AK117" t="n">
        <v>75</v>
      </c>
      <c r="AL117" t="n">
        <v>75</v>
      </c>
      <c r="AM117" s="72" t="inlineStr">
        <is>
          <t> </t>
        </is>
      </c>
      <c r="AN117" t="n">
        <v>155587</v>
      </c>
      <c r="AO117" t="inlineStr">
        <is>
          <t>0005</t>
        </is>
      </c>
      <c r="AP117" t="n">
        <v>2014</v>
      </c>
      <c r="AQ117" t="n">
        <v>745</v>
      </c>
      <c r="AR117" t="inlineStr">
        <is>
          <t>май.26</t>
        </is>
      </c>
      <c r="AS117" t="n">
        <v>0</v>
      </c>
      <c r="AT117" t="n">
        <v>0</v>
      </c>
      <c r="AU117" t="n">
        <v>74</v>
      </c>
      <c r="AV117" t="n">
        <v>74</v>
      </c>
      <c r="AW117" s="72" t="inlineStr">
        <is>
          <t> </t>
        </is>
      </c>
      <c r="AX117" t="n">
        <v>175531</v>
      </c>
      <c r="AY117" t="inlineStr">
        <is>
          <t>0005</t>
        </is>
      </c>
      <c r="AZ117" t="n">
        <v>2012</v>
      </c>
      <c r="BA117" t="n">
        <v>745</v>
      </c>
      <c r="BB117" t="inlineStr">
        <is>
          <t>май.26</t>
        </is>
      </c>
      <c r="BC117" t="n">
        <v>0</v>
      </c>
      <c r="BD117" t="n">
        <v>0</v>
      </c>
      <c r="BE117" t="n">
        <v>74</v>
      </c>
      <c r="BF117" t="n">
        <v>74</v>
      </c>
      <c r="BG117" s="72" t="inlineStr">
        <is>
          <t> </t>
        </is>
      </c>
      <c r="BH117" t="n">
        <v>37497</v>
      </c>
      <c r="BI117" t="inlineStr">
        <is>
          <t>0005</t>
        </is>
      </c>
      <c r="BJ117" t="n">
        <v>2011</v>
      </c>
      <c r="BM117" s="72" t="inlineStr">
        <is>
          <t> </t>
        </is>
      </c>
      <c r="BN117" t="n">
        <v>37456</v>
      </c>
      <c r="BO117" t="inlineStr">
        <is>
          <t>0005</t>
        </is>
      </c>
      <c r="BP117" t="n">
        <v>2011</v>
      </c>
      <c r="BS117" s="72" t="inlineStr">
        <is>
          <t> </t>
        </is>
      </c>
      <c r="BT117" t="n">
        <v>65579</v>
      </c>
      <c r="BU117" t="inlineStr">
        <is>
          <t>0005</t>
        </is>
      </c>
      <c r="BV117" t="n">
        <v>2011</v>
      </c>
      <c r="BY117" s="72" t="inlineStr">
        <is>
          <t> </t>
        </is>
      </c>
      <c r="BZ117" t="n">
        <v>64571</v>
      </c>
      <c r="CA117" t="inlineStr">
        <is>
          <t>0005</t>
        </is>
      </c>
      <c r="CB117" t="n">
        <v>2011</v>
      </c>
      <c r="CE117" s="72" t="inlineStr">
        <is>
          <t> </t>
        </is>
      </c>
      <c r="CF117" t="n">
        <v>65221</v>
      </c>
      <c r="CG117" t="inlineStr">
        <is>
          <t>0005</t>
        </is>
      </c>
      <c r="CH117" t="n">
        <v>2011</v>
      </c>
      <c r="CK117" s="72" t="inlineStr">
        <is>
          <t> </t>
        </is>
      </c>
      <c r="CL117" t="n">
        <v>64879</v>
      </c>
      <c r="CM117" t="inlineStr">
        <is>
          <t>0005</t>
        </is>
      </c>
      <c r="CN117" t="n">
        <v>2011</v>
      </c>
    </row>
    <row r="118">
      <c r="A118" t="n">
        <v>77223865</v>
      </c>
      <c r="B118" s="3" t="inlineStr">
        <is>
          <t>Цистерна для перевозки продуктов</t>
        </is>
      </c>
      <c r="C118" t="inlineStr">
        <is>
          <t>15-150-04П</t>
        </is>
      </c>
      <c r="D118" t="inlineStr">
        <is>
          <t>31.08.2011</t>
        </is>
      </c>
      <c r="E118" t="n">
        <v>2011</v>
      </c>
      <c r="F118" t="inlineStr">
        <is>
          <t>31.08.2043</t>
        </is>
      </c>
      <c r="G118" t="inlineStr">
        <is>
          <t>26.05.2023</t>
        </is>
      </c>
      <c r="H118" t="inlineStr">
        <is>
          <t>ВРД Кочетовка – филиал ООО "НВК"</t>
        </is>
      </c>
      <c r="I118" t="inlineStr">
        <is>
          <t>07.05.2026</t>
        </is>
      </c>
      <c r="J118" t="inlineStr">
        <is>
          <t>Усть-Каменогорское ВРД</t>
        </is>
      </c>
      <c r="K118" t="inlineStr">
        <is>
          <t>Деповской</t>
        </is>
      </c>
      <c r="L118" t="inlineStr">
        <is>
          <t>07.05.2029</t>
        </is>
      </c>
      <c r="M118" t="inlineStr">
        <is>
          <t>ООО "ТрансАльянс Запад"</t>
        </is>
      </c>
      <c r="N118" t="n">
        <v>160000</v>
      </c>
      <c r="O118" t="n">
        <v>4922</v>
      </c>
      <c r="P118" t="n">
        <v>155078</v>
      </c>
      <c r="Q118" t="inlineStr">
        <is>
          <t>16.04.2033</t>
        </is>
      </c>
      <c r="R118" t="inlineStr">
        <is>
          <t>07.05.2026</t>
        </is>
      </c>
      <c r="S118" s="72" t="inlineStr">
        <is>
          <t> </t>
        </is>
      </c>
      <c r="T118" t="n">
        <v>141186</v>
      </c>
      <c r="U118" t="inlineStr">
        <is>
          <t>0005</t>
        </is>
      </c>
      <c r="V118" t="n">
        <v>2009</v>
      </c>
      <c r="W118" t="n">
        <v>745</v>
      </c>
      <c r="X118" t="inlineStr">
        <is>
          <t>май.26</t>
        </is>
      </c>
      <c r="Y118" t="n">
        <v>0</v>
      </c>
      <c r="Z118" t="n">
        <v>0</v>
      </c>
      <c r="AA118" t="n">
        <v>61</v>
      </c>
      <c r="AB118" t="n">
        <v>61</v>
      </c>
      <c r="AC118" s="72" t="inlineStr">
        <is>
          <t> </t>
        </is>
      </c>
      <c r="AD118" t="n">
        <v>129790</v>
      </c>
      <c r="AE118" t="inlineStr">
        <is>
          <t>0005</t>
        </is>
      </c>
      <c r="AF118" t="n">
        <v>2009</v>
      </c>
      <c r="AG118" t="n">
        <v>745</v>
      </c>
      <c r="AH118" t="inlineStr">
        <is>
          <t>май.26</t>
        </is>
      </c>
      <c r="AI118" t="n">
        <v>0</v>
      </c>
      <c r="AJ118" t="n">
        <v>0</v>
      </c>
      <c r="AK118" t="n">
        <v>58</v>
      </c>
      <c r="AL118" t="n">
        <v>58</v>
      </c>
      <c r="AM118" s="72" t="inlineStr">
        <is>
          <t> </t>
        </is>
      </c>
      <c r="AN118" t="n">
        <v>22667</v>
      </c>
      <c r="AO118" t="n">
        <v>1175</v>
      </c>
      <c r="AP118" t="n">
        <v>2010</v>
      </c>
      <c r="AQ118" t="n">
        <v>745</v>
      </c>
      <c r="AR118" t="inlineStr">
        <is>
          <t>май.26</t>
        </is>
      </c>
      <c r="AS118" t="n">
        <v>0</v>
      </c>
      <c r="AT118" t="n">
        <v>0</v>
      </c>
      <c r="AU118" t="n">
        <v>54</v>
      </c>
      <c r="AV118" t="n">
        <v>54</v>
      </c>
      <c r="AW118" s="72" t="inlineStr">
        <is>
          <t> </t>
        </is>
      </c>
      <c r="AX118" t="n">
        <v>814821</v>
      </c>
      <c r="AY118" t="inlineStr">
        <is>
          <t>0029</t>
        </is>
      </c>
      <c r="AZ118" t="n">
        <v>2010</v>
      </c>
      <c r="BA118" t="n">
        <v>745</v>
      </c>
      <c r="BB118" t="inlineStr">
        <is>
          <t>май.26</t>
        </is>
      </c>
      <c r="BC118" t="n">
        <v>0</v>
      </c>
      <c r="BD118" t="n">
        <v>0</v>
      </c>
      <c r="BE118" t="n">
        <v>56</v>
      </c>
      <c r="BF118" t="n">
        <v>56</v>
      </c>
      <c r="BG118" s="72" t="inlineStr">
        <is>
          <t> </t>
        </is>
      </c>
      <c r="BH118" t="n">
        <v>38207</v>
      </c>
      <c r="BI118" t="inlineStr">
        <is>
          <t>0005</t>
        </is>
      </c>
      <c r="BJ118" t="n">
        <v>2011</v>
      </c>
      <c r="BM118" s="72" t="inlineStr">
        <is>
          <t> </t>
        </is>
      </c>
      <c r="BN118" t="n">
        <v>38125</v>
      </c>
      <c r="BO118" t="inlineStr">
        <is>
          <t>0005</t>
        </is>
      </c>
      <c r="BP118" t="n">
        <v>2011</v>
      </c>
      <c r="BS118" s="72" t="inlineStr">
        <is>
          <t> </t>
        </is>
      </c>
      <c r="BT118" t="n">
        <v>64217</v>
      </c>
      <c r="BU118" t="inlineStr">
        <is>
          <t>0005</t>
        </is>
      </c>
      <c r="BV118" t="n">
        <v>2011</v>
      </c>
      <c r="BY118" s="72" t="inlineStr">
        <is>
          <t> </t>
        </is>
      </c>
      <c r="BZ118" t="n">
        <v>66987</v>
      </c>
      <c r="CA118" t="inlineStr">
        <is>
          <t>0005</t>
        </is>
      </c>
      <c r="CB118" t="n">
        <v>2011</v>
      </c>
      <c r="CE118" s="72" t="inlineStr">
        <is>
          <t> </t>
        </is>
      </c>
      <c r="CF118" t="n">
        <v>66780</v>
      </c>
      <c r="CG118" t="inlineStr">
        <is>
          <t>0005</t>
        </is>
      </c>
      <c r="CH118" t="n">
        <v>2011</v>
      </c>
      <c r="CK118" s="72" t="inlineStr">
        <is>
          <t> </t>
        </is>
      </c>
      <c r="CL118" t="n">
        <v>65809</v>
      </c>
      <c r="CM118" t="inlineStr">
        <is>
          <t>0005</t>
        </is>
      </c>
      <c r="CN118" t="n">
        <v>2011</v>
      </c>
    </row>
    <row r="119">
      <c r="A119" t="n">
        <v>77224525</v>
      </c>
      <c r="B119" s="3" t="inlineStr">
        <is>
          <t>Цистерна для перевозки продуктов</t>
        </is>
      </c>
      <c r="C119" t="inlineStr">
        <is>
          <t>15-150-04П</t>
        </is>
      </c>
      <c r="D119" t="inlineStr">
        <is>
          <t>31.08.2011</t>
        </is>
      </c>
      <c r="E119" t="n">
        <v>2011</v>
      </c>
      <c r="F119" t="inlineStr">
        <is>
          <t>31.08.2043</t>
        </is>
      </c>
      <c r="G119" t="inlineStr">
        <is>
          <t>30.08.2023</t>
        </is>
      </c>
      <c r="H119" t="inlineStr">
        <is>
          <t>ВРД Кочетовка – филиал ООО "НВК"</t>
        </is>
      </c>
      <c r="K119" t="inlineStr">
        <is>
          <t>Капитальный</t>
        </is>
      </c>
      <c r="L119" t="inlineStr">
        <is>
          <t>30.08.2026</t>
        </is>
      </c>
      <c r="M119" t="inlineStr">
        <is>
          <t>ООО "ТрансАльянс Запад"</t>
        </is>
      </c>
      <c r="N119" t="n">
        <v>160000</v>
      </c>
      <c r="O119" t="n">
        <v>111433</v>
      </c>
      <c r="P119" t="n">
        <v>48567</v>
      </c>
      <c r="Q119" t="inlineStr">
        <is>
          <t>29.10.2027</t>
        </is>
      </c>
      <c r="R119" t="inlineStr">
        <is>
          <t>16.02.2026</t>
        </is>
      </c>
      <c r="S119" s="72" t="inlineStr">
        <is>
          <t> </t>
        </is>
      </c>
      <c r="T119" t="n">
        <v>896509</v>
      </c>
      <c r="U119" t="inlineStr">
        <is>
          <t>0005</t>
        </is>
      </c>
      <c r="V119" t="n">
        <v>2018</v>
      </c>
      <c r="W119" t="n">
        <v>2556</v>
      </c>
      <c r="X119" t="inlineStr">
        <is>
          <t>фев.26</t>
        </is>
      </c>
      <c r="Y119" t="n">
        <v>0</v>
      </c>
      <c r="Z119" t="n">
        <v>0</v>
      </c>
      <c r="AA119" t="n">
        <v>54</v>
      </c>
      <c r="AB119" t="n">
        <v>53</v>
      </c>
      <c r="AC119" s="72" t="inlineStr">
        <is>
          <t> </t>
        </is>
      </c>
      <c r="AD119" t="n">
        <v>206715</v>
      </c>
      <c r="AE119" t="inlineStr">
        <is>
          <t>0005</t>
        </is>
      </c>
      <c r="AF119" t="n">
        <v>2019</v>
      </c>
      <c r="AG119" t="n">
        <v>2556</v>
      </c>
      <c r="AH119" t="inlineStr">
        <is>
          <t>фев.26</t>
        </is>
      </c>
      <c r="AI119" t="n">
        <v>0</v>
      </c>
      <c r="AJ119" t="n">
        <v>0</v>
      </c>
      <c r="AK119" t="n">
        <v>54</v>
      </c>
      <c r="AL119" t="n">
        <v>53</v>
      </c>
      <c r="AM119" s="72" t="inlineStr">
        <is>
          <t> </t>
        </is>
      </c>
      <c r="AN119" t="n">
        <v>896324</v>
      </c>
      <c r="AO119" t="inlineStr">
        <is>
          <t>0005</t>
        </is>
      </c>
      <c r="AP119" t="n">
        <v>2018</v>
      </c>
      <c r="AQ119" t="n">
        <v>2556</v>
      </c>
      <c r="AR119" t="inlineStr">
        <is>
          <t>фев.26</t>
        </is>
      </c>
      <c r="AS119" t="n">
        <v>0</v>
      </c>
      <c r="AT119" t="n">
        <v>0</v>
      </c>
      <c r="AU119" t="n">
        <v>46</v>
      </c>
      <c r="AV119" t="n">
        <v>46</v>
      </c>
      <c r="AW119" s="72" t="inlineStr">
        <is>
          <t> </t>
        </is>
      </c>
      <c r="AX119" t="n">
        <v>200222</v>
      </c>
      <c r="AY119" t="inlineStr">
        <is>
          <t>0005</t>
        </is>
      </c>
      <c r="AZ119" t="n">
        <v>2019</v>
      </c>
      <c r="BA119" t="n">
        <v>2556</v>
      </c>
      <c r="BB119" t="inlineStr">
        <is>
          <t>фев.26</t>
        </is>
      </c>
      <c r="BC119" t="n">
        <v>0</v>
      </c>
      <c r="BD119" t="n">
        <v>0</v>
      </c>
      <c r="BE119" t="n">
        <v>36</v>
      </c>
      <c r="BF119" t="n">
        <v>36</v>
      </c>
      <c r="BG119" s="72" t="inlineStr">
        <is>
          <t> </t>
        </is>
      </c>
      <c r="BH119" t="n">
        <v>37198</v>
      </c>
      <c r="BI119" t="inlineStr">
        <is>
          <t>0005</t>
        </is>
      </c>
      <c r="BJ119" t="n">
        <v>2011</v>
      </c>
      <c r="BM119" s="72" t="inlineStr">
        <is>
          <t> </t>
        </is>
      </c>
      <c r="BN119" t="n">
        <v>37483</v>
      </c>
      <c r="BO119" t="inlineStr">
        <is>
          <t>0005</t>
        </is>
      </c>
      <c r="BP119" t="n">
        <v>2011</v>
      </c>
      <c r="BS119" s="72" t="inlineStr">
        <is>
          <t> </t>
        </is>
      </c>
      <c r="BT119" t="n">
        <v>65936</v>
      </c>
      <c r="BU119" t="inlineStr">
        <is>
          <t>0005</t>
        </is>
      </c>
      <c r="BV119" t="n">
        <v>2011</v>
      </c>
      <c r="BY119" s="72" t="inlineStr">
        <is>
          <t> </t>
        </is>
      </c>
      <c r="BZ119" t="n">
        <v>65526</v>
      </c>
      <c r="CA119" t="inlineStr">
        <is>
          <t>0005</t>
        </is>
      </c>
      <c r="CB119" t="n">
        <v>2011</v>
      </c>
      <c r="CE119" s="72" t="inlineStr">
        <is>
          <t> </t>
        </is>
      </c>
      <c r="CF119" t="n">
        <v>66202</v>
      </c>
      <c r="CG119" t="inlineStr">
        <is>
          <t>0005</t>
        </is>
      </c>
      <c r="CH119" t="n">
        <v>2011</v>
      </c>
      <c r="CK119" s="72" t="inlineStr">
        <is>
          <t> </t>
        </is>
      </c>
      <c r="CL119" t="n">
        <v>62843</v>
      </c>
      <c r="CM119" t="inlineStr">
        <is>
          <t>0005</t>
        </is>
      </c>
      <c r="CN119" t="n">
        <v>2011</v>
      </c>
    </row>
    <row r="120">
      <c r="A120" t="n">
        <v>77223881</v>
      </c>
      <c r="B120" s="3" t="inlineStr">
        <is>
          <t>Цистерна для перевозки продуктов</t>
        </is>
      </c>
      <c r="C120" t="inlineStr">
        <is>
          <t>15-150-04П</t>
        </is>
      </c>
      <c r="D120" t="inlineStr">
        <is>
          <t>31.08.2011</t>
        </is>
      </c>
      <c r="E120" t="n">
        <v>2011</v>
      </c>
      <c r="F120" t="inlineStr">
        <is>
          <t>31.08.2043</t>
        </is>
      </c>
      <c r="G120" t="inlineStr">
        <is>
          <t>08.05.2023</t>
        </is>
      </c>
      <c r="H120" t="inlineStr">
        <is>
          <t>ВРД Кочетовка – филиал ООО "НВК"</t>
        </is>
      </c>
      <c r="I120" t="inlineStr">
        <is>
          <t>29.10.2025</t>
        </is>
      </c>
      <c r="J120" t="inlineStr">
        <is>
          <t>Орский ВРЗ-филиал ООО "НВК"</t>
        </is>
      </c>
      <c r="K120" t="inlineStr">
        <is>
          <t>Деповской</t>
        </is>
      </c>
      <c r="L120" t="inlineStr">
        <is>
          <t>29.10.2028</t>
        </is>
      </c>
      <c r="M120" t="inlineStr">
        <is>
          <t>ООО "ТрансАльянс Запад"</t>
        </is>
      </c>
      <c r="N120" t="n">
        <v>160000</v>
      </c>
      <c r="O120" t="n">
        <v>10803</v>
      </c>
      <c r="P120" t="n">
        <v>149197</v>
      </c>
      <c r="Q120" t="inlineStr">
        <is>
          <t>10.09.2036</t>
        </is>
      </c>
      <c r="R120" t="inlineStr">
        <is>
          <t>29.10.2025</t>
        </is>
      </c>
      <c r="S120" s="72" t="inlineStr">
        <is>
          <t> </t>
        </is>
      </c>
      <c r="T120" t="n">
        <v>277369</v>
      </c>
      <c r="U120" t="inlineStr">
        <is>
          <t>0005</t>
        </is>
      </c>
      <c r="V120" t="n">
        <v>2011</v>
      </c>
      <c r="W120" t="n">
        <v>2348</v>
      </c>
      <c r="X120" t="inlineStr">
        <is>
          <t>окт.25</t>
        </is>
      </c>
      <c r="Y120" t="n">
        <v>30</v>
      </c>
      <c r="Z120" t="n">
        <v>30</v>
      </c>
      <c r="AA120" t="n">
        <v>66</v>
      </c>
      <c r="AB120" t="n">
        <v>66</v>
      </c>
      <c r="AC120" s="72" t="inlineStr">
        <is>
          <t> </t>
        </is>
      </c>
      <c r="AD120" t="n">
        <v>221079</v>
      </c>
      <c r="AE120" t="inlineStr">
        <is>
          <t>0005</t>
        </is>
      </c>
      <c r="AF120" t="n">
        <v>2008</v>
      </c>
      <c r="AG120" t="n">
        <v>2348</v>
      </c>
      <c r="AH120" t="inlineStr">
        <is>
          <t>окт.25</t>
        </is>
      </c>
      <c r="AI120" t="n">
        <v>30</v>
      </c>
      <c r="AJ120" t="n">
        <v>30</v>
      </c>
      <c r="AK120" t="n">
        <v>66</v>
      </c>
      <c r="AL120" t="n">
        <v>66</v>
      </c>
      <c r="AM120" s="72" t="inlineStr">
        <is>
          <t> </t>
        </is>
      </c>
      <c r="AN120" t="n">
        <v>285191</v>
      </c>
      <c r="AO120" t="inlineStr">
        <is>
          <t>0005</t>
        </is>
      </c>
      <c r="AP120" t="n">
        <v>2011</v>
      </c>
      <c r="AQ120" t="n">
        <v>2348</v>
      </c>
      <c r="AR120" t="inlineStr">
        <is>
          <t>окт.25</t>
        </is>
      </c>
      <c r="AS120" t="n">
        <v>30</v>
      </c>
      <c r="AT120" t="n">
        <v>30</v>
      </c>
      <c r="AU120" t="n">
        <v>70</v>
      </c>
      <c r="AV120" t="n">
        <v>70</v>
      </c>
      <c r="AW120" s="72" t="inlineStr">
        <is>
          <t> </t>
        </is>
      </c>
      <c r="AX120" t="n">
        <v>284168</v>
      </c>
      <c r="AY120" t="inlineStr">
        <is>
          <t>0005</t>
        </is>
      </c>
      <c r="AZ120" t="n">
        <v>2011</v>
      </c>
      <c r="BA120" t="n">
        <v>2348</v>
      </c>
      <c r="BB120" t="inlineStr">
        <is>
          <t>окт.25</t>
        </is>
      </c>
      <c r="BC120" t="n">
        <v>30</v>
      </c>
      <c r="BD120" t="n">
        <v>30</v>
      </c>
      <c r="BE120" t="n">
        <v>70</v>
      </c>
      <c r="BF120" t="n">
        <v>70</v>
      </c>
      <c r="BG120" s="72" t="inlineStr">
        <is>
          <t> </t>
        </is>
      </c>
      <c r="BH120" t="n">
        <v>37162</v>
      </c>
      <c r="BI120" t="inlineStr">
        <is>
          <t>0005</t>
        </is>
      </c>
      <c r="BJ120" t="n">
        <v>2011</v>
      </c>
      <c r="BM120" s="72" t="inlineStr">
        <is>
          <t> </t>
        </is>
      </c>
      <c r="BN120" t="n">
        <v>37277</v>
      </c>
      <c r="BO120" t="inlineStr">
        <is>
          <t>0005</t>
        </is>
      </c>
      <c r="BP120" t="n">
        <v>2011</v>
      </c>
      <c r="BS120" s="72" t="inlineStr">
        <is>
          <t> </t>
        </is>
      </c>
      <c r="BT120" t="n">
        <v>63910</v>
      </c>
      <c r="BU120" t="inlineStr">
        <is>
          <t>0005</t>
        </is>
      </c>
      <c r="BV120" t="n">
        <v>2011</v>
      </c>
      <c r="BY120" s="72" t="inlineStr">
        <is>
          <t> </t>
        </is>
      </c>
      <c r="BZ120" t="n">
        <v>63179</v>
      </c>
      <c r="CA120" t="inlineStr">
        <is>
          <t>0005</t>
        </is>
      </c>
      <c r="CB120" t="n">
        <v>2011</v>
      </c>
      <c r="CE120" s="72" t="inlineStr">
        <is>
          <t> </t>
        </is>
      </c>
      <c r="CF120" t="n">
        <v>65137</v>
      </c>
      <c r="CG120" t="inlineStr">
        <is>
          <t>0005</t>
        </is>
      </c>
      <c r="CH120" t="n">
        <v>2011</v>
      </c>
      <c r="CK120" s="72" t="inlineStr">
        <is>
          <t> </t>
        </is>
      </c>
      <c r="CL120" t="n">
        <v>65516</v>
      </c>
      <c r="CM120" t="inlineStr">
        <is>
          <t>0005</t>
        </is>
      </c>
      <c r="CN120" t="n">
        <v>2011</v>
      </c>
    </row>
    <row r="121">
      <c r="A121" t="n">
        <v>77206068</v>
      </c>
      <c r="B121" s="3" t="inlineStr">
        <is>
          <t>Цистерна для перевозки продуктов</t>
        </is>
      </c>
      <c r="C121" t="inlineStr">
        <is>
          <t>15-1755П</t>
        </is>
      </c>
      <c r="D121" t="inlineStr">
        <is>
          <t>20.06.2013</t>
        </is>
      </c>
      <c r="E121" t="n">
        <v>2013</v>
      </c>
      <c r="F121" t="inlineStr">
        <is>
          <t>20.06.2043</t>
        </is>
      </c>
      <c r="G121" t="inlineStr">
        <is>
          <t>28.03.2026</t>
        </is>
      </c>
      <c r="H121" t="inlineStr">
        <is>
          <t>Усть-Каменогорское ВРД</t>
        </is>
      </c>
      <c r="I121" t="inlineStr">
        <is>
          <t>28.03.2024</t>
        </is>
      </c>
      <c r="J121" t="inlineStr">
        <is>
          <t>ВЧД Унеча-ООО "НВК"</t>
        </is>
      </c>
      <c r="K121" t="inlineStr">
        <is>
          <t>Деповской</t>
        </is>
      </c>
      <c r="L121" t="inlineStr">
        <is>
          <t>28.03.2028</t>
        </is>
      </c>
      <c r="M121" t="inlineStr">
        <is>
          <t>ООО "ТрансАльянс Запад"</t>
        </is>
      </c>
      <c r="N121" t="n">
        <v>160000</v>
      </c>
      <c r="O121" t="n">
        <v>4922</v>
      </c>
      <c r="P121" t="n">
        <v>155078</v>
      </c>
      <c r="Q121" t="inlineStr">
        <is>
          <t>27.09.2036</t>
        </is>
      </c>
      <c r="R121" t="inlineStr">
        <is>
          <t>28.03.2026</t>
        </is>
      </c>
      <c r="S121" s="72" t="inlineStr">
        <is>
          <t> </t>
        </is>
      </c>
      <c r="T121" t="n">
        <v>20705</v>
      </c>
      <c r="U121" t="inlineStr">
        <is>
          <t>0029</t>
        </is>
      </c>
      <c r="V121" t="n">
        <v>2011</v>
      </c>
      <c r="W121" t="n">
        <v>745</v>
      </c>
      <c r="X121" t="inlineStr">
        <is>
          <t>мар.26</t>
        </is>
      </c>
      <c r="Y121" t="n">
        <v>0</v>
      </c>
      <c r="Z121" t="n">
        <v>0</v>
      </c>
      <c r="AA121" t="n">
        <v>61</v>
      </c>
      <c r="AB121" t="n">
        <v>61</v>
      </c>
      <c r="AC121" s="72" t="inlineStr">
        <is>
          <t> </t>
        </is>
      </c>
      <c r="AD121" t="n">
        <v>58557</v>
      </c>
      <c r="AE121" t="inlineStr">
        <is>
          <t>0005</t>
        </is>
      </c>
      <c r="AF121" t="n">
        <v>2001</v>
      </c>
      <c r="AG121" t="n">
        <v>745</v>
      </c>
      <c r="AH121" t="inlineStr">
        <is>
          <t>мар.26</t>
        </is>
      </c>
      <c r="AI121" t="n">
        <v>0</v>
      </c>
      <c r="AJ121" t="n">
        <v>0</v>
      </c>
      <c r="AK121" t="n">
        <v>60</v>
      </c>
      <c r="AL121" t="n">
        <v>60</v>
      </c>
      <c r="AM121" s="72" t="inlineStr">
        <is>
          <t> </t>
        </is>
      </c>
      <c r="AN121" t="n">
        <v>370564</v>
      </c>
      <c r="AO121" t="inlineStr">
        <is>
          <t>0029</t>
        </is>
      </c>
      <c r="AP121" t="n">
        <v>2012</v>
      </c>
      <c r="AQ121" t="n">
        <v>745</v>
      </c>
      <c r="AR121" t="inlineStr">
        <is>
          <t>мар.26</t>
        </is>
      </c>
      <c r="AS121" t="n">
        <v>0</v>
      </c>
      <c r="AT121" t="n">
        <v>0</v>
      </c>
      <c r="AU121" t="n">
        <v>73</v>
      </c>
      <c r="AV121" t="n">
        <v>73</v>
      </c>
      <c r="AW121" s="72" t="inlineStr">
        <is>
          <t> </t>
        </is>
      </c>
      <c r="AX121" t="n">
        <v>459278</v>
      </c>
      <c r="AY121" t="inlineStr">
        <is>
          <t>0029</t>
        </is>
      </c>
      <c r="AZ121" t="n">
        <v>2013</v>
      </c>
      <c r="BA121" t="n">
        <v>745</v>
      </c>
      <c r="BB121" t="inlineStr">
        <is>
          <t>мар.26</t>
        </is>
      </c>
      <c r="BC121" t="n">
        <v>0</v>
      </c>
      <c r="BD121" t="n">
        <v>0</v>
      </c>
      <c r="BE121" t="n">
        <v>73</v>
      </c>
      <c r="BF121" t="n">
        <v>73</v>
      </c>
      <c r="BG121" s="72" t="inlineStr">
        <is>
          <t> </t>
        </is>
      </c>
      <c r="BH121" t="n">
        <v>15315</v>
      </c>
      <c r="BI121" t="n">
        <v>1291</v>
      </c>
      <c r="BJ121" t="n">
        <v>2013</v>
      </c>
      <c r="BM121" s="72" t="inlineStr">
        <is>
          <t> </t>
        </is>
      </c>
      <c r="BN121" t="n">
        <v>14378</v>
      </c>
      <c r="BO121" t="n">
        <v>1291</v>
      </c>
      <c r="BP121" t="n">
        <v>2013</v>
      </c>
      <c r="BS121" s="72" t="inlineStr">
        <is>
          <t> </t>
        </is>
      </c>
      <c r="BT121" t="n">
        <v>41661</v>
      </c>
      <c r="BU121" t="n">
        <v>1291</v>
      </c>
      <c r="BV121" t="n">
        <v>2013</v>
      </c>
      <c r="BY121" s="72" t="inlineStr">
        <is>
          <t> </t>
        </is>
      </c>
      <c r="BZ121" t="n">
        <v>44895</v>
      </c>
      <c r="CA121" t="n">
        <v>1291</v>
      </c>
      <c r="CB121" t="n">
        <v>2013</v>
      </c>
      <c r="CE121" s="72" t="inlineStr">
        <is>
          <t> </t>
        </is>
      </c>
      <c r="CF121" t="n">
        <v>40416</v>
      </c>
      <c r="CG121" t="n">
        <v>1291</v>
      </c>
      <c r="CH121" t="n">
        <v>2013</v>
      </c>
      <c r="CK121" s="72" t="inlineStr">
        <is>
          <t> </t>
        </is>
      </c>
      <c r="CL121" t="n">
        <v>41566</v>
      </c>
      <c r="CM121" t="n">
        <v>1291</v>
      </c>
      <c r="CN121" t="n">
        <v>2013</v>
      </c>
    </row>
    <row r="122">
      <c r="A122" t="n">
        <v>77222164</v>
      </c>
      <c r="B122" s="3" t="inlineStr">
        <is>
          <t>Цистерна для перевозки продуктов</t>
        </is>
      </c>
      <c r="C122" t="inlineStr">
        <is>
          <t>15-1755П</t>
        </is>
      </c>
      <c r="D122" t="inlineStr">
        <is>
          <t>16.04.2014</t>
        </is>
      </c>
      <c r="E122" t="n">
        <v>2014</v>
      </c>
      <c r="F122" t="inlineStr">
        <is>
          <t>16.04.2044</t>
        </is>
      </c>
      <c r="G122" t="inlineStr">
        <is>
          <t>11.03.2023</t>
        </is>
      </c>
      <c r="H122" t="inlineStr">
        <is>
          <t>ТОО "Аждар и К"</t>
        </is>
      </c>
      <c r="I122" t="inlineStr">
        <is>
          <t>22.03.2025</t>
        </is>
      </c>
      <c r="J122" t="inlineStr">
        <is>
          <t>ВРД Кочетовка – филиал ООО "НВК"</t>
        </is>
      </c>
      <c r="K122" t="inlineStr">
        <is>
          <t>Деповской</t>
        </is>
      </c>
      <c r="L122" t="inlineStr">
        <is>
          <t>22.03.2027</t>
        </is>
      </c>
      <c r="M122" t="inlineStr">
        <is>
          <t>ООО "ТрансАльянс Запад"</t>
        </is>
      </c>
      <c r="N122" t="n">
        <v>160000</v>
      </c>
      <c r="O122" t="n">
        <v>34931</v>
      </c>
      <c r="P122" t="n">
        <v>125069</v>
      </c>
      <c r="Q122" t="inlineStr">
        <is>
          <t>10.05.2031</t>
        </is>
      </c>
      <c r="R122" t="inlineStr">
        <is>
          <t>22.03.2025</t>
        </is>
      </c>
      <c r="S122" s="72" t="inlineStr">
        <is>
          <t> </t>
        </is>
      </c>
      <c r="T122" t="n">
        <v>522977</v>
      </c>
      <c r="U122" t="inlineStr">
        <is>
          <t>0029</t>
        </is>
      </c>
      <c r="V122" t="n">
        <v>2014</v>
      </c>
      <c r="W122" t="n">
        <v>301</v>
      </c>
      <c r="X122" t="inlineStr">
        <is>
          <t>мар.25</t>
        </is>
      </c>
      <c r="Y122" t="n">
        <v>33</v>
      </c>
      <c r="Z122" t="n">
        <v>33</v>
      </c>
      <c r="AA122" t="n">
        <v>75</v>
      </c>
      <c r="AB122" t="n">
        <v>75</v>
      </c>
      <c r="AC122" s="72" t="inlineStr">
        <is>
          <t> </t>
        </is>
      </c>
      <c r="AD122" t="n">
        <v>523172</v>
      </c>
      <c r="AE122" t="inlineStr">
        <is>
          <t>0029</t>
        </is>
      </c>
      <c r="AF122" t="n">
        <v>2014</v>
      </c>
      <c r="AG122" t="n">
        <v>301</v>
      </c>
      <c r="AH122" t="inlineStr">
        <is>
          <t>мар.25</t>
        </is>
      </c>
      <c r="AI122" t="n">
        <v>33</v>
      </c>
      <c r="AJ122" t="n">
        <v>33</v>
      </c>
      <c r="AK122" t="n">
        <v>75</v>
      </c>
      <c r="AL122" t="n">
        <v>75</v>
      </c>
      <c r="AM122" s="72" t="inlineStr">
        <is>
          <t> </t>
        </is>
      </c>
      <c r="AN122" t="n">
        <v>295098</v>
      </c>
      <c r="AO122" t="inlineStr">
        <is>
          <t>0029</t>
        </is>
      </c>
      <c r="AP122" t="n">
        <v>2006</v>
      </c>
      <c r="AQ122" t="n">
        <v>301</v>
      </c>
      <c r="AR122" t="inlineStr">
        <is>
          <t>мар.25</t>
        </is>
      </c>
      <c r="AS122" t="n">
        <v>33</v>
      </c>
      <c r="AT122" t="n">
        <v>33</v>
      </c>
      <c r="AU122" t="n">
        <v>75</v>
      </c>
      <c r="AV122" t="n">
        <v>75</v>
      </c>
      <c r="AW122" s="72" t="inlineStr">
        <is>
          <t> </t>
        </is>
      </c>
      <c r="AX122" t="n">
        <v>523088</v>
      </c>
      <c r="AY122" t="inlineStr">
        <is>
          <t>0029</t>
        </is>
      </c>
      <c r="AZ122" t="n">
        <v>2014</v>
      </c>
      <c r="BA122" t="n">
        <v>301</v>
      </c>
      <c r="BB122" t="inlineStr">
        <is>
          <t>мар.25</t>
        </is>
      </c>
      <c r="BC122" t="n">
        <v>33</v>
      </c>
      <c r="BD122" t="n">
        <v>33</v>
      </c>
      <c r="BE122" t="n">
        <v>75</v>
      </c>
      <c r="BF122" t="n">
        <v>75</v>
      </c>
      <c r="BG122" s="72" t="inlineStr">
        <is>
          <t> </t>
        </is>
      </c>
      <c r="BH122" t="n">
        <v>51133</v>
      </c>
      <c r="BI122" t="n">
        <v>1291</v>
      </c>
      <c r="BJ122" t="n">
        <v>2014</v>
      </c>
      <c r="BM122" s="72" t="inlineStr">
        <is>
          <t> </t>
        </is>
      </c>
      <c r="BN122" t="n">
        <v>50931</v>
      </c>
      <c r="BO122" t="n">
        <v>1291</v>
      </c>
      <c r="BP122" t="n">
        <v>2014</v>
      </c>
      <c r="BS122" s="72" t="inlineStr">
        <is>
          <t> </t>
        </is>
      </c>
      <c r="BT122" t="n">
        <v>3547</v>
      </c>
      <c r="BU122" t="n">
        <v>1291</v>
      </c>
      <c r="BV122" t="n">
        <v>2014</v>
      </c>
      <c r="BY122" s="72" t="inlineStr">
        <is>
          <t> </t>
        </is>
      </c>
      <c r="BZ122" t="n">
        <v>2958</v>
      </c>
      <c r="CA122" t="n">
        <v>1291</v>
      </c>
      <c r="CB122" t="n">
        <v>2014</v>
      </c>
      <c r="CE122" s="72" t="inlineStr">
        <is>
          <t> </t>
        </is>
      </c>
      <c r="CF122" t="n">
        <v>3945</v>
      </c>
      <c r="CG122" t="n">
        <v>1291</v>
      </c>
      <c r="CH122" t="n">
        <v>2014</v>
      </c>
      <c r="CK122" s="72" t="inlineStr">
        <is>
          <t> </t>
        </is>
      </c>
      <c r="CL122" t="n">
        <v>4074</v>
      </c>
      <c r="CM122" t="n">
        <v>1291</v>
      </c>
      <c r="CN122" t="n">
        <v>2014</v>
      </c>
    </row>
    <row r="123">
      <c r="A123" t="n">
        <v>77228864</v>
      </c>
      <c r="B123" s="3" t="inlineStr">
        <is>
          <t>Цистерна для перевозки продуктов</t>
        </is>
      </c>
      <c r="C123" t="inlineStr">
        <is>
          <t>15-150-04П</t>
        </is>
      </c>
      <c r="D123" t="inlineStr">
        <is>
          <t>22.01.2015</t>
        </is>
      </c>
      <c r="E123" t="n">
        <v>2015</v>
      </c>
      <c r="F123" t="inlineStr">
        <is>
          <t>22.01.2047</t>
        </is>
      </c>
      <c r="G123" t="inlineStr">
        <is>
          <t>24.10.2025</t>
        </is>
      </c>
      <c r="H123" t="inlineStr">
        <is>
          <t>ВРД Тольятти – филиал ООО "НВК"</t>
        </is>
      </c>
      <c r="K123" t="inlineStr">
        <is>
          <t>Капитальный</t>
        </is>
      </c>
      <c r="L123" t="inlineStr">
        <is>
          <t>24.10.2028</t>
        </is>
      </c>
      <c r="M123" t="inlineStr">
        <is>
          <t>ООО "ТрансАльянс Запад"</t>
        </is>
      </c>
      <c r="N123" t="n">
        <v>160000</v>
      </c>
      <c r="O123" t="n">
        <v>9567</v>
      </c>
      <c r="P123" t="n">
        <v>150433</v>
      </c>
      <c r="Q123" t="inlineStr">
        <is>
          <t>25.04.2038</t>
        </is>
      </c>
      <c r="R123" t="inlineStr">
        <is>
          <t>24.10.2025</t>
        </is>
      </c>
      <c r="S123" s="72" t="inlineStr">
        <is>
          <t> </t>
        </is>
      </c>
      <c r="T123" t="n">
        <v>301189</v>
      </c>
      <c r="U123" t="inlineStr">
        <is>
          <t>0005</t>
        </is>
      </c>
      <c r="V123" t="n">
        <v>2015</v>
      </c>
      <c r="W123" t="n">
        <v>2080</v>
      </c>
      <c r="X123" t="inlineStr">
        <is>
          <t>окт.25</t>
        </is>
      </c>
      <c r="Y123" t="n">
        <v>30</v>
      </c>
      <c r="Z123" t="n">
        <v>30</v>
      </c>
      <c r="AA123" t="n">
        <v>38</v>
      </c>
      <c r="AB123" t="n">
        <v>38</v>
      </c>
      <c r="AC123" s="72" t="inlineStr">
        <is>
          <t> </t>
        </is>
      </c>
      <c r="AD123" t="n">
        <v>301040</v>
      </c>
      <c r="AE123" t="inlineStr">
        <is>
          <t>0005</t>
        </is>
      </c>
      <c r="AF123" t="n">
        <v>2015</v>
      </c>
      <c r="AG123" t="n">
        <v>2080</v>
      </c>
      <c r="AH123" t="inlineStr">
        <is>
          <t>окт.25</t>
        </is>
      </c>
      <c r="AI123" t="n">
        <v>30</v>
      </c>
      <c r="AJ123" t="n">
        <v>30</v>
      </c>
      <c r="AK123" t="n">
        <v>39</v>
      </c>
      <c r="AL123" t="n">
        <v>39</v>
      </c>
      <c r="AM123" s="72" t="inlineStr">
        <is>
          <t> </t>
        </is>
      </c>
      <c r="AN123" t="n">
        <v>301195</v>
      </c>
      <c r="AO123" t="inlineStr">
        <is>
          <t>0005</t>
        </is>
      </c>
      <c r="AP123" t="n">
        <v>2015</v>
      </c>
      <c r="AQ123" t="n">
        <v>2080</v>
      </c>
      <c r="AR123" t="inlineStr">
        <is>
          <t>окт.25</t>
        </is>
      </c>
      <c r="AS123" t="n">
        <v>30</v>
      </c>
      <c r="AT123" t="n">
        <v>30</v>
      </c>
      <c r="AU123" t="n">
        <v>37</v>
      </c>
      <c r="AV123" t="n">
        <v>37</v>
      </c>
      <c r="AW123" s="72" t="inlineStr">
        <is>
          <t> </t>
        </is>
      </c>
      <c r="AX123" t="n">
        <v>301069</v>
      </c>
      <c r="AY123" t="inlineStr">
        <is>
          <t>0005</t>
        </is>
      </c>
      <c r="AZ123" t="n">
        <v>2015</v>
      </c>
      <c r="BA123" t="n">
        <v>2080</v>
      </c>
      <c r="BB123" t="inlineStr">
        <is>
          <t>окт.25</t>
        </is>
      </c>
      <c r="BC123" t="n">
        <v>29</v>
      </c>
      <c r="BD123" t="n">
        <v>30</v>
      </c>
      <c r="BE123" t="n">
        <v>45</v>
      </c>
      <c r="BF123" t="n">
        <v>45</v>
      </c>
      <c r="BG123" s="72" t="inlineStr">
        <is>
          <t> </t>
        </is>
      </c>
      <c r="BH123" t="n">
        <v>35275</v>
      </c>
      <c r="BI123" t="inlineStr">
        <is>
          <t>0005</t>
        </is>
      </c>
      <c r="BJ123" t="n">
        <v>2014</v>
      </c>
      <c r="BM123" s="72" t="inlineStr">
        <is>
          <t> </t>
        </is>
      </c>
      <c r="BN123" t="n">
        <v>35367</v>
      </c>
      <c r="BO123" t="inlineStr">
        <is>
          <t>0005</t>
        </is>
      </c>
      <c r="BP123" t="n">
        <v>2014</v>
      </c>
      <c r="BS123" s="72" t="inlineStr">
        <is>
          <t> </t>
        </is>
      </c>
      <c r="BT123" t="n">
        <v>2473</v>
      </c>
      <c r="BU123" t="inlineStr">
        <is>
          <t>0005</t>
        </is>
      </c>
      <c r="BV123" t="n">
        <v>2015</v>
      </c>
      <c r="BY123" s="72" t="inlineStr">
        <is>
          <t> </t>
        </is>
      </c>
      <c r="BZ123" t="n">
        <v>1555</v>
      </c>
      <c r="CA123" t="inlineStr">
        <is>
          <t>0005</t>
        </is>
      </c>
      <c r="CB123" t="n">
        <v>2015</v>
      </c>
      <c r="CE123" s="72" t="inlineStr">
        <is>
          <t> </t>
        </is>
      </c>
      <c r="CF123" t="n">
        <v>588</v>
      </c>
      <c r="CG123" t="inlineStr">
        <is>
          <t>0005</t>
        </is>
      </c>
      <c r="CH123" t="n">
        <v>2015</v>
      </c>
      <c r="CK123" s="72" t="inlineStr">
        <is>
          <t> </t>
        </is>
      </c>
      <c r="CL123" t="n">
        <v>2662</v>
      </c>
      <c r="CM123" t="inlineStr">
        <is>
          <t>0005</t>
        </is>
      </c>
      <c r="CN123" t="n">
        <v>2015</v>
      </c>
    </row>
    <row r="124">
      <c r="A124" t="n">
        <v>77223956</v>
      </c>
      <c r="B124" s="3" t="inlineStr">
        <is>
          <t>Цистерна для перевозки продуктов</t>
        </is>
      </c>
      <c r="C124" t="inlineStr">
        <is>
          <t>15-150-04П</t>
        </is>
      </c>
      <c r="D124" t="inlineStr">
        <is>
          <t>06.09.2011</t>
        </is>
      </c>
      <c r="E124" t="n">
        <v>2011</v>
      </c>
      <c r="F124" t="inlineStr">
        <is>
          <t>06.09.2043</t>
        </is>
      </c>
      <c r="G124" t="inlineStr">
        <is>
          <t>17.06.2023</t>
        </is>
      </c>
      <c r="H124" t="inlineStr">
        <is>
          <t>ТОО "Аждар и К"</t>
        </is>
      </c>
      <c r="I124" t="inlineStr">
        <is>
          <t>30.10.2025</t>
        </is>
      </c>
      <c r="J124" t="inlineStr">
        <is>
          <t>Орский ВРЗ-филиал ООО "НВК"</t>
        </is>
      </c>
      <c r="K124" t="inlineStr">
        <is>
          <t>Деповской</t>
        </is>
      </c>
      <c r="L124" t="inlineStr">
        <is>
          <t>30.10.2028</t>
        </is>
      </c>
      <c r="M124" t="inlineStr">
        <is>
          <t>ООО "ТрансАльянс Запад"</t>
        </is>
      </c>
      <c r="N124" t="n">
        <v>160000</v>
      </c>
      <c r="O124" t="n">
        <v>11121</v>
      </c>
      <c r="P124" t="n">
        <v>148879</v>
      </c>
      <c r="Q124" t="inlineStr">
        <is>
          <t>07.05.2036</t>
        </is>
      </c>
      <c r="R124" t="inlineStr">
        <is>
          <t>30.10.2025</t>
        </is>
      </c>
      <c r="S124" s="72" t="inlineStr">
        <is>
          <t> </t>
        </is>
      </c>
      <c r="T124" t="n">
        <v>287114</v>
      </c>
      <c r="U124" t="inlineStr">
        <is>
          <t>0005</t>
        </is>
      </c>
      <c r="V124" t="n">
        <v>2011</v>
      </c>
      <c r="W124" t="n">
        <v>2348</v>
      </c>
      <c r="X124" t="inlineStr">
        <is>
          <t>окт.25</t>
        </is>
      </c>
      <c r="Y124" t="n">
        <v>33</v>
      </c>
      <c r="Z124" t="n">
        <v>33</v>
      </c>
      <c r="AA124" t="n">
        <v>74</v>
      </c>
      <c r="AB124" t="n">
        <v>74</v>
      </c>
      <c r="AC124" s="72" t="inlineStr">
        <is>
          <t> </t>
        </is>
      </c>
      <c r="AD124" t="n">
        <v>123318</v>
      </c>
      <c r="AE124" t="inlineStr">
        <is>
          <t>0005</t>
        </is>
      </c>
      <c r="AF124" t="n">
        <v>2012</v>
      </c>
      <c r="AG124" t="n">
        <v>2348</v>
      </c>
      <c r="AH124" t="inlineStr">
        <is>
          <t>окт.25</t>
        </is>
      </c>
      <c r="AI124" t="n">
        <v>33</v>
      </c>
      <c r="AJ124" t="n">
        <v>33</v>
      </c>
      <c r="AK124" t="n">
        <v>75</v>
      </c>
      <c r="AL124" t="n">
        <v>75</v>
      </c>
      <c r="AM124" s="72" t="inlineStr">
        <is>
          <t> </t>
        </is>
      </c>
      <c r="AN124" t="n">
        <v>286453</v>
      </c>
      <c r="AO124" t="inlineStr">
        <is>
          <t>0005</t>
        </is>
      </c>
      <c r="AP124" t="n">
        <v>2011</v>
      </c>
      <c r="AQ124" t="n">
        <v>2348</v>
      </c>
      <c r="AR124" t="inlineStr">
        <is>
          <t>окт.25</t>
        </is>
      </c>
      <c r="AS124" t="n">
        <v>33</v>
      </c>
      <c r="AT124" t="n">
        <v>33</v>
      </c>
      <c r="AU124" t="n">
        <v>74</v>
      </c>
      <c r="AV124" t="n">
        <v>74</v>
      </c>
      <c r="AW124" s="72" t="inlineStr">
        <is>
          <t> </t>
        </is>
      </c>
      <c r="AX124" t="n">
        <v>284847</v>
      </c>
      <c r="AY124" t="inlineStr">
        <is>
          <t>0005</t>
        </is>
      </c>
      <c r="AZ124" t="n">
        <v>2011</v>
      </c>
      <c r="BA124" t="n">
        <v>2348</v>
      </c>
      <c r="BB124" t="inlineStr">
        <is>
          <t>окт.25</t>
        </is>
      </c>
      <c r="BC124" t="n">
        <v>33</v>
      </c>
      <c r="BD124" t="n">
        <v>33</v>
      </c>
      <c r="BE124" t="n">
        <v>74</v>
      </c>
      <c r="BF124" t="n">
        <v>74</v>
      </c>
      <c r="BG124" s="72" t="inlineStr">
        <is>
          <t> </t>
        </is>
      </c>
      <c r="BH124" t="n">
        <v>38504</v>
      </c>
      <c r="BI124" t="inlineStr">
        <is>
          <t>0005</t>
        </is>
      </c>
      <c r="BJ124" t="n">
        <v>2011</v>
      </c>
      <c r="BM124" s="72" t="inlineStr">
        <is>
          <t> </t>
        </is>
      </c>
      <c r="BN124" t="n">
        <v>37939</v>
      </c>
      <c r="BO124" t="inlineStr">
        <is>
          <t>0005</t>
        </is>
      </c>
      <c r="BP124" t="n">
        <v>2011</v>
      </c>
      <c r="BS124" s="72" t="inlineStr">
        <is>
          <t> </t>
        </is>
      </c>
      <c r="BT124" t="n">
        <v>67196</v>
      </c>
      <c r="BU124" t="inlineStr">
        <is>
          <t>0005</t>
        </is>
      </c>
      <c r="BV124" t="n">
        <v>2011</v>
      </c>
      <c r="BY124" s="72" t="inlineStr">
        <is>
          <t> </t>
        </is>
      </c>
      <c r="BZ124" t="n">
        <v>62532</v>
      </c>
      <c r="CA124" t="inlineStr">
        <is>
          <t>0005</t>
        </is>
      </c>
      <c r="CB124" t="n">
        <v>2011</v>
      </c>
      <c r="CE124" s="72" t="inlineStr">
        <is>
          <t> </t>
        </is>
      </c>
      <c r="CF124" t="n">
        <v>67382</v>
      </c>
      <c r="CG124" t="inlineStr">
        <is>
          <t>0005</t>
        </is>
      </c>
      <c r="CH124" t="n">
        <v>2011</v>
      </c>
      <c r="CK124" s="72" t="inlineStr">
        <is>
          <t> </t>
        </is>
      </c>
      <c r="CL124" t="n">
        <v>67416</v>
      </c>
      <c r="CM124" t="inlineStr">
        <is>
          <t>0005</t>
        </is>
      </c>
      <c r="CN124" t="n">
        <v>2011</v>
      </c>
    </row>
    <row r="125">
      <c r="A125" t="n">
        <v>77224434</v>
      </c>
      <c r="B125" s="3" t="inlineStr">
        <is>
          <t>Цистерна для перевозки продуктов</t>
        </is>
      </c>
      <c r="C125" t="inlineStr">
        <is>
          <t>15-150-04П</t>
        </is>
      </c>
      <c r="D125" t="inlineStr">
        <is>
          <t>31.08.2011</t>
        </is>
      </c>
      <c r="E125" t="n">
        <v>2011</v>
      </c>
      <c r="F125" t="inlineStr">
        <is>
          <t>31.08.2043</t>
        </is>
      </c>
      <c r="G125" t="inlineStr">
        <is>
          <t>27.05.2023</t>
        </is>
      </c>
      <c r="H125" t="inlineStr">
        <is>
          <t>ВРД Кочетовка – филиал ООО "НВК"</t>
        </is>
      </c>
      <c r="I125" t="inlineStr">
        <is>
          <t>30.10.2025</t>
        </is>
      </c>
      <c r="J125" t="inlineStr">
        <is>
          <t>Орский ВРЗ-филиал ООО "НВК"</t>
        </is>
      </c>
      <c r="K125" t="inlineStr">
        <is>
          <t>Деповской</t>
        </is>
      </c>
      <c r="L125" t="inlineStr">
        <is>
          <t>30.10.2028</t>
        </is>
      </c>
      <c r="M125" t="inlineStr">
        <is>
          <t>ООО "ТрансАльянс Запад"</t>
        </is>
      </c>
      <c r="N125" t="n">
        <v>160000</v>
      </c>
      <c r="O125" t="n">
        <v>18023</v>
      </c>
      <c r="P125" t="n">
        <v>141977</v>
      </c>
      <c r="Q125" t="inlineStr">
        <is>
          <t>26.04.2032</t>
        </is>
      </c>
      <c r="R125" t="inlineStr">
        <is>
          <t>30.10.2025</t>
        </is>
      </c>
      <c r="S125" s="72" t="inlineStr">
        <is>
          <t> </t>
        </is>
      </c>
      <c r="T125" t="n">
        <v>282427</v>
      </c>
      <c r="U125" t="inlineStr">
        <is>
          <t>0005</t>
        </is>
      </c>
      <c r="V125" t="n">
        <v>2011</v>
      </c>
      <c r="W125" t="n">
        <v>2348</v>
      </c>
      <c r="X125" t="inlineStr">
        <is>
          <t>окт.25</t>
        </is>
      </c>
      <c r="Y125" t="n">
        <v>33</v>
      </c>
      <c r="Z125" t="n">
        <v>33</v>
      </c>
      <c r="AA125" t="n">
        <v>74</v>
      </c>
      <c r="AB125" t="n">
        <v>74</v>
      </c>
      <c r="AC125" s="72" t="inlineStr">
        <is>
          <t> </t>
        </is>
      </c>
      <c r="AD125" t="n">
        <v>285279</v>
      </c>
      <c r="AE125" t="inlineStr">
        <is>
          <t>0005</t>
        </is>
      </c>
      <c r="AF125" t="n">
        <v>2011</v>
      </c>
      <c r="AG125" t="n">
        <v>2348</v>
      </c>
      <c r="AH125" t="inlineStr">
        <is>
          <t>окт.25</t>
        </is>
      </c>
      <c r="AI125" t="n">
        <v>33</v>
      </c>
      <c r="AJ125" t="n">
        <v>33</v>
      </c>
      <c r="AK125" t="n">
        <v>74</v>
      </c>
      <c r="AL125" t="n">
        <v>74</v>
      </c>
      <c r="AM125" s="72" t="inlineStr">
        <is>
          <t> </t>
        </is>
      </c>
      <c r="AN125" t="n">
        <v>285189</v>
      </c>
      <c r="AO125" t="inlineStr">
        <is>
          <t>0005</t>
        </is>
      </c>
      <c r="AP125" t="n">
        <v>2011</v>
      </c>
      <c r="AQ125" t="n">
        <v>2348</v>
      </c>
      <c r="AR125" t="inlineStr">
        <is>
          <t>окт.25</t>
        </is>
      </c>
      <c r="AS125" t="n">
        <v>33</v>
      </c>
      <c r="AT125" t="n">
        <v>33</v>
      </c>
      <c r="AU125" t="n">
        <v>74</v>
      </c>
      <c r="AV125" t="n">
        <v>74</v>
      </c>
      <c r="AW125" s="72" t="inlineStr">
        <is>
          <t> </t>
        </is>
      </c>
      <c r="AX125" t="n">
        <v>123937</v>
      </c>
      <c r="AY125" t="inlineStr">
        <is>
          <t>0005</t>
        </is>
      </c>
      <c r="AZ125" t="n">
        <v>2012</v>
      </c>
      <c r="BA125" t="n">
        <v>2348</v>
      </c>
      <c r="BB125" t="inlineStr">
        <is>
          <t>окт.25</t>
        </is>
      </c>
      <c r="BC125" t="n">
        <v>33</v>
      </c>
      <c r="BD125" t="n">
        <v>33</v>
      </c>
      <c r="BE125" t="n">
        <v>74</v>
      </c>
      <c r="BF125" t="n">
        <v>74</v>
      </c>
      <c r="BG125" s="72" t="inlineStr">
        <is>
          <t> </t>
        </is>
      </c>
      <c r="BH125" t="n">
        <v>67401</v>
      </c>
      <c r="BI125" t="inlineStr">
        <is>
          <t>0014</t>
        </is>
      </c>
      <c r="BJ125" t="n">
        <v>2011</v>
      </c>
      <c r="BM125" s="72" t="inlineStr">
        <is>
          <t> </t>
        </is>
      </c>
      <c r="BN125" t="n">
        <v>67534</v>
      </c>
      <c r="BO125" t="inlineStr">
        <is>
          <t>0014</t>
        </is>
      </c>
      <c r="BP125" t="n">
        <v>2011</v>
      </c>
      <c r="BS125" s="72" t="inlineStr">
        <is>
          <t> </t>
        </is>
      </c>
      <c r="BT125" t="n">
        <v>112791</v>
      </c>
      <c r="BU125" t="inlineStr">
        <is>
          <t>0014</t>
        </is>
      </c>
      <c r="BV125" t="n">
        <v>2011</v>
      </c>
      <c r="BY125" s="72" t="inlineStr">
        <is>
          <t> </t>
        </is>
      </c>
      <c r="BZ125" t="n">
        <v>112886</v>
      </c>
      <c r="CA125" t="inlineStr">
        <is>
          <t>0014</t>
        </is>
      </c>
      <c r="CB125" t="n">
        <v>2011</v>
      </c>
      <c r="CE125" s="72" t="inlineStr">
        <is>
          <t> </t>
        </is>
      </c>
      <c r="CF125" t="n">
        <v>525446</v>
      </c>
      <c r="CG125" t="inlineStr">
        <is>
          <t>0014</t>
        </is>
      </c>
      <c r="CH125" t="n">
        <v>2011</v>
      </c>
      <c r="CK125" s="72" t="inlineStr">
        <is>
          <t> </t>
        </is>
      </c>
      <c r="CL125" t="n">
        <v>112646</v>
      </c>
      <c r="CM125" t="inlineStr">
        <is>
          <t>0014</t>
        </is>
      </c>
      <c r="CN125" t="n">
        <v>2011</v>
      </c>
    </row>
    <row r="126">
      <c r="A126" t="n">
        <v>77206084</v>
      </c>
      <c r="B126" s="3" t="inlineStr">
        <is>
          <t>Цистерна для перевозки продуктов</t>
        </is>
      </c>
      <c r="C126" t="inlineStr">
        <is>
          <t>15-1755П</t>
        </is>
      </c>
      <c r="D126" t="inlineStr">
        <is>
          <t>20.06.2013</t>
        </is>
      </c>
      <c r="E126" t="n">
        <v>2013</v>
      </c>
      <c r="F126" t="inlineStr">
        <is>
          <t>20.06.2043</t>
        </is>
      </c>
      <c r="G126" t="inlineStr">
        <is>
          <t>24.10.2025</t>
        </is>
      </c>
      <c r="H126" t="inlineStr">
        <is>
          <t>ВРД Тольятти – филиал ООО "НВК"</t>
        </is>
      </c>
      <c r="I126" t="inlineStr">
        <is>
          <t>06.03.2024</t>
        </is>
      </c>
      <c r="J126" t="inlineStr">
        <is>
          <t>ВРД Кочетовка – филиал ООО "НВК"</t>
        </is>
      </c>
      <c r="K126" t="inlineStr">
        <is>
          <t>Деповской</t>
        </is>
      </c>
      <c r="L126" t="inlineStr">
        <is>
          <t>24.10.2027</t>
        </is>
      </c>
      <c r="M126" t="inlineStr">
        <is>
          <t>ООО "ТрансАльянс Запад"</t>
        </is>
      </c>
      <c r="N126" t="n">
        <v>160000</v>
      </c>
      <c r="O126" t="n">
        <v>17615</v>
      </c>
      <c r="P126" t="n">
        <v>142385</v>
      </c>
      <c r="Q126" t="inlineStr">
        <is>
          <t>08.08.2032</t>
        </is>
      </c>
      <c r="R126" t="inlineStr">
        <is>
          <t>24.10.2025</t>
        </is>
      </c>
      <c r="S126" s="72" t="inlineStr">
        <is>
          <t> </t>
        </is>
      </c>
      <c r="T126" t="n">
        <v>301732</v>
      </c>
      <c r="U126" t="inlineStr">
        <is>
          <t>0005</t>
        </is>
      </c>
      <c r="V126" t="n">
        <v>2015</v>
      </c>
      <c r="W126" t="n">
        <v>2080</v>
      </c>
      <c r="X126" t="inlineStr">
        <is>
          <t>окт.25</t>
        </is>
      </c>
      <c r="Y126" t="n">
        <v>33</v>
      </c>
      <c r="Z126" t="n">
        <v>33</v>
      </c>
      <c r="AA126" t="n">
        <v>74</v>
      </c>
      <c r="AB126" t="n">
        <v>74</v>
      </c>
      <c r="AC126" s="72" t="inlineStr">
        <is>
          <t> </t>
        </is>
      </c>
      <c r="AD126" t="n">
        <v>381213</v>
      </c>
      <c r="AE126" t="inlineStr">
        <is>
          <t>0029</t>
        </is>
      </c>
      <c r="AF126" t="n">
        <v>2012</v>
      </c>
      <c r="AG126" t="n">
        <v>2080</v>
      </c>
      <c r="AH126" t="inlineStr">
        <is>
          <t>окт.25</t>
        </is>
      </c>
      <c r="AI126" t="n">
        <v>33</v>
      </c>
      <c r="AJ126" t="n">
        <v>33</v>
      </c>
      <c r="AK126" t="n">
        <v>74</v>
      </c>
      <c r="AL126" t="n">
        <v>74</v>
      </c>
      <c r="AM126" s="72" t="inlineStr">
        <is>
          <t> </t>
        </is>
      </c>
      <c r="AN126" t="n">
        <v>381313</v>
      </c>
      <c r="AO126" t="inlineStr">
        <is>
          <t>0029</t>
        </is>
      </c>
      <c r="AP126" t="n">
        <v>2012</v>
      </c>
      <c r="AQ126" t="n">
        <v>2080</v>
      </c>
      <c r="AR126" t="inlineStr">
        <is>
          <t>окт.25</t>
        </is>
      </c>
      <c r="AS126" t="n">
        <v>33</v>
      </c>
      <c r="AT126" t="n">
        <v>33</v>
      </c>
      <c r="AU126" t="n">
        <v>74</v>
      </c>
      <c r="AV126" t="n">
        <v>74</v>
      </c>
      <c r="AW126" s="72" t="inlineStr">
        <is>
          <t> </t>
        </is>
      </c>
      <c r="AX126" t="n">
        <v>301810</v>
      </c>
      <c r="AY126" t="inlineStr">
        <is>
          <t>0005</t>
        </is>
      </c>
      <c r="AZ126" t="n">
        <v>2015</v>
      </c>
      <c r="BA126" t="n">
        <v>2080</v>
      </c>
      <c r="BB126" t="inlineStr">
        <is>
          <t>окт.25</t>
        </is>
      </c>
      <c r="BC126" t="n">
        <v>33</v>
      </c>
      <c r="BD126" t="n">
        <v>33</v>
      </c>
      <c r="BE126" t="n">
        <v>74</v>
      </c>
      <c r="BF126" t="n">
        <v>74</v>
      </c>
      <c r="BG126" s="72" t="inlineStr">
        <is>
          <t> </t>
        </is>
      </c>
      <c r="BH126" t="n">
        <v>15817</v>
      </c>
      <c r="BI126" t="n">
        <v>1291</v>
      </c>
      <c r="BJ126" t="n">
        <v>2013</v>
      </c>
      <c r="BM126" s="72" t="inlineStr">
        <is>
          <t> </t>
        </is>
      </c>
      <c r="BN126" t="n">
        <v>15237</v>
      </c>
      <c r="BO126" t="n">
        <v>1291</v>
      </c>
      <c r="BP126" t="n">
        <v>2013</v>
      </c>
      <c r="BS126" s="72" t="inlineStr">
        <is>
          <t> </t>
        </is>
      </c>
      <c r="BT126" t="n">
        <v>45900</v>
      </c>
      <c r="BU126" t="n">
        <v>1291</v>
      </c>
      <c r="BV126" t="n">
        <v>2013</v>
      </c>
      <c r="BY126" s="72" t="inlineStr">
        <is>
          <t> </t>
        </is>
      </c>
      <c r="BZ126" t="n">
        <v>45947</v>
      </c>
      <c r="CA126" t="n">
        <v>1291</v>
      </c>
      <c r="CB126" t="n">
        <v>2013</v>
      </c>
      <c r="CE126" s="72" t="inlineStr">
        <is>
          <t> </t>
        </is>
      </c>
      <c r="CF126" t="n">
        <v>44881</v>
      </c>
      <c r="CG126" t="n">
        <v>1291</v>
      </c>
      <c r="CH126" t="n">
        <v>2013</v>
      </c>
      <c r="CK126" s="72" t="inlineStr">
        <is>
          <t> </t>
        </is>
      </c>
      <c r="CL126" t="n">
        <v>45212</v>
      </c>
      <c r="CM126" t="n">
        <v>1291</v>
      </c>
      <c r="CN126" t="n">
        <v>2013</v>
      </c>
    </row>
    <row r="127">
      <c r="A127" t="n">
        <v>77223873</v>
      </c>
      <c r="B127" s="3" t="inlineStr">
        <is>
          <t>Цистерна для перевозки продуктов</t>
        </is>
      </c>
      <c r="C127" t="inlineStr">
        <is>
          <t>15-150-04П</t>
        </is>
      </c>
      <c r="D127" t="inlineStr">
        <is>
          <t>31.08.2011</t>
        </is>
      </c>
      <c r="E127" t="n">
        <v>2011</v>
      </c>
      <c r="F127" t="inlineStr">
        <is>
          <t>31.08.2043</t>
        </is>
      </c>
      <c r="G127" t="inlineStr">
        <is>
          <t>23.05.2023</t>
        </is>
      </c>
      <c r="H127" t="inlineStr">
        <is>
          <t>ВРД Кочетовка – филиал ООО "НВК"</t>
        </is>
      </c>
      <c r="I127" t="inlineStr">
        <is>
          <t>30.04.2026</t>
        </is>
      </c>
      <c r="J127" t="inlineStr">
        <is>
          <t>Усть-Каменогорское ВРД</t>
        </is>
      </c>
      <c r="K127" t="inlineStr">
        <is>
          <t>Деповской</t>
        </is>
      </c>
      <c r="L127" t="inlineStr">
        <is>
          <t>30.04.2029</t>
        </is>
      </c>
      <c r="M127" t="inlineStr">
        <is>
          <t>ООО "ТрансАльянс Запад"</t>
        </is>
      </c>
      <c r="N127" t="n">
        <v>160000</v>
      </c>
      <c r="O127" t="n">
        <v>2794</v>
      </c>
      <c r="P127" t="n">
        <v>157206</v>
      </c>
      <c r="Q127" t="inlineStr">
        <is>
          <t>28.08.2039</t>
        </is>
      </c>
      <c r="R127" t="inlineStr">
        <is>
          <t>03.07.2026</t>
        </is>
      </c>
      <c r="S127" s="72" t="inlineStr">
        <is>
          <t> </t>
        </is>
      </c>
      <c r="T127" t="n">
        <v>82217</v>
      </c>
      <c r="U127" t="n">
        <v>1175</v>
      </c>
      <c r="V127" t="n">
        <v>2010</v>
      </c>
      <c r="W127" t="n">
        <v>4045</v>
      </c>
      <c r="X127" t="inlineStr">
        <is>
          <t>июль.26</t>
        </is>
      </c>
      <c r="Y127" t="n">
        <v>0</v>
      </c>
      <c r="Z127" t="n">
        <v>0</v>
      </c>
      <c r="AA127" t="n">
        <v>58</v>
      </c>
      <c r="AB127" t="n">
        <v>58</v>
      </c>
      <c r="AC127" s="72" t="inlineStr">
        <is>
          <t> </t>
        </is>
      </c>
      <c r="AD127" t="n">
        <v>79026</v>
      </c>
      <c r="AE127" t="n">
        <v>1175</v>
      </c>
      <c r="AF127" t="n">
        <v>2010</v>
      </c>
      <c r="AG127" t="n">
        <v>4045</v>
      </c>
      <c r="AH127" t="inlineStr">
        <is>
          <t>июль.26</t>
        </is>
      </c>
      <c r="AI127" t="n">
        <v>0</v>
      </c>
      <c r="AJ127" t="n">
        <v>0</v>
      </c>
      <c r="AK127" t="n">
        <v>56</v>
      </c>
      <c r="AL127" t="n">
        <v>56</v>
      </c>
      <c r="AM127" s="72" t="inlineStr">
        <is>
          <t> </t>
        </is>
      </c>
      <c r="AN127" t="n">
        <v>945948</v>
      </c>
      <c r="AO127" t="inlineStr">
        <is>
          <t>0029</t>
        </is>
      </c>
      <c r="AP127" t="n">
        <v>2002</v>
      </c>
      <c r="AQ127" t="n">
        <v>4045</v>
      </c>
      <c r="AR127" t="inlineStr">
        <is>
          <t>июль.26</t>
        </is>
      </c>
      <c r="AS127" t="n">
        <v>0</v>
      </c>
      <c r="AT127" t="n">
        <v>0</v>
      </c>
      <c r="AU127" t="n">
        <v>52</v>
      </c>
      <c r="AV127" t="n">
        <v>52</v>
      </c>
      <c r="AW127" s="72" t="inlineStr">
        <is>
          <t> </t>
        </is>
      </c>
      <c r="AX127" t="n">
        <v>88176</v>
      </c>
      <c r="AY127" t="n">
        <v>1175</v>
      </c>
      <c r="AZ127" t="n">
        <v>2011</v>
      </c>
      <c r="BA127" t="n">
        <v>4045</v>
      </c>
      <c r="BB127" t="inlineStr">
        <is>
          <t>июль.26</t>
        </is>
      </c>
      <c r="BC127" t="n">
        <v>0</v>
      </c>
      <c r="BD127" t="n">
        <v>0</v>
      </c>
      <c r="BE127" t="n">
        <v>52</v>
      </c>
      <c r="BF127" t="n">
        <v>52</v>
      </c>
      <c r="BG127" s="72" t="inlineStr">
        <is>
          <t> </t>
        </is>
      </c>
      <c r="BH127" t="n">
        <v>70298</v>
      </c>
      <c r="BI127" t="inlineStr">
        <is>
          <t>0014</t>
        </is>
      </c>
      <c r="BJ127" t="n">
        <v>2011</v>
      </c>
      <c r="BM127" s="72" t="inlineStr">
        <is>
          <t> </t>
        </is>
      </c>
      <c r="BN127" t="n">
        <v>70383</v>
      </c>
      <c r="BO127" t="inlineStr">
        <is>
          <t>0014</t>
        </is>
      </c>
      <c r="BP127" t="n">
        <v>2011</v>
      </c>
      <c r="BS127" s="72" t="inlineStr">
        <is>
          <t> </t>
        </is>
      </c>
      <c r="BT127" t="n">
        <v>117001</v>
      </c>
      <c r="BU127" t="inlineStr">
        <is>
          <t>0014</t>
        </is>
      </c>
      <c r="BV127" t="n">
        <v>2011</v>
      </c>
      <c r="BY127" s="72" t="inlineStr">
        <is>
          <t> </t>
        </is>
      </c>
      <c r="BZ127" t="n">
        <v>115832</v>
      </c>
      <c r="CA127" t="inlineStr">
        <is>
          <t>0014</t>
        </is>
      </c>
      <c r="CB127" t="n">
        <v>2011</v>
      </c>
      <c r="CE127" s="72" t="inlineStr">
        <is>
          <t> </t>
        </is>
      </c>
      <c r="CF127" t="n">
        <v>117190</v>
      </c>
      <c r="CG127" t="inlineStr">
        <is>
          <t>0014</t>
        </is>
      </c>
      <c r="CH127" t="n">
        <v>2011</v>
      </c>
      <c r="CK127" s="72" t="inlineStr">
        <is>
          <t> </t>
        </is>
      </c>
      <c r="CL127" t="n">
        <v>117122</v>
      </c>
      <c r="CM127" t="inlineStr">
        <is>
          <t>0014</t>
        </is>
      </c>
      <c r="CN127" t="n">
        <v>2011</v>
      </c>
    </row>
    <row r="128">
      <c r="A128" t="n">
        <v>77223915</v>
      </c>
      <c r="B128" s="3" t="inlineStr">
        <is>
          <t>Цистерна для перевозки продуктов</t>
        </is>
      </c>
      <c r="C128" t="inlineStr">
        <is>
          <t>15-150-04П</t>
        </is>
      </c>
      <c r="D128" t="inlineStr">
        <is>
          <t>31.08.2011</t>
        </is>
      </c>
      <c r="E128" t="n">
        <v>2011</v>
      </c>
      <c r="F128" t="inlineStr">
        <is>
          <t>31.08.2043</t>
        </is>
      </c>
      <c r="G128" t="inlineStr">
        <is>
          <t>03.06.2023</t>
        </is>
      </c>
      <c r="H128" t="inlineStr">
        <is>
          <t>ВРД Кочетовка – филиал ООО "НВК"</t>
        </is>
      </c>
      <c r="I128" t="inlineStr">
        <is>
          <t>24.05.2026</t>
        </is>
      </c>
      <c r="J128" t="inlineStr">
        <is>
          <t>Усть-Каменогорское ВРД</t>
        </is>
      </c>
      <c r="K128" t="inlineStr">
        <is>
          <t>Деповской</t>
        </is>
      </c>
      <c r="L128" t="inlineStr">
        <is>
          <t>24.05.2029</t>
        </is>
      </c>
      <c r="M128" t="inlineStr">
        <is>
          <t>ООО "ТрансАльянс Запад"</t>
        </is>
      </c>
      <c r="N128" t="n">
        <v>160000</v>
      </c>
      <c r="O128" t="n">
        <v>2794</v>
      </c>
      <c r="P128" t="n">
        <v>157206</v>
      </c>
      <c r="Q128" t="inlineStr">
        <is>
          <t>16.12.2035</t>
        </is>
      </c>
      <c r="R128" t="inlineStr">
        <is>
          <t>24.05.2026</t>
        </is>
      </c>
      <c r="S128" s="72" t="inlineStr">
        <is>
          <t> </t>
        </is>
      </c>
      <c r="T128" t="n">
        <v>284916</v>
      </c>
      <c r="U128" t="inlineStr">
        <is>
          <t>0005</t>
        </is>
      </c>
      <c r="V128" t="n">
        <v>2011</v>
      </c>
      <c r="W128" t="n">
        <v>745</v>
      </c>
      <c r="X128" t="inlineStr">
        <is>
          <t>май.26</t>
        </is>
      </c>
      <c r="Y128" t="n">
        <v>0</v>
      </c>
      <c r="Z128" t="n">
        <v>0</v>
      </c>
      <c r="AA128" t="n">
        <v>74</v>
      </c>
      <c r="AB128" t="n">
        <v>74</v>
      </c>
      <c r="AC128" s="72" t="inlineStr">
        <is>
          <t> </t>
        </is>
      </c>
      <c r="AD128" t="n">
        <v>56660</v>
      </c>
      <c r="AE128" t="n">
        <v>2412</v>
      </c>
      <c r="AF128" t="n">
        <v>2024</v>
      </c>
      <c r="AG128" t="n">
        <v>745</v>
      </c>
      <c r="AH128" t="inlineStr">
        <is>
          <t>май.26</t>
        </is>
      </c>
      <c r="AI128" t="n">
        <v>0</v>
      </c>
      <c r="AJ128" t="n">
        <v>0</v>
      </c>
      <c r="AK128" t="n">
        <v>74</v>
      </c>
      <c r="AL128" t="n">
        <v>74</v>
      </c>
      <c r="AM128" s="72" t="inlineStr">
        <is>
          <t> </t>
        </is>
      </c>
      <c r="AN128" t="n">
        <v>51700</v>
      </c>
      <c r="AO128" t="n">
        <v>2412</v>
      </c>
      <c r="AP128" t="n">
        <v>2024</v>
      </c>
      <c r="AQ128" t="n">
        <v>745</v>
      </c>
      <c r="AR128" t="inlineStr">
        <is>
          <t>май.26</t>
        </is>
      </c>
      <c r="AS128" t="n">
        <v>0</v>
      </c>
      <c r="AT128" t="n">
        <v>0</v>
      </c>
      <c r="AU128" t="n">
        <v>74</v>
      </c>
      <c r="AV128" t="n">
        <v>74</v>
      </c>
      <c r="AW128" s="72" t="inlineStr">
        <is>
          <t> </t>
        </is>
      </c>
      <c r="AX128" t="n">
        <v>53300</v>
      </c>
      <c r="AY128" t="n">
        <v>2412</v>
      </c>
      <c r="AZ128" t="n">
        <v>2024</v>
      </c>
      <c r="BA128" t="n">
        <v>745</v>
      </c>
      <c r="BB128" t="inlineStr">
        <is>
          <t>май.26</t>
        </is>
      </c>
      <c r="BC128" t="n">
        <v>0</v>
      </c>
      <c r="BD128" t="n">
        <v>0</v>
      </c>
      <c r="BE128" t="n">
        <v>74</v>
      </c>
      <c r="BF128" t="n">
        <v>74</v>
      </c>
      <c r="BG128" s="72" t="inlineStr">
        <is>
          <t> </t>
        </is>
      </c>
      <c r="BH128" t="n">
        <v>37753</v>
      </c>
      <c r="BI128" t="inlineStr">
        <is>
          <t>0005</t>
        </is>
      </c>
      <c r="BJ128" t="n">
        <v>2011</v>
      </c>
      <c r="BM128" s="72" t="inlineStr">
        <is>
          <t> </t>
        </is>
      </c>
      <c r="BN128" t="n">
        <v>37243</v>
      </c>
      <c r="BO128" t="inlineStr">
        <is>
          <t>0005</t>
        </is>
      </c>
      <c r="BP128" t="n">
        <v>2011</v>
      </c>
      <c r="BS128" s="72" t="inlineStr">
        <is>
          <t> </t>
        </is>
      </c>
      <c r="BT128" t="n">
        <v>65250</v>
      </c>
      <c r="BU128" t="inlineStr">
        <is>
          <t>0005</t>
        </is>
      </c>
      <c r="BV128" t="n">
        <v>2011</v>
      </c>
      <c r="BY128" s="72" t="inlineStr">
        <is>
          <t> </t>
        </is>
      </c>
      <c r="BZ128" t="n">
        <v>65463</v>
      </c>
      <c r="CA128" t="inlineStr">
        <is>
          <t>0005</t>
        </is>
      </c>
      <c r="CB128" t="n">
        <v>2011</v>
      </c>
      <c r="CE128" s="72" t="inlineStr">
        <is>
          <t> </t>
        </is>
      </c>
      <c r="CF128" t="n">
        <v>33818</v>
      </c>
      <c r="CG128" t="inlineStr">
        <is>
          <t>0005</t>
        </is>
      </c>
      <c r="CH128" t="n">
        <v>2011</v>
      </c>
      <c r="CK128" s="72" t="inlineStr">
        <is>
          <t> </t>
        </is>
      </c>
      <c r="CL128" t="n">
        <v>66418</v>
      </c>
      <c r="CM128" t="inlineStr">
        <is>
          <t>0005</t>
        </is>
      </c>
      <c r="CN128" t="n">
        <v>2011</v>
      </c>
    </row>
    <row r="129">
      <c r="A129" t="n">
        <v>77223808</v>
      </c>
      <c r="B129" s="3" t="inlineStr">
        <is>
          <t>Цистерна для перевозки продуктов</t>
        </is>
      </c>
      <c r="C129" t="inlineStr">
        <is>
          <t>15-150-04П</t>
        </is>
      </c>
      <c r="D129" t="inlineStr">
        <is>
          <t>29.08.2011</t>
        </is>
      </c>
      <c r="E129" t="n">
        <v>2011</v>
      </c>
      <c r="F129" t="inlineStr">
        <is>
          <t>29.08.2043</t>
        </is>
      </c>
      <c r="G129" t="inlineStr">
        <is>
          <t>19.05.2023</t>
        </is>
      </c>
      <c r="H129" t="inlineStr">
        <is>
          <t>ООО "Техкомплекс"</t>
        </is>
      </c>
      <c r="I129" t="inlineStr">
        <is>
          <t>28.04.2026</t>
        </is>
      </c>
      <c r="J129" t="inlineStr">
        <is>
          <t>Усть-Каменогорское ВРД</t>
        </is>
      </c>
      <c r="K129" t="inlineStr">
        <is>
          <t>Деповской</t>
        </is>
      </c>
      <c r="L129" t="inlineStr">
        <is>
          <t>28.04.2029</t>
        </is>
      </c>
      <c r="M129" t="inlineStr">
        <is>
          <t>ООО "ТрансАльянс Запад"</t>
        </is>
      </c>
      <c r="N129" t="n">
        <v>160000</v>
      </c>
      <c r="O129" t="n">
        <v>2812</v>
      </c>
      <c r="P129" t="n">
        <v>157188</v>
      </c>
      <c r="Q129" t="inlineStr">
        <is>
          <t>16.11.2039</t>
        </is>
      </c>
      <c r="R129" t="inlineStr">
        <is>
          <t>28.04.2026</t>
        </is>
      </c>
      <c r="S129" s="72" t="inlineStr">
        <is>
          <t> </t>
        </is>
      </c>
      <c r="T129" t="n">
        <v>285949</v>
      </c>
      <c r="U129" t="inlineStr">
        <is>
          <t>0005</t>
        </is>
      </c>
      <c r="V129" t="n">
        <v>2011</v>
      </c>
      <c r="W129" t="n">
        <v>745</v>
      </c>
      <c r="X129" t="inlineStr">
        <is>
          <t>апр.26</t>
        </is>
      </c>
      <c r="Y129" t="n">
        <v>0</v>
      </c>
      <c r="Z129" t="n">
        <v>0</v>
      </c>
      <c r="AA129" t="n">
        <v>74</v>
      </c>
      <c r="AB129" t="n">
        <v>74</v>
      </c>
      <c r="AC129" s="72" t="inlineStr">
        <is>
          <t> </t>
        </is>
      </c>
      <c r="AD129" t="n">
        <v>267944</v>
      </c>
      <c r="AE129" t="inlineStr">
        <is>
          <t>0005</t>
        </is>
      </c>
      <c r="AF129" t="n">
        <v>2011</v>
      </c>
      <c r="AG129" t="n">
        <v>745</v>
      </c>
      <c r="AH129" t="inlineStr">
        <is>
          <t>апр.26</t>
        </is>
      </c>
      <c r="AI129" t="n">
        <v>0</v>
      </c>
      <c r="AJ129" t="n">
        <v>0</v>
      </c>
      <c r="AK129" t="n">
        <v>74</v>
      </c>
      <c r="AL129" t="n">
        <v>74</v>
      </c>
      <c r="AM129" s="72" t="inlineStr">
        <is>
          <t> </t>
        </is>
      </c>
      <c r="AN129" t="n">
        <v>402175</v>
      </c>
      <c r="AO129" t="inlineStr">
        <is>
          <t>0005</t>
        </is>
      </c>
      <c r="AP129" t="n">
        <v>2013</v>
      </c>
      <c r="AQ129" t="n">
        <v>745</v>
      </c>
      <c r="AR129" t="inlineStr">
        <is>
          <t>апр.26</t>
        </is>
      </c>
      <c r="AS129" t="n">
        <v>0</v>
      </c>
      <c r="AT129" t="n">
        <v>0</v>
      </c>
      <c r="AU129" t="n">
        <v>74</v>
      </c>
      <c r="AV129" t="n">
        <v>74</v>
      </c>
      <c r="AW129" s="72" t="inlineStr">
        <is>
          <t> </t>
        </is>
      </c>
      <c r="AX129" t="n">
        <v>285708</v>
      </c>
      <c r="AY129" t="inlineStr">
        <is>
          <t>0005</t>
        </is>
      </c>
      <c r="AZ129" t="n">
        <v>2011</v>
      </c>
      <c r="BA129" t="n">
        <v>745</v>
      </c>
      <c r="BB129" t="inlineStr">
        <is>
          <t>апр.26</t>
        </is>
      </c>
      <c r="BC129" t="n">
        <v>0</v>
      </c>
      <c r="BD129" t="n">
        <v>0</v>
      </c>
      <c r="BE129" t="n">
        <v>72</v>
      </c>
      <c r="BF129" t="n">
        <v>72</v>
      </c>
      <c r="BG129" s="72" t="inlineStr">
        <is>
          <t> </t>
        </is>
      </c>
      <c r="BH129" t="n">
        <v>60564</v>
      </c>
      <c r="BI129" t="inlineStr">
        <is>
          <t>0014</t>
        </is>
      </c>
      <c r="BJ129" t="n">
        <v>2011</v>
      </c>
      <c r="BM129" s="72" t="inlineStr">
        <is>
          <t> </t>
        </is>
      </c>
      <c r="BN129" t="n">
        <v>56871</v>
      </c>
      <c r="BO129" t="inlineStr">
        <is>
          <t>0014</t>
        </is>
      </c>
      <c r="BP129" t="n">
        <v>2011</v>
      </c>
      <c r="BS129" s="72" t="inlineStr">
        <is>
          <t> </t>
        </is>
      </c>
      <c r="BT129" t="n">
        <v>101800</v>
      </c>
      <c r="BU129" t="inlineStr">
        <is>
          <t>0014</t>
        </is>
      </c>
      <c r="BV129" t="n">
        <v>2011</v>
      </c>
      <c r="BY129" s="72" t="inlineStr">
        <is>
          <t> </t>
        </is>
      </c>
      <c r="BZ129" t="n">
        <v>101924</v>
      </c>
      <c r="CA129" t="inlineStr">
        <is>
          <t>0014</t>
        </is>
      </c>
      <c r="CB129" t="n">
        <v>2011</v>
      </c>
      <c r="CE129" s="72" t="inlineStr">
        <is>
          <t> </t>
        </is>
      </c>
      <c r="CF129" t="n">
        <v>99146</v>
      </c>
      <c r="CG129" t="inlineStr">
        <is>
          <t>0014</t>
        </is>
      </c>
      <c r="CH129" t="n">
        <v>2011</v>
      </c>
      <c r="CK129" s="72" t="inlineStr">
        <is>
          <t> </t>
        </is>
      </c>
      <c r="CL129" t="n">
        <v>99157</v>
      </c>
      <c r="CM129" t="inlineStr">
        <is>
          <t>0014</t>
        </is>
      </c>
      <c r="CN129" t="n">
        <v>2011</v>
      </c>
    </row>
    <row r="130">
      <c r="A130" t="n">
        <v>77223840</v>
      </c>
      <c r="B130" s="3" t="inlineStr">
        <is>
          <t>Цистерна для перевозки продуктов</t>
        </is>
      </c>
      <c r="C130" t="inlineStr">
        <is>
          <t>15-5103-7П</t>
        </is>
      </c>
      <c r="D130" t="inlineStr">
        <is>
          <t>06.09.2011</t>
        </is>
      </c>
      <c r="E130" t="n">
        <v>2011</v>
      </c>
      <c r="F130" t="inlineStr">
        <is>
          <t>06.09.2043</t>
        </is>
      </c>
      <c r="G130" t="inlineStr">
        <is>
          <t>30.05.2023</t>
        </is>
      </c>
      <c r="H130" t="inlineStr">
        <is>
          <t>ВРД Кочетовка – филиал ООО "НВК"</t>
        </is>
      </c>
      <c r="I130" t="inlineStr">
        <is>
          <t>29.04.2026</t>
        </is>
      </c>
      <c r="J130" t="inlineStr">
        <is>
          <t>Усть-Каменогорское ВРД</t>
        </is>
      </c>
      <c r="K130" t="inlineStr">
        <is>
          <t>Деповской</t>
        </is>
      </c>
      <c r="L130" t="inlineStr">
        <is>
          <t>29.04.2029</t>
        </is>
      </c>
      <c r="M130" t="inlineStr">
        <is>
          <t>ООО "ТрансАльянс Запад"</t>
        </is>
      </c>
      <c r="N130" t="n">
        <v>160000</v>
      </c>
      <c r="O130" t="n">
        <v>2812</v>
      </c>
      <c r="P130" t="n">
        <v>157188</v>
      </c>
      <c r="Q130" t="inlineStr">
        <is>
          <t>21.09.2039</t>
        </is>
      </c>
      <c r="R130" t="inlineStr">
        <is>
          <t>29.04.2026</t>
        </is>
      </c>
      <c r="S130" s="72" t="inlineStr">
        <is>
          <t> </t>
        </is>
      </c>
      <c r="T130" t="n">
        <v>285316</v>
      </c>
      <c r="U130" t="inlineStr">
        <is>
          <t>0005</t>
        </is>
      </c>
      <c r="V130" t="n">
        <v>2011</v>
      </c>
      <c r="W130" t="n">
        <v>745</v>
      </c>
      <c r="X130" t="inlineStr">
        <is>
          <t>апр.26</t>
        </is>
      </c>
      <c r="Y130" t="n">
        <v>0</v>
      </c>
      <c r="Z130" t="n">
        <v>0</v>
      </c>
      <c r="AA130" t="n">
        <v>63</v>
      </c>
      <c r="AB130" t="n">
        <v>63</v>
      </c>
      <c r="AC130" s="72" t="inlineStr">
        <is>
          <t> </t>
        </is>
      </c>
      <c r="AD130" t="n">
        <v>378431</v>
      </c>
      <c r="AE130" t="inlineStr">
        <is>
          <t>0005</t>
        </is>
      </c>
      <c r="AF130" t="n">
        <v>2013</v>
      </c>
      <c r="AG130" t="n">
        <v>745</v>
      </c>
      <c r="AH130" t="inlineStr">
        <is>
          <t>апр.26</t>
        </is>
      </c>
      <c r="AI130" t="n">
        <v>0</v>
      </c>
      <c r="AJ130" t="n">
        <v>0</v>
      </c>
      <c r="AK130" t="n">
        <v>64</v>
      </c>
      <c r="AL130" t="n">
        <v>64</v>
      </c>
      <c r="AM130" s="72" t="inlineStr">
        <is>
          <t> </t>
        </is>
      </c>
      <c r="AN130" t="n">
        <v>284322</v>
      </c>
      <c r="AO130" t="inlineStr">
        <is>
          <t>0005</t>
        </is>
      </c>
      <c r="AP130" t="n">
        <v>2011</v>
      </c>
      <c r="AQ130" t="n">
        <v>745</v>
      </c>
      <c r="AR130" t="inlineStr">
        <is>
          <t>апр.26</t>
        </is>
      </c>
      <c r="AS130" t="n">
        <v>0</v>
      </c>
      <c r="AT130" t="n">
        <v>0</v>
      </c>
      <c r="AU130" t="n">
        <v>67</v>
      </c>
      <c r="AV130" t="n">
        <v>67</v>
      </c>
      <c r="AW130" s="72" t="inlineStr">
        <is>
          <t> </t>
        </is>
      </c>
      <c r="AX130" t="n">
        <v>285322</v>
      </c>
      <c r="AY130" t="inlineStr">
        <is>
          <t>0005</t>
        </is>
      </c>
      <c r="AZ130" t="n">
        <v>2011</v>
      </c>
      <c r="BA130" t="n">
        <v>745</v>
      </c>
      <c r="BB130" t="inlineStr">
        <is>
          <t>апр.26</t>
        </is>
      </c>
      <c r="BC130" t="n">
        <v>0</v>
      </c>
      <c r="BD130" t="n">
        <v>0</v>
      </c>
      <c r="BE130" t="n">
        <v>66</v>
      </c>
      <c r="BF130" t="n">
        <v>66</v>
      </c>
      <c r="BG130" s="72" t="inlineStr">
        <is>
          <t> </t>
        </is>
      </c>
      <c r="BH130" t="n">
        <v>37874</v>
      </c>
      <c r="BI130" t="inlineStr">
        <is>
          <t>0005</t>
        </is>
      </c>
      <c r="BJ130" t="n">
        <v>2011</v>
      </c>
      <c r="BM130" s="72" t="inlineStr">
        <is>
          <t> </t>
        </is>
      </c>
      <c r="BN130" t="n">
        <v>37420</v>
      </c>
      <c r="BO130" t="inlineStr">
        <is>
          <t>0005</t>
        </is>
      </c>
      <c r="BP130" t="n">
        <v>2011</v>
      </c>
      <c r="BS130" s="72" t="inlineStr">
        <is>
          <t> </t>
        </is>
      </c>
      <c r="BT130" t="n">
        <v>52860</v>
      </c>
      <c r="BU130" t="inlineStr">
        <is>
          <t>0005</t>
        </is>
      </c>
      <c r="BV130" t="n">
        <v>2011</v>
      </c>
      <c r="BY130" s="72" t="inlineStr">
        <is>
          <t> </t>
        </is>
      </c>
      <c r="BZ130" t="n">
        <v>66567</v>
      </c>
      <c r="CA130" t="inlineStr">
        <is>
          <t>0005</t>
        </is>
      </c>
      <c r="CB130" t="n">
        <v>2011</v>
      </c>
      <c r="CE130" s="72" t="inlineStr">
        <is>
          <t> </t>
        </is>
      </c>
      <c r="CF130" t="n">
        <v>66457</v>
      </c>
      <c r="CG130" t="inlineStr">
        <is>
          <t>0005</t>
        </is>
      </c>
      <c r="CH130" t="n">
        <v>2011</v>
      </c>
      <c r="CK130" s="72" t="inlineStr">
        <is>
          <t> </t>
        </is>
      </c>
      <c r="CL130" t="n">
        <v>66470</v>
      </c>
      <c r="CM130" t="inlineStr">
        <is>
          <t>0005</t>
        </is>
      </c>
      <c r="CN130" t="n">
        <v>2011</v>
      </c>
    </row>
    <row r="131">
      <c r="A131" t="n">
        <v>77223857</v>
      </c>
      <c r="B131" s="3" t="inlineStr">
        <is>
          <t>Цистерна для перевозки продуктов</t>
        </is>
      </c>
      <c r="C131" t="inlineStr">
        <is>
          <t>15-150-04П</t>
        </is>
      </c>
      <c r="D131" t="inlineStr">
        <is>
          <t>30.08.2011</t>
        </is>
      </c>
      <c r="E131" t="n">
        <v>2011</v>
      </c>
      <c r="F131" t="inlineStr">
        <is>
          <t>30.08.2043</t>
        </is>
      </c>
      <c r="G131" t="inlineStr">
        <is>
          <t>01.09.2023</t>
        </is>
      </c>
      <c r="H131" t="inlineStr">
        <is>
          <t>ВРД Кочетовка – филиал ООО "НВК"</t>
        </is>
      </c>
      <c r="I131" t="inlineStr">
        <is>
          <t>30.10.2025</t>
        </is>
      </c>
      <c r="J131" t="inlineStr">
        <is>
          <t>Орский ВРЗ-филиал ООО "НВК"</t>
        </is>
      </c>
      <c r="K131" t="inlineStr">
        <is>
          <t>Деповской</t>
        </is>
      </c>
      <c r="L131" t="inlineStr">
        <is>
          <t>30.10.2028</t>
        </is>
      </c>
      <c r="M131" t="inlineStr">
        <is>
          <t>ООО "ТрансАльянс Запад"</t>
        </is>
      </c>
      <c r="N131" t="n">
        <v>160000</v>
      </c>
      <c r="O131" t="n">
        <v>20371</v>
      </c>
      <c r="P131" t="n">
        <v>139629</v>
      </c>
      <c r="Q131" t="inlineStr">
        <is>
          <t>28.07.2031</t>
        </is>
      </c>
      <c r="R131" t="inlineStr">
        <is>
          <t>30.10.2025</t>
        </is>
      </c>
      <c r="S131" s="72" t="inlineStr">
        <is>
          <t> </t>
        </is>
      </c>
      <c r="T131" t="n">
        <v>121674</v>
      </c>
      <c r="U131" t="inlineStr">
        <is>
          <t>0005</t>
        </is>
      </c>
      <c r="V131" t="n">
        <v>2012</v>
      </c>
      <c r="W131" t="n">
        <v>2348</v>
      </c>
      <c r="X131" t="inlineStr">
        <is>
          <t>окт.25</t>
        </is>
      </c>
      <c r="Y131" t="n">
        <v>33</v>
      </c>
      <c r="Z131" t="n">
        <v>33</v>
      </c>
      <c r="AA131" t="n">
        <v>74</v>
      </c>
      <c r="AB131" t="n">
        <v>74</v>
      </c>
      <c r="AC131" s="72" t="inlineStr">
        <is>
          <t> </t>
        </is>
      </c>
      <c r="AD131" t="n">
        <v>283002</v>
      </c>
      <c r="AE131" t="inlineStr">
        <is>
          <t>0005</t>
        </is>
      </c>
      <c r="AF131" t="n">
        <v>2011</v>
      </c>
      <c r="AG131" t="n">
        <v>2348</v>
      </c>
      <c r="AH131" t="inlineStr">
        <is>
          <t>окт.25</t>
        </is>
      </c>
      <c r="AI131" t="n">
        <v>33</v>
      </c>
      <c r="AJ131" t="n">
        <v>33</v>
      </c>
      <c r="AK131" t="n">
        <v>74</v>
      </c>
      <c r="AL131" t="n">
        <v>74</v>
      </c>
      <c r="AM131" s="72" t="inlineStr">
        <is>
          <t> </t>
        </is>
      </c>
      <c r="AN131" t="n">
        <v>442992</v>
      </c>
      <c r="AO131" t="inlineStr">
        <is>
          <t>0029</t>
        </is>
      </c>
      <c r="AP131" t="n">
        <v>2013</v>
      </c>
      <c r="AQ131" t="n">
        <v>2348</v>
      </c>
      <c r="AR131" t="inlineStr">
        <is>
          <t>окт.25</t>
        </is>
      </c>
      <c r="AS131" t="n">
        <v>33</v>
      </c>
      <c r="AT131" t="n">
        <v>33</v>
      </c>
      <c r="AU131" t="n">
        <v>74</v>
      </c>
      <c r="AV131" t="n">
        <v>74</v>
      </c>
      <c r="AW131" s="72" t="inlineStr">
        <is>
          <t> </t>
        </is>
      </c>
      <c r="AX131" t="n">
        <v>124219</v>
      </c>
      <c r="AY131" t="inlineStr">
        <is>
          <t>0005</t>
        </is>
      </c>
      <c r="AZ131" t="n">
        <v>2012</v>
      </c>
      <c r="BA131" t="n">
        <v>2348</v>
      </c>
      <c r="BB131" t="inlineStr">
        <is>
          <t>окт.25</t>
        </is>
      </c>
      <c r="BC131" t="n">
        <v>33</v>
      </c>
      <c r="BD131" t="n">
        <v>33</v>
      </c>
      <c r="BE131" t="n">
        <v>74</v>
      </c>
      <c r="BF131" t="n">
        <v>74</v>
      </c>
      <c r="BG131" s="72" t="inlineStr">
        <is>
          <t> </t>
        </is>
      </c>
      <c r="BH131" t="n">
        <v>36819</v>
      </c>
      <c r="BI131" t="inlineStr">
        <is>
          <t>0005</t>
        </is>
      </c>
      <c r="BJ131" t="n">
        <v>2011</v>
      </c>
      <c r="BM131" s="72" t="inlineStr">
        <is>
          <t> </t>
        </is>
      </c>
      <c r="BN131" t="n">
        <v>37019</v>
      </c>
      <c r="BO131" t="inlineStr">
        <is>
          <t>0005</t>
        </is>
      </c>
      <c r="BP131" t="n">
        <v>2011</v>
      </c>
      <c r="BS131" s="72" t="inlineStr">
        <is>
          <t> </t>
        </is>
      </c>
      <c r="BT131" t="n">
        <v>65847</v>
      </c>
      <c r="BU131" t="inlineStr">
        <is>
          <t>0005</t>
        </is>
      </c>
      <c r="BV131" t="n">
        <v>2011</v>
      </c>
      <c r="BY131" s="72" t="inlineStr">
        <is>
          <t> </t>
        </is>
      </c>
      <c r="BZ131" t="n">
        <v>66113</v>
      </c>
      <c r="CA131" t="inlineStr">
        <is>
          <t>0005</t>
        </is>
      </c>
      <c r="CB131" t="n">
        <v>2011</v>
      </c>
      <c r="CE131" s="72" t="inlineStr">
        <is>
          <t> </t>
        </is>
      </c>
      <c r="CF131" t="n">
        <v>65299</v>
      </c>
      <c r="CG131" t="inlineStr">
        <is>
          <t>0005</t>
        </is>
      </c>
      <c r="CH131" t="n">
        <v>2011</v>
      </c>
      <c r="CK131" s="72" t="inlineStr">
        <is>
          <t> </t>
        </is>
      </c>
      <c r="CL131" t="n">
        <v>64795</v>
      </c>
      <c r="CM131" t="inlineStr">
        <is>
          <t>0005</t>
        </is>
      </c>
      <c r="CN131" t="n">
        <v>2011</v>
      </c>
    </row>
    <row r="132">
      <c r="A132" t="n">
        <v>77224509</v>
      </c>
      <c r="B132" s="3" t="inlineStr">
        <is>
          <t>Цистерна для перевозки продуктов</t>
        </is>
      </c>
      <c r="C132" t="inlineStr">
        <is>
          <t>15-5103-7П</t>
        </is>
      </c>
      <c r="D132" t="inlineStr">
        <is>
          <t>06.09.2011</t>
        </is>
      </c>
      <c r="E132" t="n">
        <v>2011</v>
      </c>
      <c r="F132" t="inlineStr">
        <is>
          <t>06.09.2043</t>
        </is>
      </c>
      <c r="G132" t="inlineStr">
        <is>
          <t>08.09.2022</t>
        </is>
      </c>
      <c r="H132" t="inlineStr">
        <is>
          <t>ВРД Кочетовка – филиал ООО "НВК"</t>
        </is>
      </c>
      <c r="I132" t="inlineStr">
        <is>
          <t>23.08.2025</t>
        </is>
      </c>
      <c r="J132" t="inlineStr">
        <is>
          <t>ВРД Кочетовка – филиал ООО "НВК"</t>
        </is>
      </c>
      <c r="K132" t="inlineStr">
        <is>
          <t>Деповской</t>
        </is>
      </c>
      <c r="L132" t="inlineStr">
        <is>
          <t>23.08.2028</t>
        </is>
      </c>
      <c r="M132" t="inlineStr">
        <is>
          <t>ООО "ТрансАльянс Запад"</t>
        </is>
      </c>
      <c r="N132" t="n">
        <v>160000</v>
      </c>
      <c r="O132" t="n">
        <v>32661</v>
      </c>
      <c r="P132" t="n">
        <v>127339</v>
      </c>
      <c r="Q132" t="inlineStr">
        <is>
          <t>19.02.2030</t>
        </is>
      </c>
      <c r="R132" t="inlineStr">
        <is>
          <t>23.08.2025</t>
        </is>
      </c>
      <c r="S132" s="72" t="inlineStr">
        <is>
          <t> </t>
        </is>
      </c>
      <c r="T132" t="n">
        <v>522996</v>
      </c>
      <c r="U132" t="inlineStr">
        <is>
          <t>0029</t>
        </is>
      </c>
      <c r="V132" t="n">
        <v>2014</v>
      </c>
      <c r="W132" t="n">
        <v>301</v>
      </c>
      <c r="X132" t="inlineStr">
        <is>
          <t>авг.25</t>
        </is>
      </c>
      <c r="Y132" t="n">
        <v>33</v>
      </c>
      <c r="Z132" t="n">
        <v>33</v>
      </c>
      <c r="AA132" t="n">
        <v>75</v>
      </c>
      <c r="AB132" t="n">
        <v>75</v>
      </c>
      <c r="AC132" s="72" t="inlineStr">
        <is>
          <t> </t>
        </is>
      </c>
      <c r="AD132" t="n">
        <v>516563</v>
      </c>
      <c r="AE132" t="inlineStr">
        <is>
          <t>0029</t>
        </is>
      </c>
      <c r="AF132" t="n">
        <v>2013</v>
      </c>
      <c r="AG132" t="n">
        <v>301</v>
      </c>
      <c r="AH132" t="inlineStr">
        <is>
          <t>авг.25</t>
        </is>
      </c>
      <c r="AI132" t="n">
        <v>33</v>
      </c>
      <c r="AJ132" t="n">
        <v>33</v>
      </c>
      <c r="AK132" t="n">
        <v>75</v>
      </c>
      <c r="AL132" t="n">
        <v>75</v>
      </c>
      <c r="AM132" s="72" t="inlineStr">
        <is>
          <t> </t>
        </is>
      </c>
      <c r="AN132" t="n">
        <v>120391</v>
      </c>
      <c r="AO132" t="inlineStr">
        <is>
          <t>0005</t>
        </is>
      </c>
      <c r="AP132" t="n">
        <v>2012</v>
      </c>
      <c r="AQ132" t="n">
        <v>301</v>
      </c>
      <c r="AR132" t="inlineStr">
        <is>
          <t>авг.25</t>
        </is>
      </c>
      <c r="AS132" t="n">
        <v>33</v>
      </c>
      <c r="AT132" t="n">
        <v>33</v>
      </c>
      <c r="AU132" t="n">
        <v>75</v>
      </c>
      <c r="AV132" t="n">
        <v>75</v>
      </c>
      <c r="AW132" s="72" t="inlineStr">
        <is>
          <t> </t>
        </is>
      </c>
      <c r="AX132" t="n">
        <v>123618</v>
      </c>
      <c r="AY132" t="inlineStr">
        <is>
          <t>0005</t>
        </is>
      </c>
      <c r="AZ132" t="n">
        <v>2012</v>
      </c>
      <c r="BA132" t="n">
        <v>301</v>
      </c>
      <c r="BB132" t="inlineStr">
        <is>
          <t>авг.25</t>
        </is>
      </c>
      <c r="BC132" t="n">
        <v>33</v>
      </c>
      <c r="BD132" t="n">
        <v>33</v>
      </c>
      <c r="BE132" t="n">
        <v>75</v>
      </c>
      <c r="BF132" t="n">
        <v>75</v>
      </c>
      <c r="BG132" s="72" t="inlineStr">
        <is>
          <t> </t>
        </is>
      </c>
      <c r="BH132" t="n">
        <v>37942</v>
      </c>
      <c r="BI132" t="inlineStr">
        <is>
          <t>0005</t>
        </is>
      </c>
      <c r="BJ132" t="n">
        <v>2011</v>
      </c>
      <c r="BM132" s="72" t="inlineStr">
        <is>
          <t> </t>
        </is>
      </c>
      <c r="BN132" t="n">
        <v>37711</v>
      </c>
      <c r="BO132" t="inlineStr">
        <is>
          <t>0005</t>
        </is>
      </c>
      <c r="BP132" t="n">
        <v>2011</v>
      </c>
      <c r="BS132" s="72" t="inlineStr">
        <is>
          <t> </t>
        </is>
      </c>
      <c r="BT132" t="n">
        <v>67114</v>
      </c>
      <c r="BU132" t="inlineStr">
        <is>
          <t>0005</t>
        </is>
      </c>
      <c r="BV132" t="n">
        <v>2011</v>
      </c>
      <c r="BY132" s="72" t="inlineStr">
        <is>
          <t> </t>
        </is>
      </c>
      <c r="BZ132" t="n">
        <v>67005</v>
      </c>
      <c r="CA132" t="inlineStr">
        <is>
          <t>0005</t>
        </is>
      </c>
      <c r="CB132" t="n">
        <v>2011</v>
      </c>
      <c r="CE132" s="72" t="inlineStr">
        <is>
          <t> </t>
        </is>
      </c>
      <c r="CF132" t="n">
        <v>66775</v>
      </c>
      <c r="CG132" t="inlineStr">
        <is>
          <t>0005</t>
        </is>
      </c>
      <c r="CH132" t="n">
        <v>2011</v>
      </c>
      <c r="CK132" s="72" t="inlineStr">
        <is>
          <t> </t>
        </is>
      </c>
      <c r="CL132" t="n">
        <v>66566</v>
      </c>
      <c r="CM132" t="inlineStr">
        <is>
          <t>0005</t>
        </is>
      </c>
      <c r="CN132" t="n">
        <v>2011</v>
      </c>
    </row>
    <row r="133">
      <c r="A133" t="n">
        <v>77223931</v>
      </c>
      <c r="B133" s="3" t="inlineStr">
        <is>
          <t>Цистерна для перевозки продуктов</t>
        </is>
      </c>
      <c r="C133" t="inlineStr">
        <is>
          <t>15-150-04П</t>
        </is>
      </c>
      <c r="D133" t="inlineStr">
        <is>
          <t>06.09.2011</t>
        </is>
      </c>
      <c r="E133" t="n">
        <v>2011</v>
      </c>
      <c r="F133" t="inlineStr">
        <is>
          <t>06.09.2043</t>
        </is>
      </c>
      <c r="G133" t="inlineStr">
        <is>
          <t>11.09.2023</t>
        </is>
      </c>
      <c r="H133" t="inlineStr">
        <is>
          <t>ВРД Кочетовка – филиал ООО "НВК"</t>
        </is>
      </c>
      <c r="I133" t="inlineStr">
        <is>
          <t>29.10.2025</t>
        </is>
      </c>
      <c r="J133" t="inlineStr">
        <is>
          <t>Орский ВРЗ-филиал ООО "НВК"</t>
        </is>
      </c>
      <c r="K133" t="inlineStr">
        <is>
          <t>Деповской</t>
        </is>
      </c>
      <c r="L133" t="inlineStr">
        <is>
          <t>29.10.2028</t>
        </is>
      </c>
      <c r="M133" t="inlineStr">
        <is>
          <t>ООО "ТрансАльянс Запад"</t>
        </is>
      </c>
      <c r="N133" t="n">
        <v>160000</v>
      </c>
      <c r="O133" t="n">
        <v>25212</v>
      </c>
      <c r="P133" t="n">
        <v>134788</v>
      </c>
      <c r="Q133" t="inlineStr">
        <is>
          <t>26.06.2030</t>
        </is>
      </c>
      <c r="R133" t="inlineStr">
        <is>
          <t>29.10.2025</t>
        </is>
      </c>
      <c r="S133" s="72" t="inlineStr">
        <is>
          <t> </t>
        </is>
      </c>
      <c r="T133" t="n">
        <v>24400</v>
      </c>
      <c r="U133" t="inlineStr">
        <is>
          <t>0005</t>
        </is>
      </c>
      <c r="V133" t="n">
        <v>2005</v>
      </c>
      <c r="W133" t="n">
        <v>2348</v>
      </c>
      <c r="X133" t="inlineStr">
        <is>
          <t>окт.25</t>
        </is>
      </c>
      <c r="Y133" t="n">
        <v>30</v>
      </c>
      <c r="Z133" t="n">
        <v>30</v>
      </c>
      <c r="AA133" t="n">
        <v>62</v>
      </c>
      <c r="AB133" t="n">
        <v>62</v>
      </c>
      <c r="AC133" s="72" t="inlineStr">
        <is>
          <t> </t>
        </is>
      </c>
      <c r="AD133" t="n">
        <v>276349</v>
      </c>
      <c r="AE133" t="inlineStr">
        <is>
          <t>0005</t>
        </is>
      </c>
      <c r="AF133" t="n">
        <v>2011</v>
      </c>
      <c r="AG133" t="n">
        <v>2348</v>
      </c>
      <c r="AH133" t="inlineStr">
        <is>
          <t>окт.25</t>
        </is>
      </c>
      <c r="AI133" t="n">
        <v>30</v>
      </c>
      <c r="AJ133" t="n">
        <v>30</v>
      </c>
      <c r="AK133" t="n">
        <v>63</v>
      </c>
      <c r="AL133" t="n">
        <v>63</v>
      </c>
      <c r="AM133" s="72" t="inlineStr">
        <is>
          <t> </t>
        </is>
      </c>
      <c r="AN133" t="n">
        <v>139015</v>
      </c>
      <c r="AO133" t="inlineStr">
        <is>
          <t>0005</t>
        </is>
      </c>
      <c r="AP133" t="n">
        <v>2014</v>
      </c>
      <c r="AQ133" t="n">
        <v>2348</v>
      </c>
      <c r="AR133" t="inlineStr">
        <is>
          <t>окт.25</t>
        </is>
      </c>
      <c r="AS133" t="n">
        <v>30</v>
      </c>
      <c r="AT133" t="n">
        <v>30</v>
      </c>
      <c r="AU133" t="n">
        <v>68</v>
      </c>
      <c r="AV133" t="n">
        <v>68</v>
      </c>
      <c r="AW133" s="72" t="inlineStr">
        <is>
          <t> </t>
        </is>
      </c>
      <c r="AX133" t="n">
        <v>278033</v>
      </c>
      <c r="AY133" t="inlineStr">
        <is>
          <t>0005</t>
        </is>
      </c>
      <c r="AZ133" t="n">
        <v>2011</v>
      </c>
      <c r="BA133" t="n">
        <v>2348</v>
      </c>
      <c r="BB133" t="inlineStr">
        <is>
          <t>окт.25</t>
        </is>
      </c>
      <c r="BC133" t="n">
        <v>30</v>
      </c>
      <c r="BD133" t="n">
        <v>30</v>
      </c>
      <c r="BE133" t="n">
        <v>67</v>
      </c>
      <c r="BF133" t="n">
        <v>67</v>
      </c>
      <c r="BG133" s="72" t="inlineStr">
        <is>
          <t> </t>
        </is>
      </c>
      <c r="BH133" t="n">
        <v>62691</v>
      </c>
      <c r="BI133" t="inlineStr">
        <is>
          <t>0014</t>
        </is>
      </c>
      <c r="BJ133" t="n">
        <v>2011</v>
      </c>
      <c r="BM133" s="72" t="inlineStr">
        <is>
          <t> </t>
        </is>
      </c>
      <c r="BN133" t="n">
        <v>60872</v>
      </c>
      <c r="BO133" t="inlineStr">
        <is>
          <t>0014</t>
        </is>
      </c>
      <c r="BP133" t="n">
        <v>2011</v>
      </c>
      <c r="BS133" s="72" t="inlineStr">
        <is>
          <t> </t>
        </is>
      </c>
      <c r="BT133" t="n">
        <v>100961</v>
      </c>
      <c r="BU133" t="inlineStr">
        <is>
          <t>0014</t>
        </is>
      </c>
      <c r="BV133" t="n">
        <v>2011</v>
      </c>
      <c r="BY133" s="72" t="inlineStr">
        <is>
          <t> </t>
        </is>
      </c>
      <c r="BZ133" t="n">
        <v>523290</v>
      </c>
      <c r="CA133" t="inlineStr">
        <is>
          <t>0014</t>
        </is>
      </c>
      <c r="CB133" t="n">
        <v>2011</v>
      </c>
      <c r="CE133" s="72" t="inlineStr">
        <is>
          <t> </t>
        </is>
      </c>
      <c r="CF133" t="n">
        <v>99870</v>
      </c>
      <c r="CG133" t="inlineStr">
        <is>
          <t>0014</t>
        </is>
      </c>
      <c r="CH133" t="n">
        <v>2011</v>
      </c>
      <c r="CK133" s="72" t="inlineStr">
        <is>
          <t> </t>
        </is>
      </c>
      <c r="CL133" t="n">
        <v>100806</v>
      </c>
      <c r="CM133" t="inlineStr">
        <is>
          <t>0014</t>
        </is>
      </c>
      <c r="CN133" t="n">
        <v>2011</v>
      </c>
    </row>
    <row r="134">
      <c r="A134" t="n">
        <v>77221935</v>
      </c>
      <c r="B134" s="3" t="inlineStr">
        <is>
          <t>Цистерна для перевозки продуктов</t>
        </is>
      </c>
      <c r="C134" t="inlineStr">
        <is>
          <t>15-150-04П</t>
        </is>
      </c>
      <c r="D134" t="inlineStr">
        <is>
          <t>31.08.2011</t>
        </is>
      </c>
      <c r="E134" t="n">
        <v>2011</v>
      </c>
      <c r="F134" t="inlineStr">
        <is>
          <t>31.08.2043</t>
        </is>
      </c>
      <c r="G134" t="inlineStr">
        <is>
          <t>19.02.2023</t>
        </is>
      </c>
      <c r="H134" t="inlineStr">
        <is>
          <t>ВРД Кочетовка – филиал ООО "НВК"</t>
        </is>
      </c>
      <c r="I134" t="inlineStr">
        <is>
          <t>13.03.2026</t>
        </is>
      </c>
      <c r="J134" t="inlineStr">
        <is>
          <t>Усть-Каменогорское ВРД</t>
        </is>
      </c>
      <c r="K134" t="inlineStr">
        <is>
          <t>Деповской</t>
        </is>
      </c>
      <c r="L134" t="inlineStr">
        <is>
          <t>13.03.2029</t>
        </is>
      </c>
      <c r="M134" t="inlineStr">
        <is>
          <t>ООО "ТрансАльянс Запад"</t>
        </is>
      </c>
      <c r="N134" t="n">
        <v>160000</v>
      </c>
      <c r="O134" t="n">
        <v>8959</v>
      </c>
      <c r="P134" t="n">
        <v>151041</v>
      </c>
      <c r="Q134" t="inlineStr">
        <is>
          <t>12.09.2032</t>
        </is>
      </c>
      <c r="R134" t="inlineStr">
        <is>
          <t>13.03.2026</t>
        </is>
      </c>
      <c r="S134" s="72" t="inlineStr">
        <is>
          <t> </t>
        </is>
      </c>
      <c r="T134" t="n">
        <v>830297</v>
      </c>
      <c r="U134" t="inlineStr">
        <is>
          <t>0029</t>
        </is>
      </c>
      <c r="V134" t="n">
        <v>2010</v>
      </c>
      <c r="W134" t="n">
        <v>745</v>
      </c>
      <c r="X134" t="inlineStr">
        <is>
          <t>мар.26</t>
        </is>
      </c>
      <c r="Y134" t="n">
        <v>0</v>
      </c>
      <c r="Z134" t="n">
        <v>0</v>
      </c>
      <c r="AA134" t="n">
        <v>61</v>
      </c>
      <c r="AB134" t="n">
        <v>61</v>
      </c>
      <c r="AC134" s="72" t="inlineStr">
        <is>
          <t> </t>
        </is>
      </c>
      <c r="AD134" t="n">
        <v>222729</v>
      </c>
      <c r="AE134" t="inlineStr">
        <is>
          <t>0005</t>
        </is>
      </c>
      <c r="AF134" t="n">
        <v>2011</v>
      </c>
      <c r="AG134" t="n">
        <v>745</v>
      </c>
      <c r="AH134" t="inlineStr">
        <is>
          <t>мар.26</t>
        </is>
      </c>
      <c r="AI134" t="n">
        <v>0</v>
      </c>
      <c r="AJ134" t="n">
        <v>0</v>
      </c>
      <c r="AK134" t="n">
        <v>60</v>
      </c>
      <c r="AL134" t="n">
        <v>60</v>
      </c>
      <c r="AM134" s="72" t="inlineStr">
        <is>
          <t> </t>
        </is>
      </c>
      <c r="AN134" t="n">
        <v>100873</v>
      </c>
      <c r="AO134" t="inlineStr">
        <is>
          <t>0029</t>
        </is>
      </c>
      <c r="AP134" t="n">
        <v>1987</v>
      </c>
      <c r="AQ134" t="n">
        <v>745</v>
      </c>
      <c r="AR134" t="inlineStr">
        <is>
          <t>мар.26</t>
        </is>
      </c>
      <c r="AS134" t="n">
        <v>0</v>
      </c>
      <c r="AT134" t="n">
        <v>0</v>
      </c>
      <c r="AU134" t="n">
        <v>56</v>
      </c>
      <c r="AV134" t="n">
        <v>56</v>
      </c>
      <c r="AW134" s="72" t="inlineStr">
        <is>
          <t> </t>
        </is>
      </c>
      <c r="AX134" t="n">
        <v>19221</v>
      </c>
      <c r="AY134" t="inlineStr">
        <is>
          <t>0039</t>
        </is>
      </c>
      <c r="AZ134" t="n">
        <v>1982</v>
      </c>
      <c r="BA134" t="n">
        <v>745</v>
      </c>
      <c r="BB134" t="inlineStr">
        <is>
          <t>мар.26</t>
        </is>
      </c>
      <c r="BC134" t="n">
        <v>0</v>
      </c>
      <c r="BD134" t="n">
        <v>0</v>
      </c>
      <c r="BE134" t="n">
        <v>58</v>
      </c>
      <c r="BF134" t="n">
        <v>58</v>
      </c>
      <c r="BG134" s="72" t="inlineStr">
        <is>
          <t> </t>
        </is>
      </c>
      <c r="BH134" t="n">
        <v>37211</v>
      </c>
      <c r="BI134" t="inlineStr">
        <is>
          <t>0005</t>
        </is>
      </c>
      <c r="BJ134" t="n">
        <v>2011</v>
      </c>
      <c r="BM134" s="72" t="inlineStr">
        <is>
          <t> </t>
        </is>
      </c>
      <c r="BN134" t="n">
        <v>37409</v>
      </c>
      <c r="BO134" t="inlineStr">
        <is>
          <t>0005</t>
        </is>
      </c>
      <c r="BP134" t="n">
        <v>2011</v>
      </c>
      <c r="BS134" s="72" t="inlineStr">
        <is>
          <t> </t>
        </is>
      </c>
      <c r="BT134" t="n">
        <v>65759</v>
      </c>
      <c r="BU134" t="inlineStr">
        <is>
          <t>0005</t>
        </is>
      </c>
      <c r="BV134" t="n">
        <v>2011</v>
      </c>
      <c r="BY134" s="72" t="inlineStr">
        <is>
          <t> </t>
        </is>
      </c>
      <c r="BZ134" t="n">
        <v>65396</v>
      </c>
      <c r="CA134" t="inlineStr">
        <is>
          <t>0005</t>
        </is>
      </c>
      <c r="CB134" t="n">
        <v>2011</v>
      </c>
      <c r="CE134" s="72" t="inlineStr">
        <is>
          <t> </t>
        </is>
      </c>
      <c r="CF134" t="n">
        <v>66010</v>
      </c>
      <c r="CG134" t="inlineStr">
        <is>
          <t>0005</t>
        </is>
      </c>
      <c r="CH134" t="n">
        <v>2011</v>
      </c>
      <c r="CK134" s="72" t="inlineStr">
        <is>
          <t> </t>
        </is>
      </c>
      <c r="CL134" t="n">
        <v>66006</v>
      </c>
      <c r="CM134" t="inlineStr">
        <is>
          <t>0005</t>
        </is>
      </c>
      <c r="CN134" t="n">
        <v>2011</v>
      </c>
    </row>
    <row r="135">
      <c r="A135" t="n">
        <v>77221836</v>
      </c>
      <c r="B135" s="3" t="inlineStr">
        <is>
          <t>Цистерна для перевозки продуктов</t>
        </is>
      </c>
      <c r="C135" t="inlineStr">
        <is>
          <t>15-150-04П</t>
        </is>
      </c>
      <c r="D135" t="inlineStr">
        <is>
          <t>30.08.2011</t>
        </is>
      </c>
      <c r="E135" t="n">
        <v>2011</v>
      </c>
      <c r="F135" t="inlineStr">
        <is>
          <t>30.08.2043</t>
        </is>
      </c>
      <c r="G135" t="inlineStr">
        <is>
          <t>18.02.2023</t>
        </is>
      </c>
      <c r="H135" t="inlineStr">
        <is>
          <t>ВРД Кочетовка – филиал ООО "НВК"</t>
        </is>
      </c>
      <c r="I135" t="inlineStr">
        <is>
          <t>14.03.2026</t>
        </is>
      </c>
      <c r="J135" t="inlineStr">
        <is>
          <t>Усть-Каменогорское ВРД</t>
        </is>
      </c>
      <c r="K135" t="inlineStr">
        <is>
          <t>Деповской</t>
        </is>
      </c>
      <c r="L135" t="inlineStr">
        <is>
          <t>14.03.2029</t>
        </is>
      </c>
      <c r="M135" t="inlineStr">
        <is>
          <t>ООО "ТрансАльянс Запад"</t>
        </is>
      </c>
      <c r="N135" t="n">
        <v>160000</v>
      </c>
      <c r="O135" t="n">
        <v>7963</v>
      </c>
      <c r="P135" t="n">
        <v>152037</v>
      </c>
      <c r="Q135" t="inlineStr">
        <is>
          <t>17.06.2033</t>
        </is>
      </c>
      <c r="R135" t="inlineStr">
        <is>
          <t>14.03.2026</t>
        </is>
      </c>
      <c r="S135" s="72" t="inlineStr">
        <is>
          <t> </t>
        </is>
      </c>
      <c r="T135" t="n">
        <v>267359</v>
      </c>
      <c r="U135" t="inlineStr">
        <is>
          <t>0005</t>
        </is>
      </c>
      <c r="V135" t="n">
        <v>2011</v>
      </c>
      <c r="W135" t="n">
        <v>745</v>
      </c>
      <c r="X135" t="inlineStr">
        <is>
          <t>мар.26</t>
        </is>
      </c>
      <c r="Y135" t="n">
        <v>0</v>
      </c>
      <c r="Z135" t="n">
        <v>0</v>
      </c>
      <c r="AA135" t="n">
        <v>68</v>
      </c>
      <c r="AB135" t="n">
        <v>68</v>
      </c>
      <c r="AC135" s="72" t="inlineStr">
        <is>
          <t> </t>
        </is>
      </c>
      <c r="AD135" t="n">
        <v>869698</v>
      </c>
      <c r="AE135" t="inlineStr">
        <is>
          <t>0029</t>
        </is>
      </c>
      <c r="AF135" t="n">
        <v>2010</v>
      </c>
      <c r="AG135" t="n">
        <v>745</v>
      </c>
      <c r="AH135" t="inlineStr">
        <is>
          <t>мар.26</t>
        </is>
      </c>
      <c r="AI135" t="n">
        <v>0</v>
      </c>
      <c r="AJ135" t="n">
        <v>0</v>
      </c>
      <c r="AK135" t="n">
        <v>67</v>
      </c>
      <c r="AL135" t="n">
        <v>67</v>
      </c>
      <c r="AM135" s="72" t="inlineStr">
        <is>
          <t> </t>
        </is>
      </c>
      <c r="AN135" t="n">
        <v>25551</v>
      </c>
      <c r="AO135" t="n">
        <v>1175</v>
      </c>
      <c r="AP135" t="n">
        <v>2009</v>
      </c>
      <c r="AQ135" t="n">
        <v>745</v>
      </c>
      <c r="AR135" t="inlineStr">
        <is>
          <t>мар.26</t>
        </is>
      </c>
      <c r="AS135" t="n">
        <v>0</v>
      </c>
      <c r="AT135" t="n">
        <v>0</v>
      </c>
      <c r="AU135" t="n">
        <v>67</v>
      </c>
      <c r="AV135" t="n">
        <v>67</v>
      </c>
      <c r="AW135" s="72" t="inlineStr">
        <is>
          <t> </t>
        </is>
      </c>
      <c r="AX135" t="n">
        <v>984025</v>
      </c>
      <c r="AY135" t="inlineStr">
        <is>
          <t>0029</t>
        </is>
      </c>
      <c r="AZ135" t="n">
        <v>2011</v>
      </c>
      <c r="BA135" t="n">
        <v>745</v>
      </c>
      <c r="BB135" t="inlineStr">
        <is>
          <t>мар.26</t>
        </is>
      </c>
      <c r="BC135" t="n">
        <v>0</v>
      </c>
      <c r="BD135" t="n">
        <v>0</v>
      </c>
      <c r="BE135" t="n">
        <v>61</v>
      </c>
      <c r="BF135" t="n">
        <v>61</v>
      </c>
      <c r="BG135" s="72" t="inlineStr">
        <is>
          <t> </t>
        </is>
      </c>
      <c r="BH135" t="n">
        <v>37222</v>
      </c>
      <c r="BI135" t="inlineStr">
        <is>
          <t>0005</t>
        </is>
      </c>
      <c r="BJ135" t="n">
        <v>2011</v>
      </c>
      <c r="BM135" s="72" t="inlineStr">
        <is>
          <t> </t>
        </is>
      </c>
      <c r="BN135" t="n">
        <v>36942</v>
      </c>
      <c r="BO135" t="inlineStr">
        <is>
          <t>0005</t>
        </is>
      </c>
      <c r="BP135" t="n">
        <v>2011</v>
      </c>
      <c r="BS135" s="72" t="inlineStr">
        <is>
          <t> </t>
        </is>
      </c>
      <c r="BT135" t="n">
        <v>65808</v>
      </c>
      <c r="BU135" t="inlineStr">
        <is>
          <t>0005</t>
        </is>
      </c>
      <c r="BV135" t="n">
        <v>2011</v>
      </c>
      <c r="BY135" s="72" t="inlineStr">
        <is>
          <t> </t>
        </is>
      </c>
      <c r="BZ135" t="n">
        <v>65567</v>
      </c>
      <c r="CA135" t="inlineStr">
        <is>
          <t>0005</t>
        </is>
      </c>
      <c r="CB135" t="n">
        <v>2011</v>
      </c>
      <c r="CE135" s="72" t="inlineStr">
        <is>
          <t> </t>
        </is>
      </c>
      <c r="CF135" t="n">
        <v>65229</v>
      </c>
      <c r="CG135" t="inlineStr">
        <is>
          <t>0005</t>
        </is>
      </c>
      <c r="CH135" t="n">
        <v>2011</v>
      </c>
      <c r="CK135" s="72" t="inlineStr">
        <is>
          <t> </t>
        </is>
      </c>
      <c r="CL135" t="n">
        <v>65970</v>
      </c>
      <c r="CM135" t="inlineStr">
        <is>
          <t>0005</t>
        </is>
      </c>
      <c r="CN135" t="n">
        <v>2011</v>
      </c>
    </row>
    <row r="136">
      <c r="A136" t="n">
        <v>77227023</v>
      </c>
      <c r="B136" s="3" t="inlineStr">
        <is>
          <t>Цистерна для перевозки продуктов</t>
        </is>
      </c>
      <c r="C136" t="inlineStr">
        <is>
          <t>15-150-04П</t>
        </is>
      </c>
      <c r="D136" t="inlineStr">
        <is>
          <t>28.02.2012</t>
        </is>
      </c>
      <c r="E136" t="n">
        <v>2012</v>
      </c>
      <c r="F136" t="inlineStr">
        <is>
          <t>28.02.2044</t>
        </is>
      </c>
      <c r="G136" t="inlineStr">
        <is>
          <t>14.09.2022</t>
        </is>
      </c>
      <c r="H136" t="inlineStr">
        <is>
          <t>ВЧД Унеча-ООО "НВК"</t>
        </is>
      </c>
      <c r="I136" t="inlineStr">
        <is>
          <t>30.10.2025</t>
        </is>
      </c>
      <c r="J136" t="inlineStr">
        <is>
          <t>Орский ВРЗ-филиал ООО "НВК"</t>
        </is>
      </c>
      <c r="K136" t="inlineStr">
        <is>
          <t>Деповской</t>
        </is>
      </c>
      <c r="L136" t="inlineStr">
        <is>
          <t>30.10.2028</t>
        </is>
      </c>
      <c r="M136" t="inlineStr">
        <is>
          <t>ООО "ТрансАльянс Запад"</t>
        </is>
      </c>
      <c r="N136" t="n">
        <v>160000</v>
      </c>
      <c r="O136" t="n">
        <v>24402</v>
      </c>
      <c r="P136" t="n">
        <v>135598</v>
      </c>
      <c r="Q136" t="inlineStr">
        <is>
          <t>16.08.2030</t>
        </is>
      </c>
      <c r="R136" t="inlineStr">
        <is>
          <t>30.10.2025</t>
        </is>
      </c>
      <c r="S136" s="72" t="inlineStr">
        <is>
          <t> </t>
        </is>
      </c>
      <c r="T136" t="n">
        <v>122762</v>
      </c>
      <c r="U136" t="inlineStr">
        <is>
          <t>0005</t>
        </is>
      </c>
      <c r="V136" t="n">
        <v>2012</v>
      </c>
      <c r="W136" t="n">
        <v>2348</v>
      </c>
      <c r="X136" t="inlineStr">
        <is>
          <t>окт.25</t>
        </is>
      </c>
      <c r="Y136" t="n">
        <v>30</v>
      </c>
      <c r="Z136" t="n">
        <v>30</v>
      </c>
      <c r="AA136" t="n">
        <v>42</v>
      </c>
      <c r="AB136" t="n">
        <v>43</v>
      </c>
      <c r="AC136" s="72" t="inlineStr">
        <is>
          <t> </t>
        </is>
      </c>
      <c r="AD136" t="n">
        <v>122454</v>
      </c>
      <c r="AE136" t="inlineStr">
        <is>
          <t>0005</t>
        </is>
      </c>
      <c r="AF136" t="n">
        <v>2012</v>
      </c>
      <c r="AG136" t="n">
        <v>2348</v>
      </c>
      <c r="AH136" t="inlineStr">
        <is>
          <t>окт.25</t>
        </is>
      </c>
      <c r="AI136" t="n">
        <v>30</v>
      </c>
      <c r="AJ136" t="n">
        <v>30</v>
      </c>
      <c r="AK136" t="n">
        <v>41</v>
      </c>
      <c r="AL136" t="n">
        <v>41</v>
      </c>
      <c r="AM136" s="72" t="inlineStr">
        <is>
          <t> </t>
        </is>
      </c>
      <c r="AN136" t="n">
        <v>896510</v>
      </c>
      <c r="AO136" t="inlineStr">
        <is>
          <t>0005</t>
        </is>
      </c>
      <c r="AP136" t="n">
        <v>2018</v>
      </c>
      <c r="AQ136" t="n">
        <v>2348</v>
      </c>
      <c r="AR136" t="inlineStr">
        <is>
          <t>окт.25</t>
        </is>
      </c>
      <c r="AS136" t="n">
        <v>30</v>
      </c>
      <c r="AT136" t="n">
        <v>30</v>
      </c>
      <c r="AU136" t="n">
        <v>43</v>
      </c>
      <c r="AV136" t="n">
        <v>42</v>
      </c>
      <c r="AW136" s="72" t="inlineStr">
        <is>
          <t> </t>
        </is>
      </c>
      <c r="AX136" t="n">
        <v>285730</v>
      </c>
      <c r="AY136" t="inlineStr">
        <is>
          <t>0005</t>
        </is>
      </c>
      <c r="AZ136" t="n">
        <v>2011</v>
      </c>
      <c r="BA136" t="n">
        <v>2348</v>
      </c>
      <c r="BB136" t="inlineStr">
        <is>
          <t>окт.25</t>
        </is>
      </c>
      <c r="BC136" t="n">
        <v>30</v>
      </c>
      <c r="BD136" t="n">
        <v>30</v>
      </c>
      <c r="BE136" t="n">
        <v>43</v>
      </c>
      <c r="BF136" t="n">
        <v>43</v>
      </c>
      <c r="BG136" s="72" t="inlineStr">
        <is>
          <t> </t>
        </is>
      </c>
      <c r="BH136" t="n">
        <v>7199</v>
      </c>
      <c r="BI136" t="inlineStr">
        <is>
          <t>0014</t>
        </is>
      </c>
      <c r="BJ136" t="n">
        <v>2012</v>
      </c>
      <c r="BM136" s="72" t="inlineStr">
        <is>
          <t> </t>
        </is>
      </c>
      <c r="BN136" t="n">
        <v>6254</v>
      </c>
      <c r="BO136" t="inlineStr">
        <is>
          <t>0014</t>
        </is>
      </c>
      <c r="BP136" t="n">
        <v>2012</v>
      </c>
      <c r="BS136" s="72" t="inlineStr">
        <is>
          <t> </t>
        </is>
      </c>
      <c r="BT136" t="n">
        <v>10070</v>
      </c>
      <c r="BU136" t="inlineStr">
        <is>
          <t>0014</t>
        </is>
      </c>
      <c r="BV136" t="n">
        <v>2012</v>
      </c>
      <c r="BY136" s="72" t="inlineStr">
        <is>
          <t> </t>
        </is>
      </c>
      <c r="BZ136" t="n">
        <v>13980</v>
      </c>
      <c r="CA136" t="inlineStr">
        <is>
          <t>0014</t>
        </is>
      </c>
      <c r="CB136" t="n">
        <v>2012</v>
      </c>
      <c r="CE136" s="72" t="inlineStr">
        <is>
          <t> </t>
        </is>
      </c>
      <c r="CF136" t="n">
        <v>3829</v>
      </c>
      <c r="CG136" t="inlineStr">
        <is>
          <t>0014</t>
        </is>
      </c>
      <c r="CH136" t="n">
        <v>2012</v>
      </c>
      <c r="CK136" s="72" t="inlineStr">
        <is>
          <t> </t>
        </is>
      </c>
      <c r="CL136" t="n">
        <v>500600</v>
      </c>
      <c r="CM136" t="inlineStr">
        <is>
          <t>0014</t>
        </is>
      </c>
      <c r="CN136" t="n">
        <v>2012</v>
      </c>
    </row>
    <row r="137">
      <c r="A137" t="n">
        <v>77221877</v>
      </c>
      <c r="B137" s="3" t="inlineStr">
        <is>
          <t>Цистерна для перевозки продуктов</t>
        </is>
      </c>
      <c r="C137" t="inlineStr">
        <is>
          <t>15-5103-7П</t>
        </is>
      </c>
      <c r="D137" t="inlineStr">
        <is>
          <t>05.09.2011</t>
        </is>
      </c>
      <c r="E137" t="n">
        <v>2011</v>
      </c>
      <c r="F137" t="inlineStr">
        <is>
          <t>05.09.2043</t>
        </is>
      </c>
      <c r="G137" t="inlineStr">
        <is>
          <t>18.02.2023</t>
        </is>
      </c>
      <c r="H137" t="inlineStr">
        <is>
          <t>ВРД Кочетовка – филиал ООО "НВК"</t>
        </is>
      </c>
      <c r="I137" t="inlineStr">
        <is>
          <t>10.03.2026</t>
        </is>
      </c>
      <c r="J137" t="inlineStr">
        <is>
          <t>Усть-Каменогорское ВРД</t>
        </is>
      </c>
      <c r="K137" t="inlineStr">
        <is>
          <t>Деповской</t>
        </is>
      </c>
      <c r="L137" t="inlineStr">
        <is>
          <t>10.03.2029</t>
        </is>
      </c>
      <c r="M137" t="inlineStr">
        <is>
          <t>ООО "ТрансАльянс Запад"</t>
        </is>
      </c>
      <c r="N137" t="n">
        <v>160000</v>
      </c>
      <c r="O137" t="n">
        <v>8799</v>
      </c>
      <c r="P137" t="n">
        <v>151201</v>
      </c>
      <c r="Q137" t="inlineStr">
        <is>
          <t>16.12.2032</t>
        </is>
      </c>
      <c r="R137" t="inlineStr">
        <is>
          <t>10.03.2026</t>
        </is>
      </c>
      <c r="S137" s="72" t="inlineStr">
        <is>
          <t> </t>
        </is>
      </c>
      <c r="T137" t="n">
        <v>1192</v>
      </c>
      <c r="U137" t="inlineStr">
        <is>
          <t>0119</t>
        </is>
      </c>
      <c r="V137" t="n">
        <v>2012</v>
      </c>
      <c r="W137" t="n">
        <v>745</v>
      </c>
      <c r="X137" t="inlineStr">
        <is>
          <t>мар.26</t>
        </is>
      </c>
      <c r="Y137" t="n">
        <v>0</v>
      </c>
      <c r="Z137" t="n">
        <v>0</v>
      </c>
      <c r="AA137" t="n">
        <v>62</v>
      </c>
      <c r="AB137" t="n">
        <v>62</v>
      </c>
      <c r="AC137" s="72" t="inlineStr">
        <is>
          <t> </t>
        </is>
      </c>
      <c r="AD137" t="n">
        <v>25136</v>
      </c>
      <c r="AE137" t="inlineStr">
        <is>
          <t>0005</t>
        </is>
      </c>
      <c r="AF137" t="n">
        <v>2002</v>
      </c>
      <c r="AG137" t="n">
        <v>745</v>
      </c>
      <c r="AH137" t="inlineStr">
        <is>
          <t>мар.26</t>
        </is>
      </c>
      <c r="AI137" t="n">
        <v>0</v>
      </c>
      <c r="AJ137" t="n">
        <v>0</v>
      </c>
      <c r="AK137" t="n">
        <v>64</v>
      </c>
      <c r="AL137" t="n">
        <v>64</v>
      </c>
      <c r="AM137" s="72" t="inlineStr">
        <is>
          <t> </t>
        </is>
      </c>
      <c r="AN137" t="n">
        <v>395510</v>
      </c>
      <c r="AO137" t="inlineStr">
        <is>
          <t>0005</t>
        </is>
      </c>
      <c r="AP137" t="n">
        <v>2013</v>
      </c>
      <c r="AQ137" t="n">
        <v>745</v>
      </c>
      <c r="AR137" t="inlineStr">
        <is>
          <t>мар.26</t>
        </is>
      </c>
      <c r="AS137" t="n">
        <v>0</v>
      </c>
      <c r="AT137" t="n">
        <v>0</v>
      </c>
      <c r="AU137" t="n">
        <v>53</v>
      </c>
      <c r="AV137" t="n">
        <v>53</v>
      </c>
      <c r="AW137" s="72" t="inlineStr">
        <is>
          <t> </t>
        </is>
      </c>
      <c r="AX137" t="n">
        <v>115</v>
      </c>
      <c r="AY137" t="n">
        <v>1175</v>
      </c>
      <c r="AZ137" t="n">
        <v>2012</v>
      </c>
      <c r="BA137" t="n">
        <v>745</v>
      </c>
      <c r="BB137" t="inlineStr">
        <is>
          <t>мар.26</t>
        </is>
      </c>
      <c r="BC137" t="n">
        <v>0</v>
      </c>
      <c r="BD137" t="n">
        <v>0</v>
      </c>
      <c r="BE137" t="n">
        <v>51</v>
      </c>
      <c r="BF137" t="n">
        <v>51</v>
      </c>
      <c r="BG137" s="72" t="inlineStr">
        <is>
          <t> </t>
        </is>
      </c>
      <c r="BH137" t="n">
        <v>37470</v>
      </c>
      <c r="BI137" t="inlineStr">
        <is>
          <t>0005</t>
        </is>
      </c>
      <c r="BJ137" t="n">
        <v>2011</v>
      </c>
      <c r="BM137" s="72" t="inlineStr">
        <is>
          <t> </t>
        </is>
      </c>
      <c r="BN137" t="n">
        <v>37074</v>
      </c>
      <c r="BO137" t="inlineStr">
        <is>
          <t>0005</t>
        </is>
      </c>
      <c r="BP137" t="n">
        <v>2011</v>
      </c>
      <c r="BS137" s="72" t="inlineStr">
        <is>
          <t> </t>
        </is>
      </c>
      <c r="BT137" t="n">
        <v>65602</v>
      </c>
      <c r="BU137" t="inlineStr">
        <is>
          <t>0005</t>
        </is>
      </c>
      <c r="BV137" t="n">
        <v>2011</v>
      </c>
      <c r="BY137" s="72" t="inlineStr">
        <is>
          <t> </t>
        </is>
      </c>
      <c r="BZ137" t="n">
        <v>66173</v>
      </c>
      <c r="CA137" t="inlineStr">
        <is>
          <t>0005</t>
        </is>
      </c>
      <c r="CB137" t="n">
        <v>2011</v>
      </c>
      <c r="CE137" s="72" t="inlineStr">
        <is>
          <t> </t>
        </is>
      </c>
      <c r="CF137" t="n">
        <v>65929</v>
      </c>
      <c r="CG137" t="inlineStr">
        <is>
          <t>0005</t>
        </is>
      </c>
      <c r="CH137" t="n">
        <v>2011</v>
      </c>
      <c r="CK137" s="72" t="inlineStr">
        <is>
          <t> </t>
        </is>
      </c>
      <c r="CL137" t="n">
        <v>65990</v>
      </c>
      <c r="CM137" t="inlineStr">
        <is>
          <t>0005</t>
        </is>
      </c>
      <c r="CN137" t="n">
        <v>2011</v>
      </c>
    </row>
    <row r="138">
      <c r="A138" t="n">
        <v>77228906</v>
      </c>
      <c r="B138" s="3" t="inlineStr">
        <is>
          <t>Цистерна для перевозки продуктов</t>
        </is>
      </c>
      <c r="C138" t="inlineStr">
        <is>
          <t>15-150-04П</t>
        </is>
      </c>
      <c r="D138" t="inlineStr">
        <is>
          <t>22.01.2015</t>
        </is>
      </c>
      <c r="E138" t="n">
        <v>2015</v>
      </c>
      <c r="F138" t="inlineStr">
        <is>
          <t>22.01.2047</t>
        </is>
      </c>
      <c r="G138" t="inlineStr">
        <is>
          <t>17.09.2025</t>
        </is>
      </c>
      <c r="H138" t="inlineStr">
        <is>
          <t>Орский ВРЗ-филиал ООО "НВК"</t>
        </is>
      </c>
      <c r="K138" t="inlineStr">
        <is>
          <t>Капитальный</t>
        </is>
      </c>
      <c r="L138" t="inlineStr">
        <is>
          <t>17.09.2028</t>
        </is>
      </c>
      <c r="M138" t="inlineStr">
        <is>
          <t>ООО "ТрансАльянс Запад"</t>
        </is>
      </c>
      <c r="N138" t="n">
        <v>160000</v>
      </c>
      <c r="O138" t="n">
        <v>35271</v>
      </c>
      <c r="P138" t="n">
        <v>124729</v>
      </c>
      <c r="Q138" t="inlineStr">
        <is>
          <t>24.07.2029</t>
        </is>
      </c>
      <c r="R138" t="inlineStr">
        <is>
          <t>17.09.2025</t>
        </is>
      </c>
      <c r="S138" s="72" t="inlineStr">
        <is>
          <t> </t>
        </is>
      </c>
      <c r="T138" t="n">
        <v>300626</v>
      </c>
      <c r="U138" t="inlineStr">
        <is>
          <t>0005</t>
        </is>
      </c>
      <c r="V138" t="n">
        <v>2015</v>
      </c>
      <c r="W138" t="n">
        <v>2348</v>
      </c>
      <c r="X138" t="inlineStr">
        <is>
          <t>сен.25</t>
        </is>
      </c>
      <c r="Y138" t="n">
        <v>30</v>
      </c>
      <c r="Z138" t="n">
        <v>30</v>
      </c>
      <c r="AA138" t="n">
        <v>41</v>
      </c>
      <c r="AB138" t="n">
        <v>41</v>
      </c>
      <c r="AC138" s="72" t="inlineStr">
        <is>
          <t> </t>
        </is>
      </c>
      <c r="AD138" t="n">
        <v>301188</v>
      </c>
      <c r="AE138" t="inlineStr">
        <is>
          <t>0005</t>
        </is>
      </c>
      <c r="AF138" t="n">
        <v>2015</v>
      </c>
      <c r="AG138" t="n">
        <v>2348</v>
      </c>
      <c r="AH138" t="inlineStr">
        <is>
          <t>сен.25</t>
        </is>
      </c>
      <c r="AI138" t="n">
        <v>30</v>
      </c>
      <c r="AJ138" t="n">
        <v>30</v>
      </c>
      <c r="AK138" t="n">
        <v>35</v>
      </c>
      <c r="AL138" t="n">
        <v>35</v>
      </c>
      <c r="AM138" s="72" t="inlineStr">
        <is>
          <t> </t>
        </is>
      </c>
      <c r="AN138" t="n">
        <v>300613</v>
      </c>
      <c r="AO138" t="inlineStr">
        <is>
          <t>0005</t>
        </is>
      </c>
      <c r="AP138" t="n">
        <v>2015</v>
      </c>
      <c r="AQ138" t="n">
        <v>2348</v>
      </c>
      <c r="AR138" t="inlineStr">
        <is>
          <t>сен.25</t>
        </is>
      </c>
      <c r="AS138" t="n">
        <v>30</v>
      </c>
      <c r="AT138" t="n">
        <v>30</v>
      </c>
      <c r="AU138" t="n">
        <v>43</v>
      </c>
      <c r="AV138" t="n">
        <v>43</v>
      </c>
      <c r="AW138" s="72" t="inlineStr">
        <is>
          <t> </t>
        </is>
      </c>
      <c r="AX138" t="n">
        <v>301065</v>
      </c>
      <c r="AY138" t="inlineStr">
        <is>
          <t>0005</t>
        </is>
      </c>
      <c r="AZ138" t="n">
        <v>2015</v>
      </c>
      <c r="BA138" t="n">
        <v>2348</v>
      </c>
      <c r="BB138" t="inlineStr">
        <is>
          <t>сен.25</t>
        </is>
      </c>
      <c r="BC138" t="n">
        <v>30</v>
      </c>
      <c r="BD138" t="n">
        <v>30</v>
      </c>
      <c r="BE138" t="n">
        <v>45</v>
      </c>
      <c r="BF138" t="n">
        <v>45</v>
      </c>
      <c r="BG138" s="72" t="inlineStr">
        <is>
          <t> </t>
        </is>
      </c>
      <c r="BH138" t="n">
        <v>35501</v>
      </c>
      <c r="BI138" t="inlineStr">
        <is>
          <t>0005</t>
        </is>
      </c>
      <c r="BJ138" t="n">
        <v>2014</v>
      </c>
      <c r="BM138" s="72" t="inlineStr">
        <is>
          <t> </t>
        </is>
      </c>
      <c r="BN138" t="n">
        <v>35661</v>
      </c>
      <c r="BO138" t="inlineStr">
        <is>
          <t>0005</t>
        </is>
      </c>
      <c r="BP138" t="n">
        <v>2014</v>
      </c>
      <c r="BS138" s="72" t="inlineStr">
        <is>
          <t> </t>
        </is>
      </c>
      <c r="BT138" t="n">
        <v>60458</v>
      </c>
      <c r="BU138" t="inlineStr">
        <is>
          <t>0005</t>
        </is>
      </c>
      <c r="BV138" t="n">
        <v>2014</v>
      </c>
      <c r="BY138" s="72" t="inlineStr">
        <is>
          <t> </t>
        </is>
      </c>
      <c r="BZ138" t="n">
        <v>2311</v>
      </c>
      <c r="CA138" t="inlineStr">
        <is>
          <t>0005</t>
        </is>
      </c>
      <c r="CB138" t="n">
        <v>2015</v>
      </c>
      <c r="CE138" s="72" t="inlineStr">
        <is>
          <t> </t>
        </is>
      </c>
      <c r="CF138" t="n">
        <v>1978</v>
      </c>
      <c r="CG138" t="inlineStr">
        <is>
          <t>0005</t>
        </is>
      </c>
      <c r="CH138" t="n">
        <v>2015</v>
      </c>
      <c r="CK138" s="72" t="inlineStr">
        <is>
          <t> </t>
        </is>
      </c>
      <c r="CL138" t="n">
        <v>287</v>
      </c>
      <c r="CM138" t="inlineStr">
        <is>
          <t>0005</t>
        </is>
      </c>
      <c r="CN138" t="n">
        <v>2015</v>
      </c>
    </row>
    <row r="139">
      <c r="A139" t="n">
        <v>77228930</v>
      </c>
      <c r="B139" s="3" t="inlineStr">
        <is>
          <t>Цистерна для перевозки продуктов</t>
        </is>
      </c>
      <c r="C139" t="inlineStr">
        <is>
          <t>15-150-04П</t>
        </is>
      </c>
      <c r="D139" t="inlineStr">
        <is>
          <t>23.01.2015</t>
        </is>
      </c>
      <c r="E139" t="n">
        <v>2015</v>
      </c>
      <c r="F139" t="inlineStr">
        <is>
          <t>23.01.2047</t>
        </is>
      </c>
      <c r="G139" t="inlineStr">
        <is>
          <t>18.09.2025</t>
        </is>
      </c>
      <c r="H139" t="inlineStr">
        <is>
          <t>Орский ВРЗ-филиал ООО "НВК"</t>
        </is>
      </c>
      <c r="K139" t="inlineStr">
        <is>
          <t>Капитальный</t>
        </is>
      </c>
      <c r="L139" t="inlineStr">
        <is>
          <t>18.09.2028</t>
        </is>
      </c>
      <c r="M139" t="inlineStr">
        <is>
          <t>ООО "ТрансАльянс Запад"</t>
        </is>
      </c>
      <c r="N139" t="n">
        <v>160000</v>
      </c>
      <c r="O139" t="n">
        <v>38196</v>
      </c>
      <c r="P139" t="n">
        <v>121804</v>
      </c>
      <c r="Q139" t="inlineStr">
        <is>
          <t>04.04.2029</t>
        </is>
      </c>
      <c r="R139" t="inlineStr">
        <is>
          <t>18.09.2025</t>
        </is>
      </c>
      <c r="S139" s="72" t="inlineStr">
        <is>
          <t> </t>
        </is>
      </c>
      <c r="T139" t="n">
        <v>300199</v>
      </c>
      <c r="U139" t="inlineStr">
        <is>
          <t>0005</t>
        </is>
      </c>
      <c r="V139" t="n">
        <v>2015</v>
      </c>
      <c r="W139" t="n">
        <v>2348</v>
      </c>
      <c r="X139" t="inlineStr">
        <is>
          <t>сен.25</t>
        </is>
      </c>
      <c r="Y139" t="n">
        <v>33</v>
      </c>
      <c r="Z139" t="n">
        <v>33</v>
      </c>
      <c r="AA139" t="n">
        <v>73</v>
      </c>
      <c r="AB139" t="n">
        <v>73</v>
      </c>
      <c r="AC139" s="72" t="inlineStr">
        <is>
          <t> </t>
        </is>
      </c>
      <c r="AD139" t="n">
        <v>301797</v>
      </c>
      <c r="AE139" t="inlineStr">
        <is>
          <t>0005</t>
        </is>
      </c>
      <c r="AF139" t="n">
        <v>2015</v>
      </c>
      <c r="AG139" t="n">
        <v>2348</v>
      </c>
      <c r="AH139" t="inlineStr">
        <is>
          <t>сен.25</t>
        </is>
      </c>
      <c r="AI139" t="n">
        <v>33</v>
      </c>
      <c r="AJ139" t="n">
        <v>33</v>
      </c>
      <c r="AK139" t="n">
        <v>75</v>
      </c>
      <c r="AL139" t="n">
        <v>75</v>
      </c>
      <c r="AM139" s="72" t="inlineStr">
        <is>
          <t> </t>
        </is>
      </c>
      <c r="AN139" t="n">
        <v>300989</v>
      </c>
      <c r="AO139" t="inlineStr">
        <is>
          <t>0005</t>
        </is>
      </c>
      <c r="AP139" t="n">
        <v>2015</v>
      </c>
      <c r="AQ139" t="n">
        <v>2348</v>
      </c>
      <c r="AR139" t="inlineStr">
        <is>
          <t>сен.25</t>
        </is>
      </c>
      <c r="AS139" t="n">
        <v>33</v>
      </c>
      <c r="AT139" t="n">
        <v>33</v>
      </c>
      <c r="AU139" t="n">
        <v>75</v>
      </c>
      <c r="AV139" t="n">
        <v>75</v>
      </c>
      <c r="AW139" s="72" t="inlineStr">
        <is>
          <t> </t>
        </is>
      </c>
      <c r="AX139" t="n">
        <v>4659</v>
      </c>
      <c r="AY139" t="n">
        <v>1226</v>
      </c>
      <c r="AZ139" t="n">
        <v>2019</v>
      </c>
      <c r="BA139" t="n">
        <v>2348</v>
      </c>
      <c r="BB139" t="inlineStr">
        <is>
          <t>сен.25</t>
        </is>
      </c>
      <c r="BC139" t="n">
        <v>33</v>
      </c>
      <c r="BD139" t="n">
        <v>33</v>
      </c>
      <c r="BE139" t="n">
        <v>76</v>
      </c>
      <c r="BF139" t="n">
        <v>76</v>
      </c>
      <c r="BG139" s="72" t="inlineStr">
        <is>
          <t> </t>
        </is>
      </c>
      <c r="BH139" t="n">
        <v>70</v>
      </c>
      <c r="BI139" t="inlineStr">
        <is>
          <t>0005</t>
        </is>
      </c>
      <c r="BJ139" t="n">
        <v>2015</v>
      </c>
      <c r="BM139" s="72" t="inlineStr">
        <is>
          <t> </t>
        </is>
      </c>
      <c r="BN139" t="n">
        <v>115</v>
      </c>
      <c r="BO139" t="inlineStr">
        <is>
          <t>0005</t>
        </is>
      </c>
      <c r="BP139" t="n">
        <v>2015</v>
      </c>
      <c r="BS139" s="72" t="inlineStr">
        <is>
          <t> </t>
        </is>
      </c>
      <c r="BT139" t="n">
        <v>1756</v>
      </c>
      <c r="BU139" t="inlineStr">
        <is>
          <t>0005</t>
        </is>
      </c>
      <c r="BV139" t="n">
        <v>2015</v>
      </c>
      <c r="BY139" s="72" t="inlineStr">
        <is>
          <t> </t>
        </is>
      </c>
      <c r="BZ139" t="n">
        <v>1381</v>
      </c>
      <c r="CA139" t="inlineStr">
        <is>
          <t>0005</t>
        </is>
      </c>
      <c r="CB139" t="n">
        <v>2015</v>
      </c>
      <c r="CE139" s="72" t="inlineStr">
        <is>
          <t> </t>
        </is>
      </c>
      <c r="CF139" t="n">
        <v>69388</v>
      </c>
      <c r="CG139" t="inlineStr">
        <is>
          <t>0005</t>
        </is>
      </c>
      <c r="CH139" t="n">
        <v>2014</v>
      </c>
      <c r="CK139" s="72" t="inlineStr">
        <is>
          <t> </t>
        </is>
      </c>
      <c r="CL139" t="n">
        <v>69356</v>
      </c>
      <c r="CM139" t="inlineStr">
        <is>
          <t>0005</t>
        </is>
      </c>
      <c r="CN139" t="n">
        <v>2014</v>
      </c>
    </row>
    <row r="140">
      <c r="A140" t="n">
        <v>75165290</v>
      </c>
      <c r="B140" s="3" t="inlineStr">
        <is>
          <t>Цистерна для перевозки продуктов</t>
        </is>
      </c>
      <c r="C140" t="inlineStr">
        <is>
          <t>15-1219-1П</t>
        </is>
      </c>
      <c r="D140" t="inlineStr">
        <is>
          <t>29.09.2020</t>
        </is>
      </c>
      <c r="E140" t="n">
        <v>2020</v>
      </c>
      <c r="F140" t="inlineStr">
        <is>
          <t>29.09.2050</t>
        </is>
      </c>
      <c r="G140" t="inlineStr">
        <is>
          <t>17.11.2025</t>
        </is>
      </c>
      <c r="H140" t="inlineStr">
        <is>
          <t>ВРД Зелецино - филиал ООО "НВК"</t>
        </is>
      </c>
      <c r="K140" t="inlineStr">
        <is>
          <t>Деповской</t>
        </is>
      </c>
      <c r="L140" t="inlineStr">
        <is>
          <t>17.11.2027</t>
        </is>
      </c>
      <c r="M140" t="inlineStr">
        <is>
          <t>ООО "ТрансАльянс Запад"</t>
        </is>
      </c>
      <c r="N140" t="n">
        <v>160000</v>
      </c>
      <c r="O140" t="n">
        <v>27051</v>
      </c>
      <c r="P140" t="n">
        <v>132949</v>
      </c>
      <c r="Q140" t="inlineStr">
        <is>
          <t>29.11.2029</t>
        </is>
      </c>
      <c r="R140" t="inlineStr">
        <is>
          <t>17.11.2025</t>
        </is>
      </c>
      <c r="S140" s="72" t="inlineStr">
        <is>
          <t> </t>
        </is>
      </c>
      <c r="T140" t="n">
        <v>445383</v>
      </c>
      <c r="U140" t="inlineStr">
        <is>
          <t>0005</t>
        </is>
      </c>
      <c r="V140" t="n">
        <v>2020</v>
      </c>
      <c r="W140" t="n">
        <v>1173</v>
      </c>
      <c r="X140" t="inlineStr">
        <is>
          <t>ноя.25</t>
        </is>
      </c>
      <c r="Y140" t="n">
        <v>29</v>
      </c>
      <c r="Z140" t="n">
        <v>30</v>
      </c>
      <c r="AA140" t="n">
        <v>63</v>
      </c>
      <c r="AB140" t="n">
        <v>63</v>
      </c>
      <c r="AC140" s="72" t="inlineStr">
        <is>
          <t> </t>
        </is>
      </c>
      <c r="AD140" t="n">
        <v>446096</v>
      </c>
      <c r="AE140" t="inlineStr">
        <is>
          <t>0005</t>
        </is>
      </c>
      <c r="AF140" t="n">
        <v>2020</v>
      </c>
      <c r="AG140" t="n">
        <v>1173</v>
      </c>
      <c r="AH140" t="inlineStr">
        <is>
          <t>ноя.25</t>
        </is>
      </c>
      <c r="AI140" t="n">
        <v>30</v>
      </c>
      <c r="AJ140" t="n">
        <v>29</v>
      </c>
      <c r="AK140" t="n">
        <v>62</v>
      </c>
      <c r="AL140" t="n">
        <v>63</v>
      </c>
      <c r="AM140" s="72" t="inlineStr">
        <is>
          <t> </t>
        </is>
      </c>
      <c r="AN140" t="n">
        <v>726142</v>
      </c>
      <c r="AO140" t="inlineStr">
        <is>
          <t>0029</t>
        </is>
      </c>
      <c r="AP140" t="n">
        <v>2020</v>
      </c>
      <c r="AQ140" t="n">
        <v>1173</v>
      </c>
      <c r="AR140" t="inlineStr">
        <is>
          <t>ноя.25</t>
        </is>
      </c>
      <c r="AS140" t="n">
        <v>29</v>
      </c>
      <c r="AT140" t="n">
        <v>29</v>
      </c>
      <c r="AU140" t="n">
        <v>61</v>
      </c>
      <c r="AV140" t="n">
        <v>61</v>
      </c>
      <c r="AW140" s="72" t="inlineStr">
        <is>
          <t> </t>
        </is>
      </c>
      <c r="AX140" t="n">
        <v>446061</v>
      </c>
      <c r="AY140" t="inlineStr">
        <is>
          <t>0005</t>
        </is>
      </c>
      <c r="AZ140" t="n">
        <v>2020</v>
      </c>
      <c r="BA140" t="n">
        <v>1173</v>
      </c>
      <c r="BB140" t="inlineStr">
        <is>
          <t>ноя.25</t>
        </is>
      </c>
      <c r="BC140" t="n">
        <v>29</v>
      </c>
      <c r="BD140" t="n">
        <v>29</v>
      </c>
      <c r="BE140" t="n">
        <v>60</v>
      </c>
      <c r="BF140" t="n">
        <v>60</v>
      </c>
      <c r="BG140" s="72" t="inlineStr">
        <is>
          <t> </t>
        </is>
      </c>
      <c r="BH140" t="n">
        <v>24860</v>
      </c>
      <c r="BI140" t="n">
        <v>1275</v>
      </c>
      <c r="BJ140" t="n">
        <v>2020</v>
      </c>
      <c r="BM140" s="72" t="inlineStr">
        <is>
          <t> </t>
        </is>
      </c>
      <c r="BN140" t="n">
        <v>26040</v>
      </c>
      <c r="BO140" t="n">
        <v>1275</v>
      </c>
      <c r="BP140" t="n">
        <v>2020</v>
      </c>
      <c r="BS140" s="72" t="inlineStr">
        <is>
          <t> </t>
        </is>
      </c>
      <c r="BT140" t="n">
        <v>42476</v>
      </c>
      <c r="BU140" t="n">
        <v>1275</v>
      </c>
      <c r="BV140" t="n">
        <v>2020</v>
      </c>
      <c r="BY140" s="72" t="inlineStr">
        <is>
          <t> </t>
        </is>
      </c>
      <c r="BZ140" t="n">
        <v>42176</v>
      </c>
      <c r="CA140" t="n">
        <v>1275</v>
      </c>
      <c r="CB140" t="n">
        <v>2020</v>
      </c>
      <c r="CE140" s="72" t="inlineStr">
        <is>
          <t> </t>
        </is>
      </c>
      <c r="CF140" t="n">
        <v>38813</v>
      </c>
      <c r="CG140" t="n">
        <v>1275</v>
      </c>
      <c r="CH140" t="n">
        <v>2020</v>
      </c>
      <c r="CK140" s="72" t="inlineStr">
        <is>
          <t> </t>
        </is>
      </c>
      <c r="CL140" t="n">
        <v>43822</v>
      </c>
      <c r="CM140" t="n">
        <v>1275</v>
      </c>
      <c r="CN140" t="n">
        <v>2020</v>
      </c>
    </row>
    <row r="141">
      <c r="A141" t="n">
        <v>75189191</v>
      </c>
      <c r="B141" s="3" t="inlineStr">
        <is>
          <t>Цистерна для перевозки продуктов</t>
        </is>
      </c>
      <c r="C141" t="inlineStr">
        <is>
          <t>15-1219-1П</t>
        </is>
      </c>
      <c r="D141" t="inlineStr">
        <is>
          <t>14.10.2020</t>
        </is>
      </c>
      <c r="E141" t="n">
        <v>2020</v>
      </c>
      <c r="F141" t="inlineStr">
        <is>
          <t>14.10.2050</t>
        </is>
      </c>
      <c r="G141" t="inlineStr">
        <is>
          <t>26.11.2025</t>
        </is>
      </c>
      <c r="H141" t="inlineStr">
        <is>
          <t>ВРД Кочетовка – филиал ООО "НВК"</t>
        </is>
      </c>
      <c r="K141" t="inlineStr">
        <is>
          <t>Деповской</t>
        </is>
      </c>
      <c r="L141" t="inlineStr">
        <is>
          <t>26.11.2027</t>
        </is>
      </c>
      <c r="M141" t="inlineStr">
        <is>
          <t>ООО "ТрансАльянс Запад"</t>
        </is>
      </c>
      <c r="N141" t="n">
        <v>160000</v>
      </c>
      <c r="O141" t="n">
        <v>31412</v>
      </c>
      <c r="P141" t="n">
        <v>128588</v>
      </c>
      <c r="Q141" t="inlineStr">
        <is>
          <t>01.04.2029</t>
        </is>
      </c>
      <c r="R141" t="inlineStr">
        <is>
          <t>26.11.2025</t>
        </is>
      </c>
      <c r="S141" s="72" t="inlineStr">
        <is>
          <t> </t>
        </is>
      </c>
      <c r="T141" t="n">
        <v>748775</v>
      </c>
      <c r="U141" t="inlineStr">
        <is>
          <t>0029</t>
        </is>
      </c>
      <c r="V141" t="n">
        <v>2020</v>
      </c>
      <c r="W141" t="n">
        <v>301</v>
      </c>
      <c r="X141" t="inlineStr">
        <is>
          <t>ноя.25</t>
        </is>
      </c>
      <c r="Y141" t="n">
        <v>30</v>
      </c>
      <c r="Z141" t="n">
        <v>30</v>
      </c>
      <c r="AA141" t="n">
        <v>64</v>
      </c>
      <c r="AB141" t="n">
        <v>64</v>
      </c>
      <c r="AC141" s="72" t="inlineStr">
        <is>
          <t> </t>
        </is>
      </c>
      <c r="AD141" t="n">
        <v>9264</v>
      </c>
      <c r="AE141" t="n">
        <v>2002</v>
      </c>
      <c r="AF141" t="n">
        <v>2020</v>
      </c>
      <c r="AG141" t="n">
        <v>301</v>
      </c>
      <c r="AH141" t="inlineStr">
        <is>
          <t>ноя.25</t>
        </is>
      </c>
      <c r="AI141" t="n">
        <v>30</v>
      </c>
      <c r="AJ141" t="n">
        <v>30</v>
      </c>
      <c r="AK141" t="n">
        <v>63</v>
      </c>
      <c r="AL141" t="n">
        <v>63</v>
      </c>
      <c r="AM141" s="72" t="inlineStr">
        <is>
          <t> </t>
        </is>
      </c>
      <c r="AN141" t="n">
        <v>748714</v>
      </c>
      <c r="AO141" t="inlineStr">
        <is>
          <t>0029</t>
        </is>
      </c>
      <c r="AP141" t="n">
        <v>2020</v>
      </c>
      <c r="AQ141" t="n">
        <v>301</v>
      </c>
      <c r="AR141" t="inlineStr">
        <is>
          <t>ноя.25</t>
        </is>
      </c>
      <c r="AS141" t="n">
        <v>31</v>
      </c>
      <c r="AT141" t="n">
        <v>31</v>
      </c>
      <c r="AU141" t="n">
        <v>59</v>
      </c>
      <c r="AV141" t="n">
        <v>59</v>
      </c>
      <c r="AW141" s="72" t="inlineStr">
        <is>
          <t> </t>
        </is>
      </c>
      <c r="AX141" t="n">
        <v>749164</v>
      </c>
      <c r="AY141" t="inlineStr">
        <is>
          <t>0029</t>
        </is>
      </c>
      <c r="AZ141" t="n">
        <v>2020</v>
      </c>
      <c r="BA141" t="n">
        <v>301</v>
      </c>
      <c r="BB141" t="inlineStr">
        <is>
          <t>ноя.25</t>
        </is>
      </c>
      <c r="BC141" t="n">
        <v>30</v>
      </c>
      <c r="BD141" t="n">
        <v>30</v>
      </c>
      <c r="BE141" t="n">
        <v>61</v>
      </c>
      <c r="BF141" t="n">
        <v>61</v>
      </c>
      <c r="BG141" s="72" t="inlineStr">
        <is>
          <t> </t>
        </is>
      </c>
      <c r="BH141" t="n">
        <v>27705</v>
      </c>
      <c r="BI141" t="n">
        <v>1275</v>
      </c>
      <c r="BJ141" t="n">
        <v>2020</v>
      </c>
      <c r="BM141" s="72" t="inlineStr">
        <is>
          <t> </t>
        </is>
      </c>
      <c r="BN141" t="n">
        <v>27531</v>
      </c>
      <c r="BO141" t="n">
        <v>1275</v>
      </c>
      <c r="BP141" t="n">
        <v>2020</v>
      </c>
      <c r="BS141" s="72" t="inlineStr">
        <is>
          <t> </t>
        </is>
      </c>
      <c r="BT141" t="n">
        <v>46815</v>
      </c>
      <c r="BU141" t="n">
        <v>1275</v>
      </c>
      <c r="BV141" t="n">
        <v>2020</v>
      </c>
      <c r="BY141" s="72" t="inlineStr">
        <is>
          <t> </t>
        </is>
      </c>
      <c r="BZ141" t="n">
        <v>46745</v>
      </c>
      <c r="CA141" t="n">
        <v>1275</v>
      </c>
      <c r="CB141" t="n">
        <v>2020</v>
      </c>
      <c r="CE141" s="72" t="inlineStr">
        <is>
          <t> </t>
        </is>
      </c>
      <c r="CF141" t="n">
        <v>46792</v>
      </c>
      <c r="CG141" t="n">
        <v>1275</v>
      </c>
      <c r="CH141" t="n">
        <v>2020</v>
      </c>
      <c r="CK141" s="72" t="inlineStr">
        <is>
          <t> </t>
        </is>
      </c>
      <c r="CL141" t="n">
        <v>46704</v>
      </c>
      <c r="CM141" t="n">
        <v>1275</v>
      </c>
      <c r="CN141" t="n">
        <v>2020</v>
      </c>
    </row>
    <row r="142">
      <c r="A142" t="n">
        <v>75182899</v>
      </c>
      <c r="B142" s="3" t="inlineStr">
        <is>
          <t>Цистерна для перевозки продуктов</t>
        </is>
      </c>
      <c r="C142" t="inlineStr">
        <is>
          <t>15-1219-1П</t>
        </is>
      </c>
      <c r="D142" t="inlineStr">
        <is>
          <t>08.10.2020</t>
        </is>
      </c>
      <c r="E142" t="n">
        <v>2020</v>
      </c>
      <c r="F142" t="inlineStr">
        <is>
          <t>08.10.2050</t>
        </is>
      </c>
      <c r="G142" t="inlineStr">
        <is>
          <t>19.12.2025</t>
        </is>
      </c>
      <c r="H142" t="inlineStr">
        <is>
          <t>ВРД Арчеда ООО "НВК"</t>
        </is>
      </c>
      <c r="K142" t="inlineStr">
        <is>
          <t>Деповской</t>
        </is>
      </c>
      <c r="L142" t="inlineStr">
        <is>
          <t>19.12.2027</t>
        </is>
      </c>
      <c r="M142" t="inlineStr">
        <is>
          <t>ООО "ТрансАльянс Запад"</t>
        </is>
      </c>
      <c r="N142" t="n">
        <v>160000</v>
      </c>
      <c r="O142" t="n">
        <v>18464</v>
      </c>
      <c r="P142" t="n">
        <v>141536</v>
      </c>
      <c r="Q142" t="inlineStr">
        <is>
          <t>11.02.2031</t>
        </is>
      </c>
      <c r="R142" t="inlineStr">
        <is>
          <t>19.12.2025</t>
        </is>
      </c>
      <c r="S142" s="72" t="inlineStr">
        <is>
          <t> </t>
        </is>
      </c>
      <c r="T142" t="n">
        <v>751465</v>
      </c>
      <c r="U142" t="inlineStr">
        <is>
          <t>0029</t>
        </is>
      </c>
      <c r="V142" t="n">
        <v>2020</v>
      </c>
      <c r="W142" t="n">
        <v>771</v>
      </c>
      <c r="X142" t="inlineStr">
        <is>
          <t>дек.25</t>
        </is>
      </c>
      <c r="Y142" t="n">
        <v>29.5</v>
      </c>
      <c r="Z142" t="n">
        <v>29.5</v>
      </c>
      <c r="AA142" t="n">
        <v>59</v>
      </c>
      <c r="AB142" t="n">
        <v>59</v>
      </c>
      <c r="AC142" s="72" t="inlineStr">
        <is>
          <t> </t>
        </is>
      </c>
      <c r="AD142" t="n">
        <v>751214</v>
      </c>
      <c r="AE142" t="inlineStr">
        <is>
          <t>0029</t>
        </is>
      </c>
      <c r="AF142" t="n">
        <v>2020</v>
      </c>
      <c r="AG142" t="n">
        <v>771</v>
      </c>
      <c r="AH142" t="inlineStr">
        <is>
          <t>дек.25</t>
        </is>
      </c>
      <c r="AI142" t="n">
        <v>29.5</v>
      </c>
      <c r="AJ142" t="n">
        <v>29.5</v>
      </c>
      <c r="AK142" t="n">
        <v>55</v>
      </c>
      <c r="AL142" t="n">
        <v>55</v>
      </c>
      <c r="AM142" s="72" t="inlineStr">
        <is>
          <t> </t>
        </is>
      </c>
      <c r="AN142" t="n">
        <v>741919</v>
      </c>
      <c r="AO142" t="inlineStr">
        <is>
          <t>0029</t>
        </is>
      </c>
      <c r="AP142" t="n">
        <v>2020</v>
      </c>
      <c r="AQ142" t="n">
        <v>771</v>
      </c>
      <c r="AR142" t="inlineStr">
        <is>
          <t>дек.25</t>
        </is>
      </c>
      <c r="AS142" t="n">
        <v>29.5</v>
      </c>
      <c r="AT142" t="n">
        <v>29.5</v>
      </c>
      <c r="AU142" t="n">
        <v>53</v>
      </c>
      <c r="AV142" t="n">
        <v>53</v>
      </c>
      <c r="AW142" s="72" t="inlineStr">
        <is>
          <t> </t>
        </is>
      </c>
      <c r="AX142" t="n">
        <v>447584</v>
      </c>
      <c r="AY142" t="inlineStr">
        <is>
          <t>0005</t>
        </is>
      </c>
      <c r="AZ142" t="n">
        <v>2020</v>
      </c>
      <c r="BA142" t="n">
        <v>771</v>
      </c>
      <c r="BB142" t="inlineStr">
        <is>
          <t>дек.25</t>
        </is>
      </c>
      <c r="BC142" t="n">
        <v>29.5</v>
      </c>
      <c r="BD142" t="n">
        <v>29.5</v>
      </c>
      <c r="BE142" t="n">
        <v>54</v>
      </c>
      <c r="BF142" t="n">
        <v>54</v>
      </c>
      <c r="BG142" s="72" t="inlineStr">
        <is>
          <t> </t>
        </is>
      </c>
      <c r="BH142" t="n">
        <v>27150</v>
      </c>
      <c r="BI142" t="n">
        <v>1275</v>
      </c>
      <c r="BJ142" t="n">
        <v>2020</v>
      </c>
      <c r="BM142" s="72" t="inlineStr">
        <is>
          <t> </t>
        </is>
      </c>
      <c r="BN142" t="n">
        <v>26657</v>
      </c>
      <c r="BO142" t="n">
        <v>1275</v>
      </c>
      <c r="BP142" t="n">
        <v>2020</v>
      </c>
      <c r="BS142" s="72" t="inlineStr">
        <is>
          <t> </t>
        </is>
      </c>
      <c r="BT142" t="n">
        <v>43843</v>
      </c>
      <c r="BU142" t="n">
        <v>1275</v>
      </c>
      <c r="BV142" t="n">
        <v>2020</v>
      </c>
      <c r="BY142" s="72" t="inlineStr">
        <is>
          <t> </t>
        </is>
      </c>
      <c r="BZ142" t="n">
        <v>45017</v>
      </c>
      <c r="CA142" t="n">
        <v>1275</v>
      </c>
      <c r="CB142" t="n">
        <v>2020</v>
      </c>
      <c r="CE142" s="72" t="inlineStr">
        <is>
          <t> </t>
        </is>
      </c>
      <c r="CF142" t="n">
        <v>41288</v>
      </c>
      <c r="CG142" t="n">
        <v>1275</v>
      </c>
      <c r="CH142" t="n">
        <v>2020</v>
      </c>
      <c r="CK142" s="72" t="inlineStr">
        <is>
          <t> </t>
        </is>
      </c>
      <c r="CL142" t="n">
        <v>44072</v>
      </c>
      <c r="CM142" t="n">
        <v>1275</v>
      </c>
      <c r="CN142" t="n">
        <v>2020</v>
      </c>
    </row>
    <row r="143">
      <c r="A143" t="n">
        <v>75183095</v>
      </c>
      <c r="B143" s="3" t="inlineStr">
        <is>
          <t>Цистерна для перевозки продуктов</t>
        </is>
      </c>
      <c r="C143" t="inlineStr">
        <is>
          <t>15-1219-1П</t>
        </is>
      </c>
      <c r="D143" t="inlineStr">
        <is>
          <t>08.10.2020</t>
        </is>
      </c>
      <c r="E143" t="n">
        <v>2020</v>
      </c>
      <c r="F143" t="inlineStr">
        <is>
          <t>08.10.2050</t>
        </is>
      </c>
      <c r="G143" t="inlineStr">
        <is>
          <t>29.10.2025</t>
        </is>
      </c>
      <c r="H143" t="inlineStr">
        <is>
          <t>ВРД Зелецино - филиал ООО "НВК"</t>
        </is>
      </c>
      <c r="K143" t="inlineStr">
        <is>
          <t>Деповской</t>
        </is>
      </c>
      <c r="L143" t="inlineStr">
        <is>
          <t>29.10.2027</t>
        </is>
      </c>
      <c r="M143" t="inlineStr">
        <is>
          <t>ООО "ТрансАльянс Запад"</t>
        </is>
      </c>
      <c r="N143" t="n">
        <v>160000</v>
      </c>
      <c r="O143" t="n">
        <v>1903</v>
      </c>
      <c r="P143" t="n">
        <v>158097</v>
      </c>
      <c r="Q143" t="inlineStr">
        <is>
          <t>11.07.2087</t>
        </is>
      </c>
      <c r="R143" t="inlineStr">
        <is>
          <t>29.10.2025</t>
        </is>
      </c>
      <c r="S143" s="72" t="inlineStr">
        <is>
          <t> </t>
        </is>
      </c>
      <c r="T143" t="n">
        <v>744532</v>
      </c>
      <c r="U143" t="inlineStr">
        <is>
          <t>0029</t>
        </is>
      </c>
      <c r="V143" t="n">
        <v>2020</v>
      </c>
      <c r="W143" t="n">
        <v>1173</v>
      </c>
      <c r="X143" t="inlineStr">
        <is>
          <t>окт.25</t>
        </is>
      </c>
      <c r="Y143" t="n">
        <v>30</v>
      </c>
      <c r="Z143" t="n">
        <v>29</v>
      </c>
      <c r="AA143" t="n">
        <v>57</v>
      </c>
      <c r="AB143" t="n">
        <v>57</v>
      </c>
      <c r="AC143" s="72" t="inlineStr">
        <is>
          <t> </t>
        </is>
      </c>
      <c r="AD143" t="n">
        <v>743044</v>
      </c>
      <c r="AE143" t="inlineStr">
        <is>
          <t>0029</t>
        </is>
      </c>
      <c r="AF143" t="n">
        <v>2020</v>
      </c>
      <c r="AG143" t="n">
        <v>1173</v>
      </c>
      <c r="AH143" t="inlineStr">
        <is>
          <t>окт.25</t>
        </is>
      </c>
      <c r="AI143" t="n">
        <v>30</v>
      </c>
      <c r="AJ143" t="n">
        <v>30</v>
      </c>
      <c r="AK143" t="n">
        <v>65</v>
      </c>
      <c r="AL143" t="n">
        <v>66</v>
      </c>
      <c r="AM143" s="72" t="inlineStr">
        <is>
          <t> </t>
        </is>
      </c>
      <c r="AN143" t="n">
        <v>12222</v>
      </c>
      <c r="AO143" t="n">
        <v>2002</v>
      </c>
      <c r="AP143" t="n">
        <v>2020</v>
      </c>
      <c r="AQ143" t="n">
        <v>1173</v>
      </c>
      <c r="AR143" t="inlineStr">
        <is>
          <t>окт.25</t>
        </is>
      </c>
      <c r="AS143" t="n">
        <v>30</v>
      </c>
      <c r="AT143" t="n">
        <v>30</v>
      </c>
      <c r="AU143" t="n">
        <v>54</v>
      </c>
      <c r="AV143" t="n">
        <v>56</v>
      </c>
      <c r="AW143" s="72" t="inlineStr">
        <is>
          <t> </t>
        </is>
      </c>
      <c r="AX143" t="n">
        <v>446284</v>
      </c>
      <c r="AY143" t="inlineStr">
        <is>
          <t>0005</t>
        </is>
      </c>
      <c r="AZ143" t="n">
        <v>2020</v>
      </c>
      <c r="BA143" t="n">
        <v>1173</v>
      </c>
      <c r="BB143" t="inlineStr">
        <is>
          <t>окт.25</t>
        </is>
      </c>
      <c r="BC143" t="n">
        <v>29</v>
      </c>
      <c r="BD143" t="n">
        <v>30</v>
      </c>
      <c r="BE143" t="n">
        <v>56</v>
      </c>
      <c r="BF143" t="n">
        <v>56</v>
      </c>
      <c r="BG143" s="72" t="inlineStr">
        <is>
          <t> </t>
        </is>
      </c>
      <c r="BH143" t="n">
        <v>27348</v>
      </c>
      <c r="BI143" t="n">
        <v>1275</v>
      </c>
      <c r="BJ143" t="n">
        <v>2020</v>
      </c>
      <c r="BM143" s="72" t="inlineStr">
        <is>
          <t> </t>
        </is>
      </c>
      <c r="BN143" t="n">
        <v>27192</v>
      </c>
      <c r="BO143" t="n">
        <v>1275</v>
      </c>
      <c r="BP143" t="n">
        <v>2020</v>
      </c>
      <c r="BS143" s="72" t="inlineStr">
        <is>
          <t> </t>
        </is>
      </c>
      <c r="BT143" t="n">
        <v>45768</v>
      </c>
      <c r="BU143" t="n">
        <v>1275</v>
      </c>
      <c r="BV143" t="n">
        <v>2020</v>
      </c>
      <c r="BY143" s="72" t="inlineStr">
        <is>
          <t> </t>
        </is>
      </c>
      <c r="BZ143" t="n">
        <v>45463</v>
      </c>
      <c r="CA143" t="n">
        <v>1275</v>
      </c>
      <c r="CB143" t="n">
        <v>2020</v>
      </c>
      <c r="CE143" s="72" t="inlineStr">
        <is>
          <t> </t>
        </is>
      </c>
      <c r="CF143" t="n">
        <v>45410</v>
      </c>
      <c r="CG143" t="n">
        <v>1275</v>
      </c>
      <c r="CH143" t="n">
        <v>2020</v>
      </c>
      <c r="CK143" s="72" t="inlineStr">
        <is>
          <t> </t>
        </is>
      </c>
      <c r="CL143" t="n">
        <v>45425</v>
      </c>
      <c r="CM143" t="n">
        <v>1275</v>
      </c>
      <c r="CN143" t="n">
        <v>2020</v>
      </c>
    </row>
    <row r="144">
      <c r="A144" t="n">
        <v>75176198</v>
      </c>
      <c r="B144" s="3" t="inlineStr">
        <is>
          <t>Цистерна для перевозки продуктов</t>
        </is>
      </c>
      <c r="C144" t="inlineStr">
        <is>
          <t>15-1219-1П</t>
        </is>
      </c>
      <c r="D144" t="inlineStr">
        <is>
          <t>05.10.2020</t>
        </is>
      </c>
      <c r="E144" t="n">
        <v>2020</v>
      </c>
      <c r="F144" t="inlineStr">
        <is>
          <t>05.10.2050</t>
        </is>
      </c>
      <c r="G144" t="inlineStr">
        <is>
          <t>29.11.2025</t>
        </is>
      </c>
      <c r="H144" t="inlineStr">
        <is>
          <t>ВРД Зелецино - филиал ООО "НВК"</t>
        </is>
      </c>
      <c r="K144" t="inlineStr">
        <is>
          <t>Деповской</t>
        </is>
      </c>
      <c r="L144" t="inlineStr">
        <is>
          <t>29.11.2027</t>
        </is>
      </c>
      <c r="M144" t="inlineStr">
        <is>
          <t>ООО "ТрансАльянс Запад"</t>
        </is>
      </c>
      <c r="N144" t="n">
        <v>160000</v>
      </c>
      <c r="O144" t="n">
        <v>16053</v>
      </c>
      <c r="P144" t="n">
        <v>143947</v>
      </c>
      <c r="Q144" t="inlineStr">
        <is>
          <t>18.05.2032</t>
        </is>
      </c>
      <c r="R144" t="inlineStr">
        <is>
          <t>29.11.2025</t>
        </is>
      </c>
      <c r="S144" s="72" t="inlineStr">
        <is>
          <t> </t>
        </is>
      </c>
      <c r="T144" t="n">
        <v>445170</v>
      </c>
      <c r="U144" t="inlineStr">
        <is>
          <t>0005</t>
        </is>
      </c>
      <c r="V144" t="n">
        <v>2020</v>
      </c>
      <c r="W144" t="n">
        <v>1173</v>
      </c>
      <c r="X144" t="inlineStr">
        <is>
          <t>ноя.25</t>
        </is>
      </c>
      <c r="Y144" t="n">
        <v>30</v>
      </c>
      <c r="Z144" t="n">
        <v>30</v>
      </c>
      <c r="AA144" t="n">
        <v>62</v>
      </c>
      <c r="AB144" t="n">
        <v>63</v>
      </c>
      <c r="AC144" s="72" t="inlineStr">
        <is>
          <t> </t>
        </is>
      </c>
      <c r="AD144" t="n">
        <v>744298</v>
      </c>
      <c r="AE144" t="inlineStr">
        <is>
          <t>0029</t>
        </is>
      </c>
      <c r="AF144" t="n">
        <v>2020</v>
      </c>
      <c r="AG144" t="n">
        <v>1173</v>
      </c>
      <c r="AH144" t="inlineStr">
        <is>
          <t>ноя.25</t>
        </is>
      </c>
      <c r="AI144" t="n">
        <v>30</v>
      </c>
      <c r="AJ144" t="n">
        <v>30</v>
      </c>
      <c r="AK144" t="n">
        <v>58</v>
      </c>
      <c r="AL144" t="n">
        <v>60</v>
      </c>
      <c r="AM144" s="72" t="inlineStr">
        <is>
          <t> </t>
        </is>
      </c>
      <c r="AN144" t="n">
        <v>751783</v>
      </c>
      <c r="AO144" t="inlineStr">
        <is>
          <t>0029</t>
        </is>
      </c>
      <c r="AP144" t="n">
        <v>2020</v>
      </c>
      <c r="AQ144" t="n">
        <v>1173</v>
      </c>
      <c r="AR144" t="inlineStr">
        <is>
          <t>ноя.25</t>
        </is>
      </c>
      <c r="AS144" t="n">
        <v>30</v>
      </c>
      <c r="AT144" t="n">
        <v>31</v>
      </c>
      <c r="AU144" t="n">
        <v>60</v>
      </c>
      <c r="AV144" t="n">
        <v>60</v>
      </c>
      <c r="AW144" s="72" t="inlineStr">
        <is>
          <t> </t>
        </is>
      </c>
      <c r="AX144" t="n">
        <v>744705</v>
      </c>
      <c r="AY144" t="inlineStr">
        <is>
          <t>0029</t>
        </is>
      </c>
      <c r="AZ144" t="n">
        <v>2020</v>
      </c>
      <c r="BA144" t="n">
        <v>1173</v>
      </c>
      <c r="BB144" t="inlineStr">
        <is>
          <t>ноя.25</t>
        </is>
      </c>
      <c r="BC144" t="n">
        <v>32</v>
      </c>
      <c r="BD144" t="n">
        <v>30</v>
      </c>
      <c r="BE144" t="n">
        <v>58</v>
      </c>
      <c r="BF144" t="n">
        <v>56</v>
      </c>
      <c r="BG144" s="72" t="inlineStr">
        <is>
          <t> </t>
        </is>
      </c>
      <c r="BH144" t="n">
        <v>26900</v>
      </c>
      <c r="BI144" t="n">
        <v>1275</v>
      </c>
      <c r="BJ144" t="n">
        <v>2020</v>
      </c>
      <c r="BM144" s="72" t="inlineStr">
        <is>
          <t> </t>
        </is>
      </c>
      <c r="BN144" t="n">
        <v>26936</v>
      </c>
      <c r="BO144" t="n">
        <v>1275</v>
      </c>
      <c r="BP144" t="n">
        <v>2020</v>
      </c>
      <c r="BS144" s="72" t="inlineStr">
        <is>
          <t> </t>
        </is>
      </c>
      <c r="BT144" t="n">
        <v>44371</v>
      </c>
      <c r="BU144" t="n">
        <v>1275</v>
      </c>
      <c r="BV144" t="n">
        <v>2020</v>
      </c>
      <c r="BY144" s="72" t="inlineStr">
        <is>
          <t> </t>
        </is>
      </c>
      <c r="BZ144" t="n">
        <v>41695</v>
      </c>
      <c r="CA144" t="n">
        <v>1275</v>
      </c>
      <c r="CB144" t="n">
        <v>2020</v>
      </c>
      <c r="CE144" s="72" t="inlineStr">
        <is>
          <t> </t>
        </is>
      </c>
      <c r="CF144" t="n">
        <v>42982</v>
      </c>
      <c r="CG144" t="n">
        <v>1275</v>
      </c>
      <c r="CH144" t="n">
        <v>2020</v>
      </c>
      <c r="CK144" s="72" t="inlineStr">
        <is>
          <t> </t>
        </is>
      </c>
      <c r="CL144" t="n">
        <v>44827</v>
      </c>
      <c r="CM144" t="n">
        <v>1275</v>
      </c>
      <c r="CN144" t="n">
        <v>2020</v>
      </c>
    </row>
    <row r="145">
      <c r="A145" t="n">
        <v>75183699</v>
      </c>
      <c r="B145" s="3" t="inlineStr">
        <is>
          <t>Цистерна для перевозки продуктов</t>
        </is>
      </c>
      <c r="C145" t="inlineStr">
        <is>
          <t>15-1219-1П</t>
        </is>
      </c>
      <c r="D145" t="inlineStr">
        <is>
          <t>08.10.2020</t>
        </is>
      </c>
      <c r="E145" t="n">
        <v>2020</v>
      </c>
      <c r="F145" t="inlineStr">
        <is>
          <t>08.10.2050</t>
        </is>
      </c>
      <c r="G145" t="inlineStr">
        <is>
          <t>14.10.2025</t>
        </is>
      </c>
      <c r="H145" t="inlineStr">
        <is>
          <t>ВРД Зелецино - филиал ООО "НВК"</t>
        </is>
      </c>
      <c r="K145" t="inlineStr">
        <is>
          <t>Деповской</t>
        </is>
      </c>
      <c r="L145" t="inlineStr">
        <is>
          <t>14.10.2027</t>
        </is>
      </c>
      <c r="M145" t="inlineStr">
        <is>
          <t>ООО "ТрансАльянс Запад"</t>
        </is>
      </c>
      <c r="N145" t="n">
        <v>160000</v>
      </c>
      <c r="O145" t="n">
        <v>28944</v>
      </c>
      <c r="P145" t="n">
        <v>131056</v>
      </c>
      <c r="Q145" t="inlineStr">
        <is>
          <t>25.01.2030</t>
        </is>
      </c>
      <c r="R145" t="inlineStr">
        <is>
          <t>14.10.2025</t>
        </is>
      </c>
      <c r="S145" s="72" t="inlineStr">
        <is>
          <t> </t>
        </is>
      </c>
      <c r="T145" t="n">
        <v>445894</v>
      </c>
      <c r="U145" t="inlineStr">
        <is>
          <t>0005</t>
        </is>
      </c>
      <c r="V145" t="n">
        <v>2020</v>
      </c>
      <c r="W145" t="n">
        <v>1173</v>
      </c>
      <c r="X145" t="inlineStr">
        <is>
          <t>окт.25</t>
        </is>
      </c>
      <c r="Y145" t="n">
        <v>31</v>
      </c>
      <c r="Z145" t="n">
        <v>29</v>
      </c>
      <c r="AA145" t="n">
        <v>61</v>
      </c>
      <c r="AB145" t="n">
        <v>63</v>
      </c>
      <c r="AC145" s="72" t="inlineStr">
        <is>
          <t> </t>
        </is>
      </c>
      <c r="AD145" t="n">
        <v>742329</v>
      </c>
      <c r="AE145" t="inlineStr">
        <is>
          <t>0029</t>
        </is>
      </c>
      <c r="AF145" t="n">
        <v>2020</v>
      </c>
      <c r="AG145" t="n">
        <v>1173</v>
      </c>
      <c r="AH145" t="inlineStr">
        <is>
          <t>окт.25</t>
        </is>
      </c>
      <c r="AI145" t="n">
        <v>31</v>
      </c>
      <c r="AJ145" t="n">
        <v>29</v>
      </c>
      <c r="AK145" t="n">
        <v>60</v>
      </c>
      <c r="AL145" t="n">
        <v>61</v>
      </c>
      <c r="AM145" s="72" t="inlineStr">
        <is>
          <t> </t>
        </is>
      </c>
      <c r="AN145" t="n">
        <v>742392</v>
      </c>
      <c r="AO145" t="inlineStr">
        <is>
          <t>0029</t>
        </is>
      </c>
      <c r="AP145" t="n">
        <v>2020</v>
      </c>
      <c r="AQ145" t="n">
        <v>1173</v>
      </c>
      <c r="AR145" t="inlineStr">
        <is>
          <t>окт.25</t>
        </is>
      </c>
      <c r="AS145" t="n">
        <v>29</v>
      </c>
      <c r="AT145" t="n">
        <v>30</v>
      </c>
      <c r="AU145" t="n">
        <v>62</v>
      </c>
      <c r="AV145" t="n">
        <v>63</v>
      </c>
      <c r="AW145" s="72" t="inlineStr">
        <is>
          <t> </t>
        </is>
      </c>
      <c r="AX145" t="n">
        <v>446131</v>
      </c>
      <c r="AY145" t="inlineStr">
        <is>
          <t>0005</t>
        </is>
      </c>
      <c r="AZ145" t="n">
        <v>2020</v>
      </c>
      <c r="BA145" t="n">
        <v>1173</v>
      </c>
      <c r="BB145" t="inlineStr">
        <is>
          <t>окт.25</t>
        </is>
      </c>
      <c r="BC145" t="n">
        <v>33</v>
      </c>
      <c r="BD145" t="n">
        <v>33</v>
      </c>
      <c r="BE145" t="n">
        <v>72</v>
      </c>
      <c r="BF145" t="n">
        <v>72</v>
      </c>
      <c r="BG145" s="72" t="inlineStr">
        <is>
          <t> </t>
        </is>
      </c>
      <c r="BH145" t="n">
        <v>27541</v>
      </c>
      <c r="BI145" t="n">
        <v>1275</v>
      </c>
      <c r="BJ145" t="n">
        <v>2020</v>
      </c>
      <c r="BM145" s="72" t="inlineStr">
        <is>
          <t> </t>
        </is>
      </c>
      <c r="BN145" t="n">
        <v>27542</v>
      </c>
      <c r="BO145" t="n">
        <v>1275</v>
      </c>
      <c r="BP145" t="n">
        <v>2020</v>
      </c>
      <c r="BS145" s="72" t="inlineStr">
        <is>
          <t> </t>
        </is>
      </c>
      <c r="BT145" t="n">
        <v>44551</v>
      </c>
      <c r="BU145" t="n">
        <v>1275</v>
      </c>
      <c r="BV145" t="n">
        <v>2020</v>
      </c>
      <c r="BY145" s="72" t="inlineStr">
        <is>
          <t> </t>
        </is>
      </c>
      <c r="BZ145" t="n">
        <v>40617</v>
      </c>
      <c r="CA145" t="n">
        <v>1275</v>
      </c>
      <c r="CB145" t="n">
        <v>2020</v>
      </c>
      <c r="CE145" s="72" t="inlineStr">
        <is>
          <t> </t>
        </is>
      </c>
      <c r="CF145" t="n">
        <v>41159</v>
      </c>
      <c r="CG145" t="n">
        <v>1275</v>
      </c>
      <c r="CH145" t="n">
        <v>2020</v>
      </c>
      <c r="CK145" s="72" t="inlineStr">
        <is>
          <t> </t>
        </is>
      </c>
      <c r="CL145" t="n">
        <v>40775</v>
      </c>
      <c r="CM145" t="n">
        <v>1275</v>
      </c>
      <c r="CN145" t="n">
        <v>2020</v>
      </c>
    </row>
    <row r="146">
      <c r="A146" t="n">
        <v>75164897</v>
      </c>
      <c r="B146" s="3" t="inlineStr">
        <is>
          <t>Цистерна для перевозки продуктов</t>
        </is>
      </c>
      <c r="C146" t="inlineStr">
        <is>
          <t>15-1219-1П</t>
        </is>
      </c>
      <c r="D146" t="inlineStr">
        <is>
          <t>29.09.2020</t>
        </is>
      </c>
      <c r="E146" t="n">
        <v>2020</v>
      </c>
      <c r="F146" t="inlineStr">
        <is>
          <t>29.09.2050</t>
        </is>
      </c>
      <c r="G146" t="inlineStr">
        <is>
          <t>20.12.2025</t>
        </is>
      </c>
      <c r="H146" t="inlineStr">
        <is>
          <t>ВРД Зелецино - филиал ООО "НВК"</t>
        </is>
      </c>
      <c r="K146" t="inlineStr">
        <is>
          <t>Деповской</t>
        </is>
      </c>
      <c r="L146" t="inlineStr">
        <is>
          <t>20.12.2027</t>
        </is>
      </c>
      <c r="M146" t="inlineStr">
        <is>
          <t>ООО "ТрансАльянс Запад"</t>
        </is>
      </c>
      <c r="N146" t="n">
        <v>160000</v>
      </c>
      <c r="O146" t="n">
        <v>25019</v>
      </c>
      <c r="P146" t="n">
        <v>134981</v>
      </c>
      <c r="Q146" t="inlineStr">
        <is>
          <t>01.10.2029</t>
        </is>
      </c>
      <c r="R146" t="inlineStr">
        <is>
          <t>20.12.2025</t>
        </is>
      </c>
      <c r="S146" s="72" t="inlineStr">
        <is>
          <t> </t>
        </is>
      </c>
      <c r="T146" t="n">
        <v>746502</v>
      </c>
      <c r="U146" t="inlineStr">
        <is>
          <t>0029</t>
        </is>
      </c>
      <c r="V146" t="n">
        <v>2020</v>
      </c>
      <c r="W146" t="n">
        <v>1173</v>
      </c>
      <c r="X146" t="inlineStr">
        <is>
          <t>дек.25</t>
        </is>
      </c>
      <c r="Y146" t="n">
        <v>30</v>
      </c>
      <c r="Z146" t="n">
        <v>29</v>
      </c>
      <c r="AA146" t="n">
        <v>56</v>
      </c>
      <c r="AB146" t="n">
        <v>55</v>
      </c>
      <c r="AC146" s="72" t="inlineStr">
        <is>
          <t> </t>
        </is>
      </c>
      <c r="AD146" t="n">
        <v>747129</v>
      </c>
      <c r="AE146" t="inlineStr">
        <is>
          <t>0029</t>
        </is>
      </c>
      <c r="AF146" t="n">
        <v>2020</v>
      </c>
      <c r="AG146" t="n">
        <v>1173</v>
      </c>
      <c r="AH146" t="inlineStr">
        <is>
          <t>дек.25</t>
        </is>
      </c>
      <c r="AI146" t="n">
        <v>30</v>
      </c>
      <c r="AJ146" t="n">
        <v>29</v>
      </c>
      <c r="AK146" t="n">
        <v>55</v>
      </c>
      <c r="AL146" t="n">
        <v>55</v>
      </c>
      <c r="AM146" s="72" t="inlineStr">
        <is>
          <t> </t>
        </is>
      </c>
      <c r="AN146" t="n">
        <v>746117</v>
      </c>
      <c r="AO146" t="inlineStr">
        <is>
          <t>0029</t>
        </is>
      </c>
      <c r="AP146" t="n">
        <v>2020</v>
      </c>
      <c r="AQ146" t="n">
        <v>1173</v>
      </c>
      <c r="AR146" t="inlineStr">
        <is>
          <t>дек.25</t>
        </is>
      </c>
      <c r="AS146" t="n">
        <v>30</v>
      </c>
      <c r="AT146" t="n">
        <v>30</v>
      </c>
      <c r="AU146" t="n">
        <v>59</v>
      </c>
      <c r="AV146" t="n">
        <v>58</v>
      </c>
      <c r="AW146" s="72" t="inlineStr">
        <is>
          <t> </t>
        </is>
      </c>
      <c r="AX146" t="n">
        <v>746631</v>
      </c>
      <c r="AY146" t="inlineStr">
        <is>
          <t>0029</t>
        </is>
      </c>
      <c r="AZ146" t="n">
        <v>2020</v>
      </c>
      <c r="BA146" t="n">
        <v>1173</v>
      </c>
      <c r="BB146" t="inlineStr">
        <is>
          <t>дек.25</t>
        </is>
      </c>
      <c r="BC146" t="n">
        <v>31</v>
      </c>
      <c r="BD146" t="n">
        <v>30</v>
      </c>
      <c r="BE146" t="n">
        <v>59</v>
      </c>
      <c r="BF146" t="n">
        <v>60</v>
      </c>
      <c r="BG146" s="72" t="inlineStr">
        <is>
          <t> </t>
        </is>
      </c>
      <c r="BH146" t="n">
        <v>26538</v>
      </c>
      <c r="BI146" t="n">
        <v>1275</v>
      </c>
      <c r="BJ146" t="n">
        <v>2020</v>
      </c>
      <c r="BM146" s="72" t="inlineStr">
        <is>
          <t> </t>
        </is>
      </c>
      <c r="BN146" t="n">
        <v>26493</v>
      </c>
      <c r="BO146" t="n">
        <v>1275</v>
      </c>
      <c r="BP146" t="n">
        <v>2020</v>
      </c>
      <c r="BS146" s="72" t="inlineStr">
        <is>
          <t> </t>
        </is>
      </c>
      <c r="BT146" t="n">
        <v>43428</v>
      </c>
      <c r="BU146" t="n">
        <v>1275</v>
      </c>
      <c r="BV146" t="n">
        <v>2020</v>
      </c>
      <c r="BY146" s="72" t="inlineStr">
        <is>
          <t> </t>
        </is>
      </c>
      <c r="BZ146" t="n">
        <v>43967</v>
      </c>
      <c r="CA146" t="n">
        <v>1275</v>
      </c>
      <c r="CB146" t="n">
        <v>2020</v>
      </c>
      <c r="CE146" s="72" t="inlineStr">
        <is>
          <t> </t>
        </is>
      </c>
      <c r="CF146" t="n">
        <v>43887</v>
      </c>
      <c r="CG146" t="n">
        <v>1275</v>
      </c>
      <c r="CH146" t="n">
        <v>2020</v>
      </c>
      <c r="CK146" s="72" t="inlineStr">
        <is>
          <t> </t>
        </is>
      </c>
      <c r="CL146" t="n">
        <v>43662</v>
      </c>
      <c r="CM146" t="n">
        <v>1275</v>
      </c>
      <c r="CN146" t="n">
        <v>2020</v>
      </c>
    </row>
    <row r="147">
      <c r="A147" t="n">
        <v>75175893</v>
      </c>
      <c r="B147" s="3" t="inlineStr">
        <is>
          <t>Цистерна для перевозки продуктов</t>
        </is>
      </c>
      <c r="C147" t="inlineStr">
        <is>
          <t>15-1219-1П</t>
        </is>
      </c>
      <c r="D147" t="inlineStr">
        <is>
          <t>05.10.2020</t>
        </is>
      </c>
      <c r="E147" t="n">
        <v>2020</v>
      </c>
      <c r="F147" t="inlineStr">
        <is>
          <t>05.10.2050</t>
        </is>
      </c>
      <c r="G147" t="inlineStr">
        <is>
          <t>01.09.2025</t>
        </is>
      </c>
      <c r="H147" t="inlineStr">
        <is>
          <t>ВРД Зелецино - филиал ООО "НВК"</t>
        </is>
      </c>
      <c r="K147" t="inlineStr">
        <is>
          <t>Деповской</t>
        </is>
      </c>
      <c r="L147" t="inlineStr">
        <is>
          <t>01.09.2027</t>
        </is>
      </c>
      <c r="M147" t="inlineStr">
        <is>
          <t>ООО "ТрансАльянс Запад"</t>
        </is>
      </c>
      <c r="N147" t="n">
        <v>160000</v>
      </c>
      <c r="O147" t="n">
        <v>22164</v>
      </c>
      <c r="P147" t="n">
        <v>137836</v>
      </c>
      <c r="Q147" t="inlineStr">
        <is>
          <t>10.02.2032</t>
        </is>
      </c>
      <c r="R147" t="inlineStr">
        <is>
          <t>01.09.2025</t>
        </is>
      </c>
      <c r="S147" s="72" t="inlineStr">
        <is>
          <t> </t>
        </is>
      </c>
      <c r="T147" t="n">
        <v>417202</v>
      </c>
      <c r="U147" t="inlineStr">
        <is>
          <t>0005</t>
        </is>
      </c>
      <c r="V147" t="n">
        <v>2020</v>
      </c>
      <c r="W147" t="n">
        <v>1173</v>
      </c>
      <c r="X147" t="inlineStr">
        <is>
          <t>сен.25</t>
        </is>
      </c>
      <c r="Y147" t="n">
        <v>30</v>
      </c>
      <c r="Z147" t="n">
        <v>30</v>
      </c>
      <c r="AA147" t="n">
        <v>60</v>
      </c>
      <c r="AB147" t="n">
        <v>60</v>
      </c>
      <c r="AC147" s="72" t="inlineStr">
        <is>
          <t> </t>
        </is>
      </c>
      <c r="AD147" t="n">
        <v>417156</v>
      </c>
      <c r="AE147" t="inlineStr">
        <is>
          <t>0005</t>
        </is>
      </c>
      <c r="AF147" t="n">
        <v>2020</v>
      </c>
      <c r="AG147" t="n">
        <v>1173</v>
      </c>
      <c r="AH147" t="inlineStr">
        <is>
          <t>сен.25</t>
        </is>
      </c>
      <c r="AI147" t="n">
        <v>29</v>
      </c>
      <c r="AJ147" t="n">
        <v>30</v>
      </c>
      <c r="AK147" t="n">
        <v>60</v>
      </c>
      <c r="AL147" t="n">
        <v>58</v>
      </c>
      <c r="AM147" s="72" t="inlineStr">
        <is>
          <t> </t>
        </is>
      </c>
      <c r="AN147" t="n">
        <v>417336</v>
      </c>
      <c r="AO147" t="inlineStr">
        <is>
          <t>0005</t>
        </is>
      </c>
      <c r="AP147" t="n">
        <v>2020</v>
      </c>
      <c r="AQ147" t="n">
        <v>1173</v>
      </c>
      <c r="AR147" t="inlineStr">
        <is>
          <t>сен.25</t>
        </is>
      </c>
      <c r="AS147" t="n">
        <v>30</v>
      </c>
      <c r="AT147" t="n">
        <v>30</v>
      </c>
      <c r="AU147" t="n">
        <v>59</v>
      </c>
      <c r="AV147" t="n">
        <v>59</v>
      </c>
      <c r="AW147" s="72" t="inlineStr">
        <is>
          <t> </t>
        </is>
      </c>
      <c r="AX147" t="n">
        <v>415336</v>
      </c>
      <c r="AY147" t="inlineStr">
        <is>
          <t>0005</t>
        </is>
      </c>
      <c r="AZ147" t="n">
        <v>2020</v>
      </c>
      <c r="BA147" t="n">
        <v>1173</v>
      </c>
      <c r="BB147" t="inlineStr">
        <is>
          <t>сен.25</t>
        </is>
      </c>
      <c r="BC147" t="n">
        <v>31</v>
      </c>
      <c r="BD147" t="n">
        <v>30</v>
      </c>
      <c r="BE147" t="n">
        <v>58</v>
      </c>
      <c r="BF147" t="n">
        <v>58</v>
      </c>
      <c r="BG147" s="72" t="inlineStr">
        <is>
          <t> </t>
        </is>
      </c>
      <c r="BH147" t="n">
        <v>26942</v>
      </c>
      <c r="BI147" t="n">
        <v>1275</v>
      </c>
      <c r="BJ147" t="n">
        <v>2020</v>
      </c>
      <c r="BM147" s="72" t="inlineStr">
        <is>
          <t> </t>
        </is>
      </c>
      <c r="BN147" t="n">
        <v>26977</v>
      </c>
      <c r="BO147" t="n">
        <v>1275</v>
      </c>
      <c r="BP147" t="n">
        <v>2020</v>
      </c>
      <c r="BS147" s="72" t="inlineStr">
        <is>
          <t> </t>
        </is>
      </c>
      <c r="BT147" t="n">
        <v>44311</v>
      </c>
      <c r="BU147" t="n">
        <v>1275</v>
      </c>
      <c r="BV147" t="n">
        <v>2020</v>
      </c>
      <c r="BY147" s="72" t="inlineStr">
        <is>
          <t> </t>
        </is>
      </c>
      <c r="BZ147" t="n">
        <v>44863</v>
      </c>
      <c r="CA147" t="n">
        <v>1275</v>
      </c>
      <c r="CB147" t="n">
        <v>2020</v>
      </c>
      <c r="CE147" s="72" t="inlineStr">
        <is>
          <t> </t>
        </is>
      </c>
      <c r="CF147" t="n">
        <v>43710</v>
      </c>
      <c r="CG147" t="n">
        <v>1275</v>
      </c>
      <c r="CH147" t="n">
        <v>2020</v>
      </c>
      <c r="CK147" s="72" t="inlineStr">
        <is>
          <t> </t>
        </is>
      </c>
      <c r="CL147" t="n">
        <v>44629</v>
      </c>
      <c r="CM147" t="n">
        <v>1275</v>
      </c>
      <c r="CN147" t="n">
        <v>2020</v>
      </c>
    </row>
    <row r="148">
      <c r="A148" t="n">
        <v>75182493</v>
      </c>
      <c r="B148" s="3" t="inlineStr">
        <is>
          <t>Цистерна для перевозки продуктов</t>
        </is>
      </c>
      <c r="C148" t="inlineStr">
        <is>
          <t>15-1219-1П</t>
        </is>
      </c>
      <c r="D148" t="inlineStr">
        <is>
          <t>08.10.2020</t>
        </is>
      </c>
      <c r="E148" t="n">
        <v>2020</v>
      </c>
      <c r="F148" t="inlineStr">
        <is>
          <t>08.10.2050</t>
        </is>
      </c>
      <c r="G148" t="inlineStr">
        <is>
          <t>19.10.2025</t>
        </is>
      </c>
      <c r="H148" t="inlineStr">
        <is>
          <t>ВРД Зелецино - филиал ООО "НВК"</t>
        </is>
      </c>
      <c r="K148" t="inlineStr">
        <is>
          <t>Деповской</t>
        </is>
      </c>
      <c r="L148" t="inlineStr">
        <is>
          <t>19.10.2027</t>
        </is>
      </c>
      <c r="M148" t="inlineStr">
        <is>
          <t>ООО "ТрансАльянс Запад"</t>
        </is>
      </c>
      <c r="N148" t="n">
        <v>160000</v>
      </c>
      <c r="O148" t="n">
        <v>30867</v>
      </c>
      <c r="P148" t="n">
        <v>129133</v>
      </c>
      <c r="Q148" t="inlineStr">
        <is>
          <t>29.09.2029</t>
        </is>
      </c>
      <c r="R148" t="inlineStr">
        <is>
          <t>19.10.2025</t>
        </is>
      </c>
      <c r="S148" s="72" t="inlineStr">
        <is>
          <t> </t>
        </is>
      </c>
      <c r="T148" t="n">
        <v>741929</v>
      </c>
      <c r="U148" t="inlineStr">
        <is>
          <t>0029</t>
        </is>
      </c>
      <c r="V148" t="n">
        <v>2020</v>
      </c>
      <c r="W148" t="n">
        <v>1173</v>
      </c>
      <c r="X148" t="inlineStr">
        <is>
          <t>окт.25</t>
        </is>
      </c>
      <c r="Y148" t="n">
        <v>30</v>
      </c>
      <c r="Z148" t="n">
        <v>30</v>
      </c>
      <c r="AA148" t="n">
        <v>54</v>
      </c>
      <c r="AB148" t="n">
        <v>53</v>
      </c>
      <c r="AC148" s="72" t="inlineStr">
        <is>
          <t> </t>
        </is>
      </c>
      <c r="AD148" t="n">
        <v>447517</v>
      </c>
      <c r="AE148" t="inlineStr">
        <is>
          <t>0005</t>
        </is>
      </c>
      <c r="AF148" t="n">
        <v>2020</v>
      </c>
      <c r="AG148" t="n">
        <v>1173</v>
      </c>
      <c r="AH148" t="inlineStr">
        <is>
          <t>окт.25</t>
        </is>
      </c>
      <c r="AI148" t="n">
        <v>31</v>
      </c>
      <c r="AJ148" t="n">
        <v>30</v>
      </c>
      <c r="AK148" t="n">
        <v>50</v>
      </c>
      <c r="AL148" t="n">
        <v>51</v>
      </c>
      <c r="AM148" s="72" t="inlineStr">
        <is>
          <t> </t>
        </is>
      </c>
      <c r="AN148" t="n">
        <v>448121</v>
      </c>
      <c r="AO148" t="inlineStr">
        <is>
          <t>0005</t>
        </is>
      </c>
      <c r="AP148" t="n">
        <v>2020</v>
      </c>
      <c r="AQ148" t="n">
        <v>1173</v>
      </c>
      <c r="AR148" t="inlineStr">
        <is>
          <t>окт.25</t>
        </is>
      </c>
      <c r="AS148" t="n">
        <v>30</v>
      </c>
      <c r="AT148" t="n">
        <v>30</v>
      </c>
      <c r="AU148" t="n">
        <v>52</v>
      </c>
      <c r="AV148" t="n">
        <v>52</v>
      </c>
      <c r="AW148" s="72" t="inlineStr">
        <is>
          <t> </t>
        </is>
      </c>
      <c r="AX148" t="n">
        <v>749587</v>
      </c>
      <c r="AY148" t="inlineStr">
        <is>
          <t>0029</t>
        </is>
      </c>
      <c r="AZ148" t="n">
        <v>2020</v>
      </c>
      <c r="BA148" t="n">
        <v>1173</v>
      </c>
      <c r="BB148" t="inlineStr">
        <is>
          <t>окт.25</t>
        </is>
      </c>
      <c r="BC148" t="n">
        <v>30</v>
      </c>
      <c r="BD148" t="n">
        <v>30</v>
      </c>
      <c r="BE148" t="n">
        <v>49</v>
      </c>
      <c r="BF148" t="n">
        <v>49</v>
      </c>
      <c r="BG148" s="72" t="inlineStr">
        <is>
          <t> </t>
        </is>
      </c>
      <c r="BH148" t="n">
        <v>26065</v>
      </c>
      <c r="BI148" t="n">
        <v>1275</v>
      </c>
      <c r="BJ148" t="n">
        <v>2020</v>
      </c>
      <c r="BM148" s="72" t="inlineStr">
        <is>
          <t> </t>
        </is>
      </c>
      <c r="BN148" t="n">
        <v>26537</v>
      </c>
      <c r="BO148" t="n">
        <v>1275</v>
      </c>
      <c r="BP148" t="n">
        <v>2020</v>
      </c>
      <c r="BS148" s="72" t="inlineStr">
        <is>
          <t> </t>
        </is>
      </c>
      <c r="BT148" t="n">
        <v>43433</v>
      </c>
      <c r="BU148" t="n">
        <v>1275</v>
      </c>
      <c r="BV148" t="n">
        <v>2020</v>
      </c>
      <c r="BY148" s="72" t="inlineStr">
        <is>
          <t> </t>
        </is>
      </c>
      <c r="BZ148" t="n">
        <v>43429</v>
      </c>
      <c r="CA148" t="n">
        <v>1275</v>
      </c>
      <c r="CB148" t="n">
        <v>2020</v>
      </c>
      <c r="CE148" s="72" t="inlineStr">
        <is>
          <t> </t>
        </is>
      </c>
      <c r="CF148" t="n">
        <v>44062</v>
      </c>
      <c r="CG148" t="n">
        <v>1275</v>
      </c>
      <c r="CH148" t="n">
        <v>2020</v>
      </c>
      <c r="CK148" s="72" t="inlineStr">
        <is>
          <t> </t>
        </is>
      </c>
      <c r="CL148" t="n">
        <v>44086</v>
      </c>
      <c r="CM148" t="n">
        <v>1275</v>
      </c>
      <c r="CN148" t="n">
        <v>2020</v>
      </c>
    </row>
    <row r="149">
      <c r="A149" t="n">
        <v>75175992</v>
      </c>
      <c r="B149" s="3" t="inlineStr">
        <is>
          <t>Цистерна для перевозки продуктов</t>
        </is>
      </c>
      <c r="C149" t="inlineStr">
        <is>
          <t>15-1219-1П</t>
        </is>
      </c>
      <c r="D149" t="inlineStr">
        <is>
          <t>05.10.2020</t>
        </is>
      </c>
      <c r="E149" t="n">
        <v>2020</v>
      </c>
      <c r="F149" t="inlineStr">
        <is>
          <t>05.10.2050</t>
        </is>
      </c>
      <c r="G149" t="inlineStr">
        <is>
          <t>26.11.2025</t>
        </is>
      </c>
      <c r="H149" t="inlineStr">
        <is>
          <t>ВРД Кочетовка – филиал ООО "НВК"</t>
        </is>
      </c>
      <c r="K149" t="inlineStr">
        <is>
          <t>Деповской</t>
        </is>
      </c>
      <c r="L149" t="inlineStr">
        <is>
          <t>26.11.2027</t>
        </is>
      </c>
      <c r="M149" t="inlineStr">
        <is>
          <t>ООО "ТрансАльянс Запад"</t>
        </is>
      </c>
      <c r="N149" t="n">
        <v>160000</v>
      </c>
      <c r="O149" t="n">
        <v>24405</v>
      </c>
      <c r="P149" t="n">
        <v>135595</v>
      </c>
      <c r="Q149" t="inlineStr">
        <is>
          <t>18.03.2030</t>
        </is>
      </c>
      <c r="R149" t="inlineStr">
        <is>
          <t>26.11.2025</t>
        </is>
      </c>
      <c r="S149" s="72" t="inlineStr">
        <is>
          <t> </t>
        </is>
      </c>
      <c r="T149" t="n">
        <v>751739</v>
      </c>
      <c r="U149" t="inlineStr">
        <is>
          <t>0029</t>
        </is>
      </c>
      <c r="V149" t="n">
        <v>2020</v>
      </c>
      <c r="W149" t="n">
        <v>301</v>
      </c>
      <c r="X149" t="inlineStr">
        <is>
          <t>ноя.25</t>
        </is>
      </c>
      <c r="Y149" t="n">
        <v>30</v>
      </c>
      <c r="Z149" t="n">
        <v>30</v>
      </c>
      <c r="AA149" t="n">
        <v>43</v>
      </c>
      <c r="AB149" t="n">
        <v>43</v>
      </c>
      <c r="AC149" s="72" t="inlineStr">
        <is>
          <t> </t>
        </is>
      </c>
      <c r="AD149" t="n">
        <v>445404</v>
      </c>
      <c r="AE149" t="inlineStr">
        <is>
          <t>0005</t>
        </is>
      </c>
      <c r="AF149" t="n">
        <v>2020</v>
      </c>
      <c r="AG149" t="n">
        <v>301</v>
      </c>
      <c r="AH149" t="inlineStr">
        <is>
          <t>ноя.25</t>
        </is>
      </c>
      <c r="AI149" t="n">
        <v>30</v>
      </c>
      <c r="AJ149" t="n">
        <v>30</v>
      </c>
      <c r="AK149" t="n">
        <v>51</v>
      </c>
      <c r="AL149" t="n">
        <v>51</v>
      </c>
      <c r="AM149" s="72" t="inlineStr">
        <is>
          <t> </t>
        </is>
      </c>
      <c r="AN149" t="n">
        <v>751749</v>
      </c>
      <c r="AO149" t="inlineStr">
        <is>
          <t>0029</t>
        </is>
      </c>
      <c r="AP149" t="n">
        <v>2020</v>
      </c>
      <c r="AQ149" t="n">
        <v>301</v>
      </c>
      <c r="AR149" t="inlineStr">
        <is>
          <t>ноя.25</t>
        </is>
      </c>
      <c r="AS149" t="n">
        <v>31</v>
      </c>
      <c r="AT149" t="n">
        <v>30</v>
      </c>
      <c r="AU149" t="n">
        <v>59</v>
      </c>
      <c r="AV149" t="n">
        <v>59</v>
      </c>
      <c r="AW149" s="72" t="inlineStr">
        <is>
          <t> </t>
        </is>
      </c>
      <c r="AX149" t="n">
        <v>746725</v>
      </c>
      <c r="AY149" t="inlineStr">
        <is>
          <t>0029</t>
        </is>
      </c>
      <c r="AZ149" t="n">
        <v>2020</v>
      </c>
      <c r="BA149" t="n">
        <v>301</v>
      </c>
      <c r="BB149" t="inlineStr">
        <is>
          <t>ноя.25</t>
        </is>
      </c>
      <c r="BC149" t="n">
        <v>30</v>
      </c>
      <c r="BD149" t="n">
        <v>30</v>
      </c>
      <c r="BE149" t="n">
        <v>56</v>
      </c>
      <c r="BF149" t="n">
        <v>56</v>
      </c>
      <c r="BG149" s="72" t="inlineStr">
        <is>
          <t> </t>
        </is>
      </c>
      <c r="BH149" t="n">
        <v>26916</v>
      </c>
      <c r="BI149" t="n">
        <v>1275</v>
      </c>
      <c r="BJ149" t="n">
        <v>2020</v>
      </c>
      <c r="BM149" s="72" t="inlineStr">
        <is>
          <t> </t>
        </is>
      </c>
      <c r="BN149" t="n">
        <v>24951</v>
      </c>
      <c r="BO149" t="n">
        <v>1275</v>
      </c>
      <c r="BP149" t="n">
        <v>2020</v>
      </c>
      <c r="BS149" s="72" t="inlineStr">
        <is>
          <t> </t>
        </is>
      </c>
      <c r="BT149" t="n">
        <v>44786</v>
      </c>
      <c r="BU149" t="n">
        <v>1275</v>
      </c>
      <c r="BV149" t="n">
        <v>2020</v>
      </c>
      <c r="BY149" s="72" t="inlineStr">
        <is>
          <t> </t>
        </is>
      </c>
      <c r="BZ149" t="n">
        <v>44990</v>
      </c>
      <c r="CA149" t="n">
        <v>1275</v>
      </c>
      <c r="CB149" t="n">
        <v>2020</v>
      </c>
      <c r="CE149" s="72" t="inlineStr">
        <is>
          <t> </t>
        </is>
      </c>
      <c r="CF149" t="n">
        <v>44982</v>
      </c>
      <c r="CG149" t="n">
        <v>1275</v>
      </c>
      <c r="CH149" t="n">
        <v>2020</v>
      </c>
      <c r="CK149" s="72" t="inlineStr">
        <is>
          <t> </t>
        </is>
      </c>
      <c r="CL149" t="n">
        <v>44966</v>
      </c>
      <c r="CM149" t="n">
        <v>1275</v>
      </c>
      <c r="CN149" t="n">
        <v>2020</v>
      </c>
    </row>
    <row r="150">
      <c r="A150" t="n">
        <v>77205649</v>
      </c>
      <c r="B150" s="3" t="inlineStr">
        <is>
          <t>Цистерна для перевозки продуктов</t>
        </is>
      </c>
      <c r="C150" t="inlineStr">
        <is>
          <t>15-1755П</t>
        </is>
      </c>
      <c r="D150" t="inlineStr">
        <is>
          <t>20.06.2013</t>
        </is>
      </c>
      <c r="E150" t="n">
        <v>2013</v>
      </c>
      <c r="F150" t="inlineStr">
        <is>
          <t>20.06.2043</t>
        </is>
      </c>
      <c r="G150" t="inlineStr">
        <is>
          <t>16.02.2026</t>
        </is>
      </c>
      <c r="H150" t="inlineStr">
        <is>
          <t>Усть-Каменогорское ВРД</t>
        </is>
      </c>
      <c r="I150" t="inlineStr">
        <is>
          <t>02.02.2024</t>
        </is>
      </c>
      <c r="J150" t="inlineStr">
        <is>
          <t>ВЧД Унеча-ООО "НВК"</t>
        </is>
      </c>
      <c r="K150" t="inlineStr">
        <is>
          <t>Деповской</t>
        </is>
      </c>
      <c r="L150" t="inlineStr">
        <is>
          <t>16.02.2028</t>
        </is>
      </c>
      <c r="M150" t="inlineStr">
        <is>
          <t>ООО "ТрансАльянс Запад"</t>
        </is>
      </c>
      <c r="N150" t="n">
        <v>160000</v>
      </c>
      <c r="O150" t="n">
        <v>15498</v>
      </c>
      <c r="P150" t="n">
        <v>144502</v>
      </c>
      <c r="Q150" t="inlineStr">
        <is>
          <t>05.08.2030</t>
        </is>
      </c>
      <c r="R150" t="inlineStr">
        <is>
          <t>18.06.2026</t>
        </is>
      </c>
      <c r="S150" s="72" t="inlineStr">
        <is>
          <t> </t>
        </is>
      </c>
      <c r="T150" t="n">
        <v>434215</v>
      </c>
      <c r="U150" t="inlineStr">
        <is>
          <t>0029</t>
        </is>
      </c>
      <c r="V150" t="n">
        <v>2013</v>
      </c>
      <c r="W150" t="n">
        <v>4042</v>
      </c>
      <c r="X150" t="inlineStr">
        <is>
          <t>июнь.26</t>
        </is>
      </c>
      <c r="Y150" t="n">
        <v>0</v>
      </c>
      <c r="Z150" t="n">
        <v>0</v>
      </c>
      <c r="AA150" t="n">
        <v>54</v>
      </c>
      <c r="AB150" t="n">
        <v>54</v>
      </c>
      <c r="AC150" s="72" t="inlineStr">
        <is>
          <t> </t>
        </is>
      </c>
      <c r="AD150" t="n">
        <v>433982</v>
      </c>
      <c r="AE150" t="inlineStr">
        <is>
          <t>0029</t>
        </is>
      </c>
      <c r="AF150" t="n">
        <v>2013</v>
      </c>
      <c r="AG150" t="n">
        <v>4042</v>
      </c>
      <c r="AH150" t="inlineStr">
        <is>
          <t>июнь.26</t>
        </is>
      </c>
      <c r="AI150" t="n">
        <v>0</v>
      </c>
      <c r="AJ150" t="n">
        <v>0</v>
      </c>
      <c r="AK150" t="n">
        <v>54</v>
      </c>
      <c r="AL150" t="n">
        <v>54</v>
      </c>
      <c r="AM150" s="72" t="inlineStr">
        <is>
          <t> </t>
        </is>
      </c>
      <c r="AN150" t="n">
        <v>444215</v>
      </c>
      <c r="AO150" t="inlineStr">
        <is>
          <t>0029</t>
        </is>
      </c>
      <c r="AP150" t="n">
        <v>2013</v>
      </c>
      <c r="AQ150" t="n">
        <v>4042</v>
      </c>
      <c r="AR150" t="inlineStr">
        <is>
          <t>июнь.26</t>
        </is>
      </c>
      <c r="AS150" t="n">
        <v>0</v>
      </c>
      <c r="AT150" t="n">
        <v>0</v>
      </c>
      <c r="AU150" t="n">
        <v>58</v>
      </c>
      <c r="AV150" t="n">
        <v>58</v>
      </c>
      <c r="AW150" s="72" t="inlineStr">
        <is>
          <t> </t>
        </is>
      </c>
      <c r="AX150" t="n">
        <v>444845</v>
      </c>
      <c r="AY150" t="inlineStr">
        <is>
          <t>0029</t>
        </is>
      </c>
      <c r="AZ150" t="n">
        <v>2013</v>
      </c>
      <c r="BA150" t="n">
        <v>4042</v>
      </c>
      <c r="BB150" t="inlineStr">
        <is>
          <t>июнь.26</t>
        </is>
      </c>
      <c r="BC150" t="n">
        <v>0</v>
      </c>
      <c r="BD150" t="n">
        <v>0</v>
      </c>
      <c r="BE150" t="n">
        <v>59</v>
      </c>
      <c r="BF150" t="n">
        <v>59</v>
      </c>
      <c r="BG150" s="72" t="inlineStr">
        <is>
          <t> </t>
        </is>
      </c>
      <c r="BH150" t="n">
        <v>14611</v>
      </c>
      <c r="BI150" t="n">
        <v>1291</v>
      </c>
      <c r="BJ150" t="n">
        <v>2013</v>
      </c>
      <c r="BM150" s="72" t="inlineStr">
        <is>
          <t> </t>
        </is>
      </c>
      <c r="BN150" t="n">
        <v>15590</v>
      </c>
      <c r="BO150" t="n">
        <v>1291</v>
      </c>
      <c r="BP150" t="n">
        <v>2013</v>
      </c>
      <c r="BS150" s="72" t="inlineStr">
        <is>
          <t> </t>
        </is>
      </c>
      <c r="BT150" t="n">
        <v>42725</v>
      </c>
      <c r="BU150" t="n">
        <v>1291</v>
      </c>
      <c r="BV150" t="n">
        <v>2013</v>
      </c>
      <c r="BY150" s="72" t="inlineStr">
        <is>
          <t> </t>
        </is>
      </c>
      <c r="BZ150" t="n">
        <v>42628</v>
      </c>
      <c r="CA150" t="n">
        <v>1291</v>
      </c>
      <c r="CB150" t="n">
        <v>2013</v>
      </c>
      <c r="CE150" s="72" t="inlineStr">
        <is>
          <t> </t>
        </is>
      </c>
      <c r="CF150" t="n">
        <v>44099</v>
      </c>
      <c r="CG150" t="n">
        <v>1291</v>
      </c>
      <c r="CH150" t="n">
        <v>2013</v>
      </c>
      <c r="CK150" s="72" t="inlineStr">
        <is>
          <t> </t>
        </is>
      </c>
      <c r="CL150" t="n">
        <v>45002</v>
      </c>
      <c r="CM150" t="n">
        <v>1291</v>
      </c>
      <c r="CN150" t="n">
        <v>2013</v>
      </c>
    </row>
    <row r="151">
      <c r="A151" t="n">
        <v>75187096</v>
      </c>
      <c r="B151" s="3" t="inlineStr">
        <is>
          <t>Цистерна для перевозки продуктов</t>
        </is>
      </c>
      <c r="C151" t="inlineStr">
        <is>
          <t>15-1219-1П</t>
        </is>
      </c>
      <c r="D151" t="inlineStr">
        <is>
          <t>14.10.2020</t>
        </is>
      </c>
      <c r="E151" t="n">
        <v>2020</v>
      </c>
      <c r="F151" t="inlineStr">
        <is>
          <t>14.10.2050</t>
        </is>
      </c>
      <c r="G151" t="inlineStr">
        <is>
          <t>06.10.2025</t>
        </is>
      </c>
      <c r="H151" t="inlineStr">
        <is>
          <t>ВРД Зелецино - филиал ООО "НВК"</t>
        </is>
      </c>
      <c r="K151" t="inlineStr">
        <is>
          <t>Деповской</t>
        </is>
      </c>
      <c r="L151" t="inlineStr">
        <is>
          <t>06.10.2027</t>
        </is>
      </c>
      <c r="M151" t="inlineStr">
        <is>
          <t>ООО "ТрансАльянс Запад"</t>
        </is>
      </c>
      <c r="N151" t="n">
        <v>160000</v>
      </c>
      <c r="O151" t="n">
        <v>28579</v>
      </c>
      <c r="P151" t="n">
        <v>131421</v>
      </c>
      <c r="Q151" t="inlineStr">
        <is>
          <t>23.03.2030</t>
        </is>
      </c>
      <c r="R151" t="inlineStr">
        <is>
          <t>06.10.2025</t>
        </is>
      </c>
      <c r="S151" s="72" t="inlineStr">
        <is>
          <t> </t>
        </is>
      </c>
      <c r="T151" t="n">
        <v>751909</v>
      </c>
      <c r="U151" t="inlineStr">
        <is>
          <t>0029</t>
        </is>
      </c>
      <c r="V151" t="n">
        <v>2020</v>
      </c>
      <c r="W151" t="n">
        <v>1173</v>
      </c>
      <c r="X151" t="inlineStr">
        <is>
          <t>окт.25</t>
        </is>
      </c>
      <c r="Y151" t="n">
        <v>30</v>
      </c>
      <c r="Z151" t="n">
        <v>31</v>
      </c>
      <c r="AA151" t="n">
        <v>59</v>
      </c>
      <c r="AB151" t="n">
        <v>59</v>
      </c>
      <c r="AC151" s="72" t="inlineStr">
        <is>
          <t> </t>
        </is>
      </c>
      <c r="AD151" t="n">
        <v>751923</v>
      </c>
      <c r="AE151" t="inlineStr">
        <is>
          <t>0029</t>
        </is>
      </c>
      <c r="AF151" t="n">
        <v>2020</v>
      </c>
      <c r="AG151" t="n">
        <v>1173</v>
      </c>
      <c r="AH151" t="inlineStr">
        <is>
          <t>окт.25</t>
        </is>
      </c>
      <c r="AI151" t="n">
        <v>31</v>
      </c>
      <c r="AJ151" t="n">
        <v>30</v>
      </c>
      <c r="AK151" t="n">
        <v>55</v>
      </c>
      <c r="AL151" t="n">
        <v>55</v>
      </c>
      <c r="AM151" s="72" t="inlineStr">
        <is>
          <t> </t>
        </is>
      </c>
      <c r="AN151" t="n">
        <v>748751</v>
      </c>
      <c r="AO151" t="inlineStr">
        <is>
          <t>0029</t>
        </is>
      </c>
      <c r="AP151" t="n">
        <v>2020</v>
      </c>
      <c r="AQ151" t="n">
        <v>1173</v>
      </c>
      <c r="AR151" t="inlineStr">
        <is>
          <t>окт.25</t>
        </is>
      </c>
      <c r="AS151" t="n">
        <v>31</v>
      </c>
      <c r="AT151" t="n">
        <v>30</v>
      </c>
      <c r="AU151" t="n">
        <v>62</v>
      </c>
      <c r="AV151" t="n">
        <v>62</v>
      </c>
      <c r="AW151" s="72" t="inlineStr">
        <is>
          <t> </t>
        </is>
      </c>
      <c r="AX151" t="n">
        <v>751714</v>
      </c>
      <c r="AY151" t="inlineStr">
        <is>
          <t>0029</t>
        </is>
      </c>
      <c r="AZ151" t="n">
        <v>2020</v>
      </c>
      <c r="BA151" t="n">
        <v>1173</v>
      </c>
      <c r="BB151" t="inlineStr">
        <is>
          <t>окт.25</t>
        </is>
      </c>
      <c r="BC151" t="n">
        <v>30</v>
      </c>
      <c r="BD151" t="n">
        <v>30</v>
      </c>
      <c r="BE151" t="n">
        <v>61</v>
      </c>
      <c r="BF151" t="n">
        <v>63</v>
      </c>
      <c r="BG151" s="72" t="inlineStr">
        <is>
          <t> </t>
        </is>
      </c>
      <c r="BH151" t="n">
        <v>25497</v>
      </c>
      <c r="BI151" t="n">
        <v>1275</v>
      </c>
      <c r="BJ151" t="n">
        <v>2020</v>
      </c>
      <c r="BM151" s="72" t="inlineStr">
        <is>
          <t> </t>
        </is>
      </c>
      <c r="BN151" t="n">
        <v>25427</v>
      </c>
      <c r="BO151" t="n">
        <v>1275</v>
      </c>
      <c r="BP151" t="n">
        <v>2020</v>
      </c>
      <c r="BS151" s="72" t="inlineStr">
        <is>
          <t> </t>
        </is>
      </c>
      <c r="BT151" t="n">
        <v>45746</v>
      </c>
      <c r="BU151" t="n">
        <v>1275</v>
      </c>
      <c r="BV151" t="n">
        <v>2020</v>
      </c>
      <c r="BY151" s="72" t="inlineStr">
        <is>
          <t> </t>
        </is>
      </c>
      <c r="BZ151" t="n">
        <v>43966</v>
      </c>
      <c r="CA151" t="n">
        <v>1275</v>
      </c>
      <c r="CB151" t="n">
        <v>2020</v>
      </c>
      <c r="CE151" s="72" t="inlineStr">
        <is>
          <t> </t>
        </is>
      </c>
      <c r="CF151" t="n">
        <v>43024</v>
      </c>
      <c r="CG151" t="n">
        <v>1275</v>
      </c>
      <c r="CH151" t="n">
        <v>2020</v>
      </c>
      <c r="CK151" s="72" t="inlineStr">
        <is>
          <t> </t>
        </is>
      </c>
      <c r="CL151" t="n">
        <v>45436</v>
      </c>
      <c r="CM151" t="n">
        <v>1275</v>
      </c>
      <c r="CN151" t="n">
        <v>2020</v>
      </c>
    </row>
    <row r="152">
      <c r="A152" t="n">
        <v>75182295</v>
      </c>
      <c r="B152" s="3" t="inlineStr">
        <is>
          <t>Цистерна для перевозки продуктов</t>
        </is>
      </c>
      <c r="C152" t="inlineStr">
        <is>
          <t>15-1219-1П</t>
        </is>
      </c>
      <c r="D152" t="inlineStr">
        <is>
          <t>08.10.2020</t>
        </is>
      </c>
      <c r="E152" t="n">
        <v>2020</v>
      </c>
      <c r="F152" t="inlineStr">
        <is>
          <t>08.10.2050</t>
        </is>
      </c>
      <c r="G152" t="inlineStr">
        <is>
          <t>23.10.2025</t>
        </is>
      </c>
      <c r="H152" t="inlineStr">
        <is>
          <t>ВРД Зелецино - филиал ООО "НВК"</t>
        </is>
      </c>
      <c r="K152" t="inlineStr">
        <is>
          <t>Деповской</t>
        </is>
      </c>
      <c r="L152" t="inlineStr">
        <is>
          <t>23.10.2027</t>
        </is>
      </c>
      <c r="M152" t="inlineStr">
        <is>
          <t>ООО "ТрансАльянс Запад"</t>
        </is>
      </c>
      <c r="N152" t="n">
        <v>160000</v>
      </c>
      <c r="O152" t="n">
        <v>29395</v>
      </c>
      <c r="P152" t="n">
        <v>130605</v>
      </c>
      <c r="Q152" t="inlineStr">
        <is>
          <t>22.11.2029</t>
        </is>
      </c>
      <c r="R152" t="inlineStr">
        <is>
          <t>23.10.2025</t>
        </is>
      </c>
      <c r="S152" s="72" t="inlineStr">
        <is>
          <t> </t>
        </is>
      </c>
      <c r="T152" t="n">
        <v>742774</v>
      </c>
      <c r="U152" t="inlineStr">
        <is>
          <t>0029</t>
        </is>
      </c>
      <c r="V152" t="n">
        <v>2020</v>
      </c>
      <c r="W152" t="n">
        <v>1173</v>
      </c>
      <c r="X152" t="inlineStr">
        <is>
          <t>окт.25</t>
        </is>
      </c>
      <c r="Y152" t="n">
        <v>30</v>
      </c>
      <c r="Z152" t="n">
        <v>29</v>
      </c>
      <c r="AA152" t="n">
        <v>62</v>
      </c>
      <c r="AB152" t="n">
        <v>64</v>
      </c>
      <c r="AC152" s="72" t="inlineStr">
        <is>
          <t> </t>
        </is>
      </c>
      <c r="AD152" t="n">
        <v>734065</v>
      </c>
      <c r="AE152" t="inlineStr">
        <is>
          <t>0029</t>
        </is>
      </c>
      <c r="AF152" t="n">
        <v>2020</v>
      </c>
      <c r="AG152" t="n">
        <v>1173</v>
      </c>
      <c r="AH152" t="inlineStr">
        <is>
          <t>окт.25</t>
        </is>
      </c>
      <c r="AI152" t="n">
        <v>30</v>
      </c>
      <c r="AJ152" t="n">
        <v>29</v>
      </c>
      <c r="AK152" t="n">
        <v>60</v>
      </c>
      <c r="AL152" t="n">
        <v>61</v>
      </c>
      <c r="AM152" s="72" t="inlineStr">
        <is>
          <t> </t>
        </is>
      </c>
      <c r="AN152" t="n">
        <v>742706</v>
      </c>
      <c r="AO152" t="inlineStr">
        <is>
          <t>0029</t>
        </is>
      </c>
      <c r="AP152" t="n">
        <v>2020</v>
      </c>
      <c r="AQ152" t="n">
        <v>1173</v>
      </c>
      <c r="AR152" t="inlineStr">
        <is>
          <t>окт.25</t>
        </is>
      </c>
      <c r="AS152" t="n">
        <v>30</v>
      </c>
      <c r="AT152" t="n">
        <v>30</v>
      </c>
      <c r="AU152" t="n">
        <v>61</v>
      </c>
      <c r="AV152" t="n">
        <v>59</v>
      </c>
      <c r="AW152" s="72" t="inlineStr">
        <is>
          <t> </t>
        </is>
      </c>
      <c r="AX152" t="n">
        <v>445406</v>
      </c>
      <c r="AY152" t="inlineStr">
        <is>
          <t>0005</t>
        </is>
      </c>
      <c r="AZ152" t="n">
        <v>2020</v>
      </c>
      <c r="BA152" t="n">
        <v>1173</v>
      </c>
      <c r="BB152" t="inlineStr">
        <is>
          <t>окт.25</t>
        </is>
      </c>
      <c r="BC152" t="n">
        <v>30</v>
      </c>
      <c r="BD152" t="n">
        <v>30</v>
      </c>
      <c r="BE152" t="n">
        <v>58</v>
      </c>
      <c r="BF152" t="n">
        <v>58</v>
      </c>
      <c r="BG152" s="72" t="inlineStr">
        <is>
          <t> </t>
        </is>
      </c>
      <c r="BH152" t="n">
        <v>27054</v>
      </c>
      <c r="BI152" t="n">
        <v>1275</v>
      </c>
      <c r="BJ152" t="n">
        <v>2020</v>
      </c>
      <c r="BM152" s="72" t="inlineStr">
        <is>
          <t> </t>
        </is>
      </c>
      <c r="BN152" t="n">
        <v>27083</v>
      </c>
      <c r="BO152" t="n">
        <v>1275</v>
      </c>
      <c r="BP152" t="n">
        <v>2020</v>
      </c>
      <c r="BS152" s="72" t="inlineStr">
        <is>
          <t> </t>
        </is>
      </c>
      <c r="BT152" t="n">
        <v>42063</v>
      </c>
      <c r="BU152" t="n">
        <v>1275</v>
      </c>
      <c r="BV152" t="n">
        <v>2020</v>
      </c>
      <c r="BY152" s="72" t="inlineStr">
        <is>
          <t> </t>
        </is>
      </c>
      <c r="BZ152" t="n">
        <v>45174</v>
      </c>
      <c r="CA152" t="n">
        <v>1275</v>
      </c>
      <c r="CB152" t="n">
        <v>2020</v>
      </c>
      <c r="CE152" s="72" t="inlineStr">
        <is>
          <t> </t>
        </is>
      </c>
      <c r="CF152" t="n">
        <v>41879</v>
      </c>
      <c r="CG152" t="n">
        <v>1275</v>
      </c>
      <c r="CH152" t="n">
        <v>2020</v>
      </c>
      <c r="CK152" s="72" t="inlineStr">
        <is>
          <t> </t>
        </is>
      </c>
      <c r="CL152" t="n">
        <v>45069</v>
      </c>
      <c r="CM152" t="n">
        <v>1275</v>
      </c>
      <c r="CN152" t="n">
        <v>2020</v>
      </c>
    </row>
    <row r="153">
      <c r="A153" t="n">
        <v>75182790</v>
      </c>
      <c r="B153" s="3" t="inlineStr">
        <is>
          <t>Цистерна для перевозки продуктов</t>
        </is>
      </c>
      <c r="C153" t="inlineStr">
        <is>
          <t>15-1219-1П</t>
        </is>
      </c>
      <c r="D153" t="inlineStr">
        <is>
          <t>08.10.2020</t>
        </is>
      </c>
      <c r="E153" t="n">
        <v>2020</v>
      </c>
      <c r="F153" t="inlineStr">
        <is>
          <t>08.10.2050</t>
        </is>
      </c>
      <c r="G153" t="inlineStr">
        <is>
          <t>16.09.2025</t>
        </is>
      </c>
      <c r="H153" t="inlineStr">
        <is>
          <t>ВРД Зелецино - филиал ООО "НВК"</t>
        </is>
      </c>
      <c r="K153" t="inlineStr">
        <is>
          <t>Деповской</t>
        </is>
      </c>
      <c r="L153" t="inlineStr">
        <is>
          <t>16.09.2027</t>
        </is>
      </c>
      <c r="M153" t="inlineStr">
        <is>
          <t>ООО "ТрансАльянс Запад"</t>
        </is>
      </c>
      <c r="N153" t="n">
        <v>160000</v>
      </c>
      <c r="O153" t="n">
        <v>26468</v>
      </c>
      <c r="P153" t="n">
        <v>133532</v>
      </c>
      <c r="Q153" t="inlineStr">
        <is>
          <t>09.11.2030</t>
        </is>
      </c>
      <c r="R153" t="inlineStr">
        <is>
          <t>16.09.2025</t>
        </is>
      </c>
      <c r="S153" s="72" t="inlineStr">
        <is>
          <t> </t>
        </is>
      </c>
      <c r="T153" t="n">
        <v>449091</v>
      </c>
      <c r="U153" t="inlineStr">
        <is>
          <t>0005</t>
        </is>
      </c>
      <c r="V153" t="n">
        <v>2020</v>
      </c>
      <c r="W153" t="n">
        <v>1173</v>
      </c>
      <c r="X153" t="inlineStr">
        <is>
          <t>сен.25</t>
        </is>
      </c>
      <c r="Y153" t="n">
        <v>29</v>
      </c>
      <c r="Z153" t="n">
        <v>30</v>
      </c>
      <c r="AA153" t="n">
        <v>61</v>
      </c>
      <c r="AB153" t="n">
        <v>62</v>
      </c>
      <c r="AC153" s="72" t="inlineStr">
        <is>
          <t> </t>
        </is>
      </c>
      <c r="AD153" t="n">
        <v>744881</v>
      </c>
      <c r="AE153" t="inlineStr">
        <is>
          <t>0029</t>
        </is>
      </c>
      <c r="AF153" t="n">
        <v>2020</v>
      </c>
      <c r="AG153" t="n">
        <v>1173</v>
      </c>
      <c r="AH153" t="inlineStr">
        <is>
          <t>сен.25</t>
        </is>
      </c>
      <c r="AI153" t="n">
        <v>30</v>
      </c>
      <c r="AJ153" t="n">
        <v>29</v>
      </c>
      <c r="AK153" t="n">
        <v>60</v>
      </c>
      <c r="AL153" t="n">
        <v>60</v>
      </c>
      <c r="AM153" s="72" t="inlineStr">
        <is>
          <t> </t>
        </is>
      </c>
      <c r="AN153" t="n">
        <v>751409</v>
      </c>
      <c r="AO153" t="inlineStr">
        <is>
          <t>0029</t>
        </is>
      </c>
      <c r="AP153" t="n">
        <v>2020</v>
      </c>
      <c r="AQ153" t="n">
        <v>1173</v>
      </c>
      <c r="AR153" t="inlineStr">
        <is>
          <t>сен.25</t>
        </is>
      </c>
      <c r="AS153" t="n">
        <v>29</v>
      </c>
      <c r="AT153" t="n">
        <v>30</v>
      </c>
      <c r="AU153" t="n">
        <v>63</v>
      </c>
      <c r="AV153" t="n">
        <v>65</v>
      </c>
      <c r="AW153" s="72" t="inlineStr">
        <is>
          <t> </t>
        </is>
      </c>
      <c r="AX153" t="n">
        <v>449112</v>
      </c>
      <c r="AY153" t="inlineStr">
        <is>
          <t>0005</t>
        </is>
      </c>
      <c r="AZ153" t="n">
        <v>2020</v>
      </c>
      <c r="BA153" t="n">
        <v>1173</v>
      </c>
      <c r="BB153" t="inlineStr">
        <is>
          <t>сен.25</t>
        </is>
      </c>
      <c r="BC153" t="n">
        <v>30</v>
      </c>
      <c r="BD153" t="n">
        <v>30</v>
      </c>
      <c r="BE153" t="n">
        <v>62</v>
      </c>
      <c r="BF153" t="n">
        <v>64</v>
      </c>
      <c r="BG153" s="72" t="inlineStr">
        <is>
          <t> </t>
        </is>
      </c>
      <c r="BH153" t="n">
        <v>27133</v>
      </c>
      <c r="BI153" t="n">
        <v>1275</v>
      </c>
      <c r="BJ153" t="n">
        <v>2020</v>
      </c>
      <c r="BM153" s="72" t="inlineStr">
        <is>
          <t> </t>
        </is>
      </c>
      <c r="BN153" t="n">
        <v>27370</v>
      </c>
      <c r="BO153" t="n">
        <v>1275</v>
      </c>
      <c r="BP153" t="n">
        <v>2020</v>
      </c>
      <c r="BS153" s="72" t="inlineStr">
        <is>
          <t> </t>
        </is>
      </c>
      <c r="BT153" t="n">
        <v>41203</v>
      </c>
      <c r="BU153" t="n">
        <v>1275</v>
      </c>
      <c r="BV153" t="n">
        <v>2020</v>
      </c>
      <c r="BY153" s="72" t="inlineStr">
        <is>
          <t> </t>
        </is>
      </c>
      <c r="BZ153" t="n">
        <v>40937</v>
      </c>
      <c r="CA153" t="n">
        <v>1275</v>
      </c>
      <c r="CB153" t="n">
        <v>2020</v>
      </c>
      <c r="CE153" s="72" t="inlineStr">
        <is>
          <t> </t>
        </is>
      </c>
      <c r="CF153" t="n">
        <v>41298</v>
      </c>
      <c r="CG153" t="n">
        <v>1275</v>
      </c>
      <c r="CH153" t="n">
        <v>2020</v>
      </c>
      <c r="CK153" s="72" t="inlineStr">
        <is>
          <t> </t>
        </is>
      </c>
      <c r="CL153" t="n">
        <v>38537</v>
      </c>
      <c r="CM153" t="n">
        <v>1275</v>
      </c>
      <c r="CN153" t="n">
        <v>2020</v>
      </c>
    </row>
    <row r="154">
      <c r="A154" t="n">
        <v>75165696</v>
      </c>
      <c r="B154" s="3" t="inlineStr">
        <is>
          <t>Цистерна для перевозки продуктов</t>
        </is>
      </c>
      <c r="C154" t="inlineStr">
        <is>
          <t>15-1219-1П</t>
        </is>
      </c>
      <c r="D154" t="inlineStr">
        <is>
          <t>29.09.2020</t>
        </is>
      </c>
      <c r="E154" t="n">
        <v>2020</v>
      </c>
      <c r="F154" t="inlineStr">
        <is>
          <t>29.09.2050</t>
        </is>
      </c>
      <c r="G154" t="inlineStr">
        <is>
          <t>22.09.2025</t>
        </is>
      </c>
      <c r="H154" t="inlineStr">
        <is>
          <t>ВРД Зелецино - филиал ООО "НВК"</t>
        </is>
      </c>
      <c r="K154" t="inlineStr">
        <is>
          <t>Деповской</t>
        </is>
      </c>
      <c r="L154" t="inlineStr">
        <is>
          <t>22.09.2027</t>
        </is>
      </c>
      <c r="M154" t="inlineStr">
        <is>
          <t>ООО "ТрансАльянс Запад"</t>
        </is>
      </c>
      <c r="N154" t="n">
        <v>160000</v>
      </c>
      <c r="O154" t="n">
        <v>22224</v>
      </c>
      <c r="P154" t="n">
        <v>137776</v>
      </c>
      <c r="Q154" t="inlineStr">
        <is>
          <t>27.09.2031</t>
        </is>
      </c>
      <c r="R154" t="inlineStr">
        <is>
          <t>22.09.2025</t>
        </is>
      </c>
      <c r="S154" s="72" t="inlineStr">
        <is>
          <t> </t>
        </is>
      </c>
      <c r="T154" t="n">
        <v>446076</v>
      </c>
      <c r="U154" t="inlineStr">
        <is>
          <t>0005</t>
        </is>
      </c>
      <c r="V154" t="n">
        <v>2020</v>
      </c>
      <c r="W154" t="n">
        <v>1173</v>
      </c>
      <c r="X154" t="inlineStr">
        <is>
          <t>сен.25</t>
        </is>
      </c>
      <c r="Y154" t="n">
        <v>30</v>
      </c>
      <c r="Z154" t="n">
        <v>30</v>
      </c>
      <c r="AA154" t="n">
        <v>68</v>
      </c>
      <c r="AB154" t="n">
        <v>68</v>
      </c>
      <c r="AC154" s="72" t="inlineStr">
        <is>
          <t> </t>
        </is>
      </c>
      <c r="AD154" t="n">
        <v>749592</v>
      </c>
      <c r="AE154" t="inlineStr">
        <is>
          <t>0029</t>
        </is>
      </c>
      <c r="AF154" t="n">
        <v>2020</v>
      </c>
      <c r="AG154" t="n">
        <v>1173</v>
      </c>
      <c r="AH154" t="inlineStr">
        <is>
          <t>сен.25</t>
        </is>
      </c>
      <c r="AI154" t="n">
        <v>30</v>
      </c>
      <c r="AJ154" t="n">
        <v>30</v>
      </c>
      <c r="AK154" t="n">
        <v>61</v>
      </c>
      <c r="AL154" t="n">
        <v>61</v>
      </c>
      <c r="AM154" s="72" t="inlineStr">
        <is>
          <t> </t>
        </is>
      </c>
      <c r="AN154" t="n">
        <v>445963</v>
      </c>
      <c r="AO154" t="inlineStr">
        <is>
          <t>0005</t>
        </is>
      </c>
      <c r="AP154" t="n">
        <v>2020</v>
      </c>
      <c r="AQ154" t="n">
        <v>1173</v>
      </c>
      <c r="AR154" t="inlineStr">
        <is>
          <t>сен.25</t>
        </is>
      </c>
      <c r="AS154" t="n">
        <v>30</v>
      </c>
      <c r="AT154" t="n">
        <v>30</v>
      </c>
      <c r="AU154" t="n">
        <v>60</v>
      </c>
      <c r="AV154" t="n">
        <v>60</v>
      </c>
      <c r="AW154" s="72" t="inlineStr">
        <is>
          <t> </t>
        </is>
      </c>
      <c r="AX154" t="n">
        <v>731018</v>
      </c>
      <c r="AY154" t="inlineStr">
        <is>
          <t>0029</t>
        </is>
      </c>
      <c r="AZ154" t="n">
        <v>2020</v>
      </c>
      <c r="BA154" t="n">
        <v>1173</v>
      </c>
      <c r="BB154" t="inlineStr">
        <is>
          <t>сен.25</t>
        </is>
      </c>
      <c r="BC154" t="n">
        <v>30</v>
      </c>
      <c r="BD154" t="n">
        <v>30</v>
      </c>
      <c r="BE154" t="n">
        <v>64</v>
      </c>
      <c r="BF154" t="n">
        <v>64</v>
      </c>
      <c r="BG154" s="72" t="inlineStr">
        <is>
          <t> </t>
        </is>
      </c>
      <c r="BH154" t="n">
        <v>26769</v>
      </c>
      <c r="BI154" t="n">
        <v>1275</v>
      </c>
      <c r="BJ154" t="n">
        <v>2020</v>
      </c>
      <c r="BM154" s="72" t="inlineStr">
        <is>
          <t> </t>
        </is>
      </c>
      <c r="BN154" t="n">
        <v>26753</v>
      </c>
      <c r="BO154" t="n">
        <v>1275</v>
      </c>
      <c r="BP154" t="n">
        <v>2020</v>
      </c>
      <c r="BS154" s="72" t="inlineStr">
        <is>
          <t> </t>
        </is>
      </c>
      <c r="BT154" t="n">
        <v>44196</v>
      </c>
      <c r="BU154" t="n">
        <v>1275</v>
      </c>
      <c r="BV154" t="n">
        <v>2020</v>
      </c>
      <c r="BY154" s="72" t="inlineStr">
        <is>
          <t> </t>
        </is>
      </c>
      <c r="BZ154" t="n">
        <v>44478</v>
      </c>
      <c r="CA154" t="n">
        <v>1275</v>
      </c>
      <c r="CB154" t="n">
        <v>2020</v>
      </c>
      <c r="CE154" s="72" t="inlineStr">
        <is>
          <t> </t>
        </is>
      </c>
      <c r="CF154" t="n">
        <v>44423</v>
      </c>
      <c r="CG154" t="n">
        <v>1275</v>
      </c>
      <c r="CH154" t="n">
        <v>2020</v>
      </c>
      <c r="CK154" s="72" t="inlineStr">
        <is>
          <t> </t>
        </is>
      </c>
      <c r="CL154" t="n">
        <v>44069</v>
      </c>
      <c r="CM154" t="n">
        <v>1275</v>
      </c>
      <c r="CN154" t="n">
        <v>2020</v>
      </c>
    </row>
    <row r="155">
      <c r="A155" t="n">
        <v>75183194</v>
      </c>
      <c r="B155" s="3" t="inlineStr">
        <is>
          <t>Цистерна для перевозки продуктов</t>
        </is>
      </c>
      <c r="C155" t="inlineStr">
        <is>
          <t>15-1219-1П</t>
        </is>
      </c>
      <c r="D155" t="inlineStr">
        <is>
          <t>08.10.2020</t>
        </is>
      </c>
      <c r="E155" t="n">
        <v>2020</v>
      </c>
      <c r="F155" t="inlineStr">
        <is>
          <t>08.10.2050</t>
        </is>
      </c>
      <c r="G155" t="inlineStr">
        <is>
          <t>07.02.2026</t>
        </is>
      </c>
      <c r="H155" t="inlineStr">
        <is>
          <t>ВРД Кочетовка – филиал ООО "НВК"</t>
        </is>
      </c>
      <c r="K155" t="inlineStr">
        <is>
          <t>Деповской</t>
        </is>
      </c>
      <c r="L155" t="inlineStr">
        <is>
          <t>07.02.2028</t>
        </is>
      </c>
      <c r="M155" t="inlineStr">
        <is>
          <t>ООО "ТрансАльянс Запад"</t>
        </is>
      </c>
      <c r="N155" t="n">
        <v>160000</v>
      </c>
      <c r="O155" t="n">
        <v>24506</v>
      </c>
      <c r="P155" t="n">
        <v>135494</v>
      </c>
      <c r="Q155" t="inlineStr">
        <is>
          <t>01.02.2029</t>
        </is>
      </c>
      <c r="R155" t="inlineStr">
        <is>
          <t>07.02.2026</t>
        </is>
      </c>
      <c r="S155" s="72" t="inlineStr">
        <is>
          <t> </t>
        </is>
      </c>
      <c r="T155" t="n">
        <v>751875</v>
      </c>
      <c r="U155" t="inlineStr">
        <is>
          <t>0029</t>
        </is>
      </c>
      <c r="V155" t="n">
        <v>2020</v>
      </c>
      <c r="W155" t="n">
        <v>301</v>
      </c>
      <c r="X155" t="inlineStr">
        <is>
          <t>фев.26</t>
        </is>
      </c>
      <c r="Y155" t="n">
        <v>31</v>
      </c>
      <c r="Z155" t="n">
        <v>31</v>
      </c>
      <c r="AA155" t="n">
        <v>64</v>
      </c>
      <c r="AB155" t="n">
        <v>64</v>
      </c>
      <c r="AC155" s="72" t="inlineStr">
        <is>
          <t> </t>
        </is>
      </c>
      <c r="AD155" t="n">
        <v>751140</v>
      </c>
      <c r="AE155" t="inlineStr">
        <is>
          <t>0029</t>
        </is>
      </c>
      <c r="AF155" t="n">
        <v>2020</v>
      </c>
      <c r="AG155" t="n">
        <v>301</v>
      </c>
      <c r="AH155" t="inlineStr">
        <is>
          <t>фев.26</t>
        </is>
      </c>
      <c r="AI155" t="n">
        <v>31</v>
      </c>
      <c r="AJ155" t="n">
        <v>31</v>
      </c>
      <c r="AK155" t="n">
        <v>65</v>
      </c>
      <c r="AL155" t="n">
        <v>65</v>
      </c>
      <c r="AM155" s="72" t="inlineStr">
        <is>
          <t> </t>
        </is>
      </c>
      <c r="AN155" t="n">
        <v>751906</v>
      </c>
      <c r="AO155" t="inlineStr">
        <is>
          <t>0029</t>
        </is>
      </c>
      <c r="AP155" t="n">
        <v>2020</v>
      </c>
      <c r="AQ155" t="n">
        <v>301</v>
      </c>
      <c r="AR155" t="inlineStr">
        <is>
          <t>фев.26</t>
        </is>
      </c>
      <c r="AS155" t="n">
        <v>31</v>
      </c>
      <c r="AT155" t="n">
        <v>31</v>
      </c>
      <c r="AU155" t="n">
        <v>63</v>
      </c>
      <c r="AV155" t="n">
        <v>63</v>
      </c>
      <c r="AW155" s="72" t="inlineStr">
        <is>
          <t> </t>
        </is>
      </c>
      <c r="AX155" t="n">
        <v>449061</v>
      </c>
      <c r="AY155" t="inlineStr">
        <is>
          <t>0005</t>
        </is>
      </c>
      <c r="AZ155" t="n">
        <v>2020</v>
      </c>
      <c r="BA155" t="n">
        <v>301</v>
      </c>
      <c r="BB155" t="inlineStr">
        <is>
          <t>фев.26</t>
        </is>
      </c>
      <c r="BC155" t="n">
        <v>30</v>
      </c>
      <c r="BD155" t="n">
        <v>30</v>
      </c>
      <c r="BE155" t="n">
        <v>65</v>
      </c>
      <c r="BF155" t="n">
        <v>65</v>
      </c>
      <c r="BG155" s="72" t="inlineStr">
        <is>
          <t> </t>
        </is>
      </c>
      <c r="BH155" t="n">
        <v>27237</v>
      </c>
      <c r="BI155" t="n">
        <v>1275</v>
      </c>
      <c r="BJ155" t="n">
        <v>2020</v>
      </c>
      <c r="BM155" s="72" t="inlineStr">
        <is>
          <t> </t>
        </is>
      </c>
      <c r="BN155" t="n">
        <v>27162</v>
      </c>
      <c r="BO155" t="n">
        <v>1275</v>
      </c>
      <c r="BP155" t="n">
        <v>2020</v>
      </c>
      <c r="BS155" s="72" t="inlineStr">
        <is>
          <t> </t>
        </is>
      </c>
      <c r="BT155" t="n">
        <v>45496</v>
      </c>
      <c r="BU155" t="n">
        <v>1275</v>
      </c>
      <c r="BV155" t="n">
        <v>2020</v>
      </c>
      <c r="BY155" s="72" t="inlineStr">
        <is>
          <t> </t>
        </is>
      </c>
      <c r="BZ155" t="n">
        <v>45337</v>
      </c>
      <c r="CA155" t="n">
        <v>1275</v>
      </c>
      <c r="CB155" t="n">
        <v>2020</v>
      </c>
      <c r="CE155" s="72" t="inlineStr">
        <is>
          <t> </t>
        </is>
      </c>
      <c r="CF155" t="n">
        <v>45506</v>
      </c>
      <c r="CG155" t="n">
        <v>1275</v>
      </c>
      <c r="CH155" t="n">
        <v>2020</v>
      </c>
      <c r="CK155" s="72" t="inlineStr">
        <is>
          <t> </t>
        </is>
      </c>
      <c r="CL155" t="n">
        <v>45502</v>
      </c>
      <c r="CM155" t="n">
        <v>1275</v>
      </c>
      <c r="CN155" t="n">
        <v>2020</v>
      </c>
    </row>
    <row r="156">
      <c r="A156" t="n">
        <v>77223949</v>
      </c>
      <c r="B156" s="3" t="inlineStr">
        <is>
          <t>Цистерна для перевозки продуктов</t>
        </is>
      </c>
      <c r="C156" t="inlineStr">
        <is>
          <t>15-150-04П</t>
        </is>
      </c>
      <c r="D156" t="inlineStr">
        <is>
          <t>06.09.2011</t>
        </is>
      </c>
      <c r="E156" t="n">
        <v>2011</v>
      </c>
      <c r="F156" t="inlineStr">
        <is>
          <t>06.09.2043</t>
        </is>
      </c>
      <c r="G156" t="inlineStr">
        <is>
          <t>22.06.2023</t>
        </is>
      </c>
      <c r="H156" t="inlineStr">
        <is>
          <t>ВРД Кочетовка – филиал ООО "НВК"</t>
        </is>
      </c>
      <c r="I156" t="inlineStr">
        <is>
          <t>12.06.2026</t>
        </is>
      </c>
      <c r="J156" t="inlineStr">
        <is>
          <t>Усть-Каменогорское ВРД</t>
        </is>
      </c>
      <c r="K156" t="inlineStr">
        <is>
          <t>Деповской</t>
        </is>
      </c>
      <c r="L156" t="inlineStr">
        <is>
          <t>12.06.2029</t>
        </is>
      </c>
      <c r="M156" t="inlineStr">
        <is>
          <t>ООО "ТрансАльянс Запад"</t>
        </is>
      </c>
      <c r="N156" t="n">
        <v>160000</v>
      </c>
      <c r="O156" t="n">
        <v>4609</v>
      </c>
      <c r="P156" t="n">
        <v>155391</v>
      </c>
      <c r="Q156" t="inlineStr">
        <is>
          <t>09.06.2030</t>
        </is>
      </c>
      <c r="R156" t="inlineStr">
        <is>
          <t>12.06.2026</t>
        </is>
      </c>
      <c r="S156" s="72" t="inlineStr">
        <is>
          <t> </t>
        </is>
      </c>
      <c r="T156" t="n">
        <v>48371</v>
      </c>
      <c r="U156" t="inlineStr">
        <is>
          <t>0039</t>
        </is>
      </c>
      <c r="V156" t="n">
        <v>1996</v>
      </c>
      <c r="W156" t="n">
        <v>745</v>
      </c>
      <c r="X156" t="inlineStr">
        <is>
          <t>июнь.26</t>
        </is>
      </c>
      <c r="Y156" t="n">
        <v>0</v>
      </c>
      <c r="Z156" t="n">
        <v>0</v>
      </c>
      <c r="AA156" t="n">
        <v>64</v>
      </c>
      <c r="AB156" t="n">
        <v>64</v>
      </c>
      <c r="AC156" s="72" t="inlineStr">
        <is>
          <t> </t>
        </is>
      </c>
      <c r="AD156" t="n">
        <v>3871</v>
      </c>
      <c r="AE156" t="inlineStr">
        <is>
          <t>0186</t>
        </is>
      </c>
      <c r="AF156" t="n">
        <v>1991</v>
      </c>
      <c r="AG156" t="n">
        <v>745</v>
      </c>
      <c r="AH156" t="inlineStr">
        <is>
          <t>июнь.26</t>
        </is>
      </c>
      <c r="AI156" t="n">
        <v>0</v>
      </c>
      <c r="AJ156" t="n">
        <v>0</v>
      </c>
      <c r="AK156" t="n">
        <v>64</v>
      </c>
      <c r="AL156" t="n">
        <v>64</v>
      </c>
      <c r="AM156" s="72" t="inlineStr">
        <is>
          <t> </t>
        </is>
      </c>
      <c r="AN156" t="n">
        <v>286181</v>
      </c>
      <c r="AO156" t="inlineStr">
        <is>
          <t>0005</t>
        </is>
      </c>
      <c r="AP156" t="n">
        <v>2011</v>
      </c>
      <c r="AQ156" t="n">
        <v>745</v>
      </c>
      <c r="AR156" t="inlineStr">
        <is>
          <t>июнь.26</t>
        </is>
      </c>
      <c r="AS156" t="n">
        <v>0</v>
      </c>
      <c r="AT156" t="n">
        <v>0</v>
      </c>
      <c r="AU156" t="n">
        <v>64</v>
      </c>
      <c r="AV156" t="n">
        <v>64</v>
      </c>
      <c r="AW156" s="72" t="inlineStr">
        <is>
          <t> </t>
        </is>
      </c>
      <c r="AX156" t="n">
        <v>286876</v>
      </c>
      <c r="AY156" t="inlineStr">
        <is>
          <t>0005</t>
        </is>
      </c>
      <c r="AZ156" t="n">
        <v>2011</v>
      </c>
      <c r="BA156" t="n">
        <v>745</v>
      </c>
      <c r="BB156" t="inlineStr">
        <is>
          <t>июнь.26</t>
        </is>
      </c>
      <c r="BC156" t="n">
        <v>0</v>
      </c>
      <c r="BD156" t="n">
        <v>0</v>
      </c>
      <c r="BE156" t="n">
        <v>64</v>
      </c>
      <c r="BF156" t="n">
        <v>64</v>
      </c>
      <c r="BG156" s="72" t="inlineStr">
        <is>
          <t> </t>
        </is>
      </c>
      <c r="BH156" t="n">
        <v>69758</v>
      </c>
      <c r="BI156" t="inlineStr">
        <is>
          <t>0014</t>
        </is>
      </c>
      <c r="BJ156" t="n">
        <v>2011</v>
      </c>
      <c r="BM156" s="72" t="inlineStr">
        <is>
          <t> </t>
        </is>
      </c>
      <c r="BN156" t="n">
        <v>69216</v>
      </c>
      <c r="BO156" t="inlineStr">
        <is>
          <t>0014</t>
        </is>
      </c>
      <c r="BP156" t="n">
        <v>2011</v>
      </c>
      <c r="BS156" s="72" t="inlineStr">
        <is>
          <t> </t>
        </is>
      </c>
      <c r="BT156" t="n">
        <v>114063</v>
      </c>
      <c r="BU156" t="inlineStr">
        <is>
          <t>0014</t>
        </is>
      </c>
      <c r="BV156" t="n">
        <v>2011</v>
      </c>
      <c r="BY156" s="72" t="inlineStr">
        <is>
          <t> </t>
        </is>
      </c>
      <c r="BZ156" t="n">
        <v>114142</v>
      </c>
      <c r="CA156" t="inlineStr">
        <is>
          <t>0014</t>
        </is>
      </c>
      <c r="CB156" t="n">
        <v>2011</v>
      </c>
      <c r="CE156" s="72" t="inlineStr">
        <is>
          <t> </t>
        </is>
      </c>
      <c r="CF156" t="n">
        <v>116215</v>
      </c>
      <c r="CG156" t="inlineStr">
        <is>
          <t>0014</t>
        </is>
      </c>
      <c r="CH156" t="n">
        <v>2011</v>
      </c>
      <c r="CK156" s="72" t="inlineStr">
        <is>
          <t> </t>
        </is>
      </c>
      <c r="CL156" t="n">
        <v>114044</v>
      </c>
      <c r="CM156" t="inlineStr">
        <is>
          <t>0014</t>
        </is>
      </c>
      <c r="CN156" t="n">
        <v>2011</v>
      </c>
    </row>
    <row r="157">
      <c r="A157" t="n">
        <v>77228740</v>
      </c>
      <c r="B157" s="3" t="inlineStr">
        <is>
          <t>Цистерна для перевозки продуктов</t>
        </is>
      </c>
      <c r="C157" t="inlineStr">
        <is>
          <t>15-5103-7П</t>
        </is>
      </c>
      <c r="D157" t="inlineStr">
        <is>
          <t>19.01.2015</t>
        </is>
      </c>
      <c r="E157" t="n">
        <v>2015</v>
      </c>
      <c r="F157" t="inlineStr">
        <is>
          <t>19.01.2047</t>
        </is>
      </c>
      <c r="G157" t="inlineStr">
        <is>
          <t>20.08.2025</t>
        </is>
      </c>
      <c r="H157" t="inlineStr">
        <is>
          <t>Орский ВРЗ-филиал ООО "НВК"</t>
        </is>
      </c>
      <c r="K157" t="inlineStr">
        <is>
          <t>Капитальный</t>
        </is>
      </c>
      <c r="L157" t="inlineStr">
        <is>
          <t>20.08.2028</t>
        </is>
      </c>
      <c r="M157" t="inlineStr">
        <is>
          <t>ООО "ТрансАльянс Запад"</t>
        </is>
      </c>
      <c r="N157" t="n">
        <v>160000</v>
      </c>
      <c r="O157" t="n">
        <v>37445</v>
      </c>
      <c r="P157" t="n">
        <v>122555</v>
      </c>
      <c r="Q157" t="inlineStr">
        <is>
          <t>03.08.2029</t>
        </is>
      </c>
      <c r="R157" t="inlineStr">
        <is>
          <t>20.08.2025</t>
        </is>
      </c>
      <c r="S157" s="72" t="inlineStr">
        <is>
          <t> </t>
        </is>
      </c>
      <c r="T157" t="n">
        <v>300586</v>
      </c>
      <c r="U157" t="inlineStr">
        <is>
          <t>0005</t>
        </is>
      </c>
      <c r="V157" t="n">
        <v>2015</v>
      </c>
      <c r="W157" t="n">
        <v>2348</v>
      </c>
      <c r="X157" t="inlineStr">
        <is>
          <t>авг.25</t>
        </is>
      </c>
      <c r="Y157" t="n">
        <v>33</v>
      </c>
      <c r="Z157" t="n">
        <v>33</v>
      </c>
      <c r="AA157" t="n">
        <v>73</v>
      </c>
      <c r="AB157" t="n">
        <v>73</v>
      </c>
      <c r="AC157" s="72" t="inlineStr">
        <is>
          <t> </t>
        </is>
      </c>
      <c r="AD157" t="n">
        <v>200220</v>
      </c>
      <c r="AE157" t="inlineStr">
        <is>
          <t>0005</t>
        </is>
      </c>
      <c r="AF157" t="n">
        <v>2014</v>
      </c>
      <c r="AG157" t="n">
        <v>2348</v>
      </c>
      <c r="AH157" t="inlineStr">
        <is>
          <t>авг.25</t>
        </is>
      </c>
      <c r="AI157" t="n">
        <v>33</v>
      </c>
      <c r="AJ157" t="n">
        <v>33</v>
      </c>
      <c r="AK157" t="n">
        <v>75</v>
      </c>
      <c r="AL157" t="n">
        <v>75</v>
      </c>
      <c r="AM157" s="72" t="inlineStr">
        <is>
          <t> </t>
        </is>
      </c>
      <c r="AN157" t="n">
        <v>186644</v>
      </c>
      <c r="AO157" t="inlineStr">
        <is>
          <t>0005</t>
        </is>
      </c>
      <c r="AP157" t="n">
        <v>2014</v>
      </c>
      <c r="AQ157" t="n">
        <v>2348</v>
      </c>
      <c r="AR157" t="inlineStr">
        <is>
          <t>авг.25</t>
        </is>
      </c>
      <c r="AS157" t="n">
        <v>33</v>
      </c>
      <c r="AT157" t="n">
        <v>33</v>
      </c>
      <c r="AU157" t="n">
        <v>74</v>
      </c>
      <c r="AV157" t="n">
        <v>74</v>
      </c>
      <c r="AW157" s="72" t="inlineStr">
        <is>
          <t> </t>
        </is>
      </c>
      <c r="AX157" t="n">
        <v>302110</v>
      </c>
      <c r="AY157" t="inlineStr">
        <is>
          <t>0005</t>
        </is>
      </c>
      <c r="AZ157" t="n">
        <v>2015</v>
      </c>
      <c r="BA157" t="n">
        <v>2348</v>
      </c>
      <c r="BB157" t="inlineStr">
        <is>
          <t>авг.25</t>
        </is>
      </c>
      <c r="BC157" t="n">
        <v>33</v>
      </c>
      <c r="BD157" t="n">
        <v>33</v>
      </c>
      <c r="BE157" t="n">
        <v>74</v>
      </c>
      <c r="BF157" t="n">
        <v>74</v>
      </c>
      <c r="BG157" s="72" t="inlineStr">
        <is>
          <t> </t>
        </is>
      </c>
      <c r="BH157" t="n">
        <v>35337</v>
      </c>
      <c r="BI157" t="inlineStr">
        <is>
          <t>0005</t>
        </is>
      </c>
      <c r="BJ157" t="n">
        <v>2014</v>
      </c>
      <c r="BM157" s="72" t="inlineStr">
        <is>
          <t> </t>
        </is>
      </c>
      <c r="BN157" t="n">
        <v>35472</v>
      </c>
      <c r="BO157" t="inlineStr">
        <is>
          <t>0005</t>
        </is>
      </c>
      <c r="BP157" t="n">
        <v>2014</v>
      </c>
      <c r="BS157" s="72" t="inlineStr">
        <is>
          <t> </t>
        </is>
      </c>
      <c r="BT157" t="n">
        <v>1414</v>
      </c>
      <c r="BU157" t="inlineStr">
        <is>
          <t>0005</t>
        </is>
      </c>
      <c r="BV157" t="n">
        <v>2015</v>
      </c>
      <c r="BY157" s="72" t="inlineStr">
        <is>
          <t> </t>
        </is>
      </c>
      <c r="BZ157" t="n">
        <v>1602</v>
      </c>
      <c r="CA157" t="inlineStr">
        <is>
          <t>0005</t>
        </is>
      </c>
      <c r="CB157" t="n">
        <v>2015</v>
      </c>
      <c r="CE157" s="72" t="inlineStr">
        <is>
          <t> </t>
        </is>
      </c>
      <c r="CF157" t="n">
        <v>69531</v>
      </c>
      <c r="CG157" t="inlineStr">
        <is>
          <t>0005</t>
        </is>
      </c>
      <c r="CH157" t="n">
        <v>2014</v>
      </c>
      <c r="CK157" s="72" t="inlineStr">
        <is>
          <t> </t>
        </is>
      </c>
      <c r="CL157" t="n">
        <v>943</v>
      </c>
      <c r="CM157" t="inlineStr">
        <is>
          <t>0005</t>
        </is>
      </c>
      <c r="CN157" t="n">
        <v>2015</v>
      </c>
    </row>
    <row r="158">
      <c r="A158" t="n">
        <v>77222081</v>
      </c>
      <c r="B158" s="3" t="inlineStr">
        <is>
          <t>Цистерна для перевозки продуктов</t>
        </is>
      </c>
      <c r="C158" t="inlineStr">
        <is>
          <t>15-5103-7П</t>
        </is>
      </c>
      <c r="D158" t="inlineStr">
        <is>
          <t>05.09.2011</t>
        </is>
      </c>
      <c r="E158" t="n">
        <v>2011</v>
      </c>
      <c r="F158" t="inlineStr">
        <is>
          <t>05.09.2043</t>
        </is>
      </c>
      <c r="G158" t="inlineStr">
        <is>
          <t>30.01.2023</t>
        </is>
      </c>
      <c r="H158" t="inlineStr">
        <is>
          <t>ВРД Кочетовка – филиал ООО "НВК"</t>
        </is>
      </c>
      <c r="I158" t="inlineStr">
        <is>
          <t>24.08.2025</t>
        </is>
      </c>
      <c r="J158" t="inlineStr">
        <is>
          <t>ВРЗ Челябинск – филиал ООО "НВК"</t>
        </is>
      </c>
      <c r="K158" t="inlineStr">
        <is>
          <t>Деповской</t>
        </is>
      </c>
      <c r="L158" t="inlineStr">
        <is>
          <t>24.08.2028</t>
        </is>
      </c>
      <c r="M158" t="inlineStr">
        <is>
          <t>ООО "ТрансАльянс Запад"</t>
        </is>
      </c>
      <c r="N158" t="n">
        <v>160000</v>
      </c>
      <c r="O158" t="n">
        <v>44386</v>
      </c>
      <c r="P158" t="n">
        <v>115614</v>
      </c>
      <c r="Q158" t="inlineStr">
        <is>
          <t>10.12.2028</t>
        </is>
      </c>
      <c r="R158" t="inlineStr">
        <is>
          <t>24.08.2025</t>
        </is>
      </c>
      <c r="S158" s="72" t="inlineStr">
        <is>
          <t> </t>
        </is>
      </c>
      <c r="T158" t="n">
        <v>285276</v>
      </c>
      <c r="U158" t="inlineStr">
        <is>
          <t>0005</t>
        </is>
      </c>
      <c r="V158" t="n">
        <v>2011</v>
      </c>
      <c r="W158" t="n">
        <v>600</v>
      </c>
      <c r="X158" t="inlineStr">
        <is>
          <t>авг.25</t>
        </is>
      </c>
      <c r="Y158" t="n">
        <v>30</v>
      </c>
      <c r="Z158" t="n">
        <v>30</v>
      </c>
      <c r="AA158" t="n">
        <v>66</v>
      </c>
      <c r="AB158" t="n">
        <v>67</v>
      </c>
      <c r="AC158" s="72" t="inlineStr">
        <is>
          <t> </t>
        </is>
      </c>
      <c r="AD158" t="n">
        <v>285207</v>
      </c>
      <c r="AE158" t="inlineStr">
        <is>
          <t>0005</t>
        </is>
      </c>
      <c r="AF158" t="n">
        <v>2011</v>
      </c>
      <c r="AG158" t="n">
        <v>600</v>
      </c>
      <c r="AH158" t="inlineStr">
        <is>
          <t>авг.25</t>
        </is>
      </c>
      <c r="AI158" t="n">
        <v>30</v>
      </c>
      <c r="AJ158" t="n">
        <v>30</v>
      </c>
      <c r="AK158" t="n">
        <v>67</v>
      </c>
      <c r="AL158" t="n">
        <v>67</v>
      </c>
      <c r="AM158" s="72" t="inlineStr">
        <is>
          <t> </t>
        </is>
      </c>
      <c r="AN158" t="n">
        <v>284609</v>
      </c>
      <c r="AO158" t="inlineStr">
        <is>
          <t>0005</t>
        </is>
      </c>
      <c r="AP158" t="n">
        <v>2011</v>
      </c>
      <c r="AQ158" t="n">
        <v>600</v>
      </c>
      <c r="AR158" t="inlineStr">
        <is>
          <t>авг.25</t>
        </is>
      </c>
      <c r="AS158" t="n">
        <v>30</v>
      </c>
      <c r="AT158" t="n">
        <v>30</v>
      </c>
      <c r="AU158" t="n">
        <v>68</v>
      </c>
      <c r="AV158" t="n">
        <v>67</v>
      </c>
      <c r="AW158" s="72" t="inlineStr">
        <is>
          <t> </t>
        </is>
      </c>
      <c r="AX158" t="n">
        <v>282394</v>
      </c>
      <c r="AY158" t="inlineStr">
        <is>
          <t>0005</t>
        </is>
      </c>
      <c r="AZ158" t="n">
        <v>2011</v>
      </c>
      <c r="BA158" t="n">
        <v>600</v>
      </c>
      <c r="BB158" t="inlineStr">
        <is>
          <t>авг.25</t>
        </is>
      </c>
      <c r="BC158" t="n">
        <v>29</v>
      </c>
      <c r="BD158" t="n">
        <v>29</v>
      </c>
      <c r="BE158" t="n">
        <v>69</v>
      </c>
      <c r="BF158" t="n">
        <v>68</v>
      </c>
      <c r="BG158" s="72" t="inlineStr">
        <is>
          <t> </t>
        </is>
      </c>
      <c r="BH158" t="n">
        <v>37648</v>
      </c>
      <c r="BI158" t="inlineStr">
        <is>
          <t>0005</t>
        </is>
      </c>
      <c r="BJ158" t="n">
        <v>2011</v>
      </c>
      <c r="BM158" s="72" t="inlineStr">
        <is>
          <t> </t>
        </is>
      </c>
      <c r="BN158" t="n">
        <v>37053</v>
      </c>
      <c r="BO158" t="inlineStr">
        <is>
          <t>0005</t>
        </is>
      </c>
      <c r="BP158" t="n">
        <v>2011</v>
      </c>
      <c r="BS158" s="72" t="inlineStr">
        <is>
          <t> </t>
        </is>
      </c>
      <c r="BT158" t="n">
        <v>65788</v>
      </c>
      <c r="BU158" t="inlineStr">
        <is>
          <t>0005</t>
        </is>
      </c>
      <c r="BV158" t="n">
        <v>2011</v>
      </c>
      <c r="BY158" s="72" t="inlineStr">
        <is>
          <t> </t>
        </is>
      </c>
      <c r="BZ158" t="n">
        <v>65833</v>
      </c>
      <c r="CA158" t="inlineStr">
        <is>
          <t>0005</t>
        </is>
      </c>
      <c r="CB158" t="n">
        <v>2011</v>
      </c>
      <c r="CE158" s="72" t="inlineStr">
        <is>
          <t> </t>
        </is>
      </c>
      <c r="CF158" t="n">
        <v>63992</v>
      </c>
      <c r="CG158" t="inlineStr">
        <is>
          <t>0005</t>
        </is>
      </c>
      <c r="CH158" t="n">
        <v>2011</v>
      </c>
      <c r="CK158" s="72" t="inlineStr">
        <is>
          <t> </t>
        </is>
      </c>
      <c r="CL158" t="n">
        <v>65980</v>
      </c>
      <c r="CM158" t="inlineStr">
        <is>
          <t>0005</t>
        </is>
      </c>
      <c r="CN158" t="n">
        <v>2011</v>
      </c>
    </row>
    <row r="159">
      <c r="A159" t="n">
        <v>77224574</v>
      </c>
      <c r="B159" s="3" t="inlineStr">
        <is>
          <t>Цистерна для перевозки продуктов</t>
        </is>
      </c>
      <c r="C159" t="inlineStr">
        <is>
          <t>15-5103-7П</t>
        </is>
      </c>
      <c r="D159" t="inlineStr">
        <is>
          <t>16.01.2012</t>
        </is>
      </c>
      <c r="E159" t="n">
        <v>2012</v>
      </c>
      <c r="F159" t="inlineStr">
        <is>
          <t>16.01.2044</t>
        </is>
      </c>
      <c r="G159" t="inlineStr">
        <is>
          <t>11.09.2022</t>
        </is>
      </c>
      <c r="H159" t="inlineStr">
        <is>
          <t>ВРД Кочетовка – филиал ООО "НВК"</t>
        </is>
      </c>
      <c r="I159" t="inlineStr">
        <is>
          <t>23.08.2025</t>
        </is>
      </c>
      <c r="J159" t="inlineStr">
        <is>
          <t>ВРЗ Челябинск – филиал ООО "НВК"</t>
        </is>
      </c>
      <c r="K159" t="inlineStr">
        <is>
          <t>Деповской</t>
        </is>
      </c>
      <c r="L159" t="inlineStr">
        <is>
          <t>23.08.2028</t>
        </is>
      </c>
      <c r="M159" t="inlineStr">
        <is>
          <t>ООО "ТрансАльянс Запад"</t>
        </is>
      </c>
      <c r="N159" t="n">
        <v>160000</v>
      </c>
      <c r="O159" t="n">
        <v>39611</v>
      </c>
      <c r="P159" t="n">
        <v>120389</v>
      </c>
      <c r="Q159" t="inlineStr">
        <is>
          <t>07.05.2029</t>
        </is>
      </c>
      <c r="R159" t="inlineStr">
        <is>
          <t>04.12.2025</t>
        </is>
      </c>
      <c r="S159" s="72" t="inlineStr">
        <is>
          <t> </t>
        </is>
      </c>
      <c r="T159" t="n">
        <v>86503</v>
      </c>
      <c r="U159" t="inlineStr">
        <is>
          <t>0005</t>
        </is>
      </c>
      <c r="V159" t="n">
        <v>2004</v>
      </c>
      <c r="W159" t="n">
        <v>9711</v>
      </c>
      <c r="X159" t="inlineStr">
        <is>
          <t>дек.25</t>
        </is>
      </c>
      <c r="Y159" t="n">
        <v>0</v>
      </c>
      <c r="Z159" t="n">
        <v>0</v>
      </c>
      <c r="AA159" t="n">
        <v>64</v>
      </c>
      <c r="AB159" t="n">
        <v>64</v>
      </c>
      <c r="AC159" s="72" t="inlineStr">
        <is>
          <t> </t>
        </is>
      </c>
      <c r="AD159" t="n">
        <v>944262</v>
      </c>
      <c r="AE159" t="inlineStr">
        <is>
          <t>0029</t>
        </is>
      </c>
      <c r="AF159" t="n">
        <v>2002</v>
      </c>
      <c r="AG159" t="n">
        <v>9711</v>
      </c>
      <c r="AH159" t="inlineStr">
        <is>
          <t>дек.25</t>
        </is>
      </c>
      <c r="AI159" t="n">
        <v>0</v>
      </c>
      <c r="AJ159" t="n">
        <v>0</v>
      </c>
      <c r="AK159" t="n">
        <v>65</v>
      </c>
      <c r="AL159" t="n">
        <v>65</v>
      </c>
      <c r="AM159" s="72" t="inlineStr">
        <is>
          <t> </t>
        </is>
      </c>
      <c r="AN159" t="n">
        <v>597646</v>
      </c>
      <c r="AO159" t="inlineStr">
        <is>
          <t>0029</t>
        </is>
      </c>
      <c r="AP159" t="n">
        <v>1988</v>
      </c>
      <c r="AQ159" t="n">
        <v>9711</v>
      </c>
      <c r="AR159" t="inlineStr">
        <is>
          <t>дек.25</t>
        </is>
      </c>
      <c r="AS159" t="n">
        <v>0</v>
      </c>
      <c r="AT159" t="n">
        <v>0</v>
      </c>
      <c r="AU159" t="n">
        <v>68</v>
      </c>
      <c r="AV159" t="n">
        <v>68</v>
      </c>
      <c r="AW159" s="72" t="inlineStr">
        <is>
          <t> </t>
        </is>
      </c>
      <c r="AX159" t="n">
        <v>16137</v>
      </c>
      <c r="AY159" t="inlineStr">
        <is>
          <t>0119</t>
        </is>
      </c>
      <c r="AZ159" t="n">
        <v>1988</v>
      </c>
      <c r="BA159" t="n">
        <v>9711</v>
      </c>
      <c r="BB159" t="inlineStr">
        <is>
          <t>дек.25</t>
        </is>
      </c>
      <c r="BC159" t="n">
        <v>0</v>
      </c>
      <c r="BD159" t="n">
        <v>0</v>
      </c>
      <c r="BE159" t="n">
        <v>69</v>
      </c>
      <c r="BF159" t="n">
        <v>68</v>
      </c>
      <c r="BG159" s="72" t="inlineStr">
        <is>
          <t> </t>
        </is>
      </c>
      <c r="BH159" t="n">
        <v>10542</v>
      </c>
      <c r="BI159" t="inlineStr">
        <is>
          <t>0005</t>
        </is>
      </c>
      <c r="BJ159" t="n">
        <v>2012</v>
      </c>
      <c r="BM159" s="72" t="inlineStr">
        <is>
          <t> </t>
        </is>
      </c>
      <c r="BN159" t="n">
        <v>10575</v>
      </c>
      <c r="BO159" t="inlineStr">
        <is>
          <t>0005</t>
        </is>
      </c>
      <c r="BP159" t="n">
        <v>2012</v>
      </c>
      <c r="BS159" s="72" t="inlineStr">
        <is>
          <t> </t>
        </is>
      </c>
      <c r="BT159" t="n">
        <v>18202</v>
      </c>
      <c r="BU159" t="inlineStr">
        <is>
          <t>0005</t>
        </is>
      </c>
      <c r="BV159" t="n">
        <v>2012</v>
      </c>
      <c r="BY159" s="72" t="inlineStr">
        <is>
          <t> </t>
        </is>
      </c>
      <c r="BZ159" t="n">
        <v>17949</v>
      </c>
      <c r="CA159" t="inlineStr">
        <is>
          <t>0005</t>
        </is>
      </c>
      <c r="CB159" t="n">
        <v>2012</v>
      </c>
      <c r="CE159" s="72" t="inlineStr">
        <is>
          <t> </t>
        </is>
      </c>
      <c r="CF159" t="n">
        <v>24293</v>
      </c>
      <c r="CG159" t="inlineStr">
        <is>
          <t>0022</t>
        </is>
      </c>
      <c r="CH159" t="n">
        <v>2014</v>
      </c>
      <c r="CK159" s="72" t="inlineStr">
        <is>
          <t> </t>
        </is>
      </c>
      <c r="CL159" t="n">
        <v>17393</v>
      </c>
      <c r="CM159" t="inlineStr">
        <is>
          <t>0005</t>
        </is>
      </c>
      <c r="CN159" t="n">
        <v>2012</v>
      </c>
    </row>
    <row r="160">
      <c r="A160" t="n">
        <v>77228732</v>
      </c>
      <c r="B160" s="3" t="inlineStr">
        <is>
          <t>Цистерна для перевозки продуктов</t>
        </is>
      </c>
      <c r="C160" t="inlineStr">
        <is>
          <t>15-5103-7П</t>
        </is>
      </c>
      <c r="D160" t="inlineStr">
        <is>
          <t>19.01.2015</t>
        </is>
      </c>
      <c r="E160" t="n">
        <v>2015</v>
      </c>
      <c r="F160" t="inlineStr">
        <is>
          <t>19.01.2047</t>
        </is>
      </c>
      <c r="G160" t="inlineStr">
        <is>
          <t>20.08.2025</t>
        </is>
      </c>
      <c r="H160" t="inlineStr">
        <is>
          <t>Орский ВРЗ-филиал ООО "НВК"</t>
        </is>
      </c>
      <c r="K160" t="inlineStr">
        <is>
          <t>Капитальный</t>
        </is>
      </c>
      <c r="L160" t="inlineStr">
        <is>
          <t>20.08.2028</t>
        </is>
      </c>
      <c r="M160" t="inlineStr">
        <is>
          <t>ООО "ТрансАльянс Запад"</t>
        </is>
      </c>
      <c r="N160" t="n">
        <v>160000</v>
      </c>
      <c r="O160" t="n">
        <v>38794</v>
      </c>
      <c r="P160" t="n">
        <v>121206</v>
      </c>
      <c r="Q160" t="inlineStr">
        <is>
          <t>14.06.2029</t>
        </is>
      </c>
      <c r="R160" t="inlineStr">
        <is>
          <t>20.08.2025</t>
        </is>
      </c>
      <c r="S160" s="72" t="inlineStr">
        <is>
          <t> </t>
        </is>
      </c>
      <c r="T160" t="n">
        <v>285876</v>
      </c>
      <c r="U160" t="inlineStr">
        <is>
          <t>0005</t>
        </is>
      </c>
      <c r="V160" t="n">
        <v>2011</v>
      </c>
      <c r="W160" t="n">
        <v>2348</v>
      </c>
      <c r="X160" t="inlineStr">
        <is>
          <t>авг.25</t>
        </is>
      </c>
      <c r="Y160" t="n">
        <v>30</v>
      </c>
      <c r="Z160" t="n">
        <v>30</v>
      </c>
      <c r="AA160" t="n">
        <v>68</v>
      </c>
      <c r="AB160" t="n">
        <v>68</v>
      </c>
      <c r="AC160" s="72" t="inlineStr">
        <is>
          <t> </t>
        </is>
      </c>
      <c r="AD160" t="n">
        <v>45021</v>
      </c>
      <c r="AE160" t="inlineStr">
        <is>
          <t>0039</t>
        </is>
      </c>
      <c r="AF160" t="n">
        <v>2008</v>
      </c>
      <c r="AG160" t="n">
        <v>2348</v>
      </c>
      <c r="AH160" t="inlineStr">
        <is>
          <t>авг.25</t>
        </is>
      </c>
      <c r="AI160" t="n">
        <v>30</v>
      </c>
      <c r="AJ160" t="n">
        <v>30</v>
      </c>
      <c r="AK160" t="n">
        <v>66</v>
      </c>
      <c r="AL160" t="n">
        <v>66</v>
      </c>
      <c r="AM160" s="72" t="inlineStr">
        <is>
          <t> </t>
        </is>
      </c>
      <c r="AN160" t="n">
        <v>215182</v>
      </c>
      <c r="AO160" t="inlineStr">
        <is>
          <t>0005</t>
        </is>
      </c>
      <c r="AP160" t="n">
        <v>2011</v>
      </c>
      <c r="AQ160" t="n">
        <v>2348</v>
      </c>
      <c r="AR160" t="inlineStr">
        <is>
          <t>авг.25</t>
        </is>
      </c>
      <c r="AS160" t="n">
        <v>30</v>
      </c>
      <c r="AT160" t="n">
        <v>30</v>
      </c>
      <c r="AU160" t="n">
        <v>63</v>
      </c>
      <c r="AV160" t="n">
        <v>63</v>
      </c>
      <c r="AW160" s="72" t="inlineStr">
        <is>
          <t> </t>
        </is>
      </c>
      <c r="AX160" t="n">
        <v>163725</v>
      </c>
      <c r="AY160" t="inlineStr">
        <is>
          <t>0029</t>
        </is>
      </c>
      <c r="AZ160" t="n">
        <v>1987</v>
      </c>
      <c r="BA160" t="n">
        <v>2348</v>
      </c>
      <c r="BB160" t="inlineStr">
        <is>
          <t>авг.25</t>
        </is>
      </c>
      <c r="BC160" t="n">
        <v>30</v>
      </c>
      <c r="BD160" t="n">
        <v>30</v>
      </c>
      <c r="BE160" t="n">
        <v>66</v>
      </c>
      <c r="BF160" t="n">
        <v>66</v>
      </c>
      <c r="BG160" s="72" t="inlineStr">
        <is>
          <t> </t>
        </is>
      </c>
      <c r="BH160" t="n">
        <v>35438</v>
      </c>
      <c r="BI160" t="inlineStr">
        <is>
          <t>0005</t>
        </is>
      </c>
      <c r="BJ160" t="n">
        <v>2014</v>
      </c>
      <c r="BM160" s="72" t="inlineStr">
        <is>
          <t> </t>
        </is>
      </c>
      <c r="BN160" t="n">
        <v>35235</v>
      </c>
      <c r="BO160" t="inlineStr">
        <is>
          <t>0005</t>
        </is>
      </c>
      <c r="BP160" t="n">
        <v>2014</v>
      </c>
      <c r="BS160" s="72" t="inlineStr">
        <is>
          <t> </t>
        </is>
      </c>
      <c r="BT160" t="n">
        <v>2296</v>
      </c>
      <c r="BU160" t="inlineStr">
        <is>
          <t>0005</t>
        </is>
      </c>
      <c r="BV160" t="n">
        <v>2015</v>
      </c>
      <c r="BY160" s="72" t="inlineStr">
        <is>
          <t> </t>
        </is>
      </c>
      <c r="BZ160" t="n">
        <v>2637</v>
      </c>
      <c r="CA160" t="inlineStr">
        <is>
          <t>0005</t>
        </is>
      </c>
      <c r="CB160" t="n">
        <v>2015</v>
      </c>
      <c r="CE160" s="72" t="inlineStr">
        <is>
          <t> </t>
        </is>
      </c>
      <c r="CF160" t="n">
        <v>1240</v>
      </c>
      <c r="CG160" t="inlineStr">
        <is>
          <t>0005</t>
        </is>
      </c>
      <c r="CH160" t="n">
        <v>2015</v>
      </c>
      <c r="CK160" s="72" t="inlineStr">
        <is>
          <t> </t>
        </is>
      </c>
      <c r="CL160" t="n">
        <v>67130</v>
      </c>
      <c r="CM160" t="inlineStr">
        <is>
          <t>0012</t>
        </is>
      </c>
      <c r="CN160" t="n">
        <v>2008</v>
      </c>
    </row>
    <row r="161">
      <c r="A161" t="n">
        <v>77227031</v>
      </c>
      <c r="B161" s="3" t="inlineStr">
        <is>
          <t>Цистерна для перевозки продуктов</t>
        </is>
      </c>
      <c r="C161" t="inlineStr">
        <is>
          <t>15-150-04П</t>
        </is>
      </c>
      <c r="D161" t="inlineStr">
        <is>
          <t>28.02.2012</t>
        </is>
      </c>
      <c r="E161" t="n">
        <v>2012</v>
      </c>
      <c r="F161" t="inlineStr">
        <is>
          <t>28.02.2044</t>
        </is>
      </c>
      <c r="G161" t="inlineStr">
        <is>
          <t>15.09.2022</t>
        </is>
      </c>
      <c r="H161" t="inlineStr">
        <is>
          <t>ВЧД Унеча-ООО "НВК"</t>
        </is>
      </c>
      <c r="I161" t="inlineStr">
        <is>
          <t>24.08.2025</t>
        </is>
      </c>
      <c r="J161" t="inlineStr">
        <is>
          <t>ВРЗ Челябинск – филиал ООО "НВК"</t>
        </is>
      </c>
      <c r="K161" t="inlineStr">
        <is>
          <t>Деповской</t>
        </is>
      </c>
      <c r="L161" t="inlineStr">
        <is>
          <t>24.08.2028</t>
        </is>
      </c>
      <c r="M161" t="inlineStr">
        <is>
          <t>ООО "ТрансАльянс Запад"</t>
        </is>
      </c>
      <c r="N161" t="n">
        <v>160000</v>
      </c>
      <c r="O161" t="n">
        <v>44386</v>
      </c>
      <c r="P161" t="n">
        <v>115614</v>
      </c>
      <c r="Q161" t="inlineStr">
        <is>
          <t>10.12.2028</t>
        </is>
      </c>
      <c r="R161" t="inlineStr">
        <is>
          <t>24.08.2025</t>
        </is>
      </c>
      <c r="S161" s="72" t="inlineStr">
        <is>
          <t> </t>
        </is>
      </c>
      <c r="T161" t="n">
        <v>123380</v>
      </c>
      <c r="U161" t="inlineStr">
        <is>
          <t>0005</t>
        </is>
      </c>
      <c r="V161" t="n">
        <v>2012</v>
      </c>
      <c r="W161" t="n">
        <v>600</v>
      </c>
      <c r="X161" t="inlineStr">
        <is>
          <t>авг.25</t>
        </is>
      </c>
      <c r="Y161" t="n">
        <v>33</v>
      </c>
      <c r="Z161" t="n">
        <v>33</v>
      </c>
      <c r="AA161" t="n">
        <v>70</v>
      </c>
      <c r="AB161" t="n">
        <v>70</v>
      </c>
      <c r="AC161" s="72" t="inlineStr">
        <is>
          <t> </t>
        </is>
      </c>
      <c r="AD161" t="n">
        <v>869450</v>
      </c>
      <c r="AE161" t="inlineStr">
        <is>
          <t>0005</t>
        </is>
      </c>
      <c r="AF161" t="n">
        <v>2018</v>
      </c>
      <c r="AG161" t="n">
        <v>600</v>
      </c>
      <c r="AH161" t="inlineStr">
        <is>
          <t>авг.25</t>
        </is>
      </c>
      <c r="AI161" t="n">
        <v>30</v>
      </c>
      <c r="AJ161" t="n">
        <v>30</v>
      </c>
      <c r="AK161" t="n">
        <v>73</v>
      </c>
      <c r="AL161" t="n">
        <v>73</v>
      </c>
      <c r="AM161" s="72" t="inlineStr">
        <is>
          <t> </t>
        </is>
      </c>
      <c r="AN161" t="n">
        <v>180676</v>
      </c>
      <c r="AO161" t="inlineStr">
        <is>
          <t>0005</t>
        </is>
      </c>
      <c r="AP161" t="n">
        <v>2014</v>
      </c>
      <c r="AQ161" t="n">
        <v>600</v>
      </c>
      <c r="AR161" t="inlineStr">
        <is>
          <t>авг.25</t>
        </is>
      </c>
      <c r="AS161" t="n">
        <v>33</v>
      </c>
      <c r="AT161" t="n">
        <v>33</v>
      </c>
      <c r="AU161" t="n">
        <v>74</v>
      </c>
      <c r="AV161" t="n">
        <v>75</v>
      </c>
      <c r="AW161" s="72" t="inlineStr">
        <is>
          <t> </t>
        </is>
      </c>
      <c r="AX161" t="n">
        <v>210823</v>
      </c>
      <c r="AY161" t="inlineStr">
        <is>
          <t>0039</t>
        </is>
      </c>
      <c r="AZ161" t="n">
        <v>2008</v>
      </c>
      <c r="BA161" t="n">
        <v>600</v>
      </c>
      <c r="BB161" t="inlineStr">
        <is>
          <t>авг.25</t>
        </is>
      </c>
      <c r="BC161" t="n">
        <v>33</v>
      </c>
      <c r="BD161" t="n">
        <v>33</v>
      </c>
      <c r="BE161" t="n">
        <v>74</v>
      </c>
      <c r="BF161" t="n">
        <v>74</v>
      </c>
      <c r="BG161" s="72" t="inlineStr">
        <is>
          <t> </t>
        </is>
      </c>
      <c r="BH161" t="n">
        <v>9329</v>
      </c>
      <c r="BI161" t="inlineStr">
        <is>
          <t>0014</t>
        </is>
      </c>
      <c r="BJ161" t="n">
        <v>2012</v>
      </c>
      <c r="BM161" s="72" t="inlineStr">
        <is>
          <t> </t>
        </is>
      </c>
      <c r="BN161" t="n">
        <v>9480</v>
      </c>
      <c r="BO161" t="inlineStr">
        <is>
          <t>0014</t>
        </is>
      </c>
      <c r="BP161" t="n">
        <v>2012</v>
      </c>
      <c r="BS161" s="72" t="inlineStr">
        <is>
          <t> </t>
        </is>
      </c>
      <c r="BT161" t="n">
        <v>15700</v>
      </c>
      <c r="BU161" t="inlineStr">
        <is>
          <t>0014</t>
        </is>
      </c>
      <c r="BV161" t="n">
        <v>2012</v>
      </c>
      <c r="BY161" s="72" t="inlineStr">
        <is>
          <t> </t>
        </is>
      </c>
      <c r="BZ161" t="n">
        <v>15806</v>
      </c>
      <c r="CA161" t="inlineStr">
        <is>
          <t>0014</t>
        </is>
      </c>
      <c r="CB161" t="n">
        <v>2012</v>
      </c>
      <c r="CE161" s="72" t="inlineStr">
        <is>
          <t> </t>
        </is>
      </c>
      <c r="CF161" t="n">
        <v>504836</v>
      </c>
      <c r="CG161" t="inlineStr">
        <is>
          <t>0014</t>
        </is>
      </c>
      <c r="CH161" t="n">
        <v>2012</v>
      </c>
      <c r="CK161" s="72" t="inlineStr">
        <is>
          <t> </t>
        </is>
      </c>
      <c r="CL161" t="n">
        <v>506554</v>
      </c>
      <c r="CM161" t="inlineStr">
        <is>
          <t>0014</t>
        </is>
      </c>
      <c r="CN161" t="n">
        <v>2012</v>
      </c>
    </row>
    <row r="162">
      <c r="A162" t="n">
        <v>77221901</v>
      </c>
      <c r="B162" s="3" t="inlineStr">
        <is>
          <t>Цистерна для перевозки продуктов</t>
        </is>
      </c>
      <c r="C162" t="inlineStr">
        <is>
          <t>15-5103-7П</t>
        </is>
      </c>
      <c r="D162" t="inlineStr">
        <is>
          <t>06.09.2011</t>
        </is>
      </c>
      <c r="E162" t="n">
        <v>2011</v>
      </c>
      <c r="F162" t="inlineStr">
        <is>
          <t>06.09.2043</t>
        </is>
      </c>
      <c r="G162" t="inlineStr">
        <is>
          <t>27.01.2023</t>
        </is>
      </c>
      <c r="H162" t="inlineStr">
        <is>
          <t>ВРД Кочетовка – филиал ООО "НВК"</t>
        </is>
      </c>
      <c r="I162" t="inlineStr">
        <is>
          <t>30.10.2025</t>
        </is>
      </c>
      <c r="J162" t="inlineStr">
        <is>
          <t>Орский ВРЗ-филиал ООО "НВК"</t>
        </is>
      </c>
      <c r="K162" t="inlineStr">
        <is>
          <t>Деповской</t>
        </is>
      </c>
      <c r="L162" t="inlineStr">
        <is>
          <t>30.10.2028</t>
        </is>
      </c>
      <c r="M162" t="inlineStr">
        <is>
          <t>ООО "ТрансАльянс Запад"</t>
        </is>
      </c>
      <c r="N162" t="n">
        <v>160000</v>
      </c>
      <c r="O162" t="n">
        <v>23447</v>
      </c>
      <c r="P162" t="n">
        <v>136553</v>
      </c>
      <c r="Q162" t="inlineStr">
        <is>
          <t>26.10.2030</t>
        </is>
      </c>
      <c r="R162" t="inlineStr">
        <is>
          <t>30.10.2025</t>
        </is>
      </c>
      <c r="S162" s="72" t="inlineStr">
        <is>
          <t> </t>
        </is>
      </c>
      <c r="T162" t="n">
        <v>444332</v>
      </c>
      <c r="U162" t="inlineStr">
        <is>
          <t>0029</t>
        </is>
      </c>
      <c r="V162" t="n">
        <v>2013</v>
      </c>
      <c r="W162" t="n">
        <v>2348</v>
      </c>
      <c r="X162" t="inlineStr">
        <is>
          <t>окт.25</t>
        </is>
      </c>
      <c r="Y162" t="n">
        <v>33</v>
      </c>
      <c r="Z162" t="n">
        <v>33</v>
      </c>
      <c r="AA162" t="n">
        <v>74</v>
      </c>
      <c r="AB162" t="n">
        <v>74</v>
      </c>
      <c r="AC162" s="72" t="inlineStr">
        <is>
          <t> </t>
        </is>
      </c>
      <c r="AD162" t="n">
        <v>285242</v>
      </c>
      <c r="AE162" t="inlineStr">
        <is>
          <t>0005</t>
        </is>
      </c>
      <c r="AF162" t="n">
        <v>2011</v>
      </c>
      <c r="AG162" t="n">
        <v>2348</v>
      </c>
      <c r="AH162" t="inlineStr">
        <is>
          <t>окт.25</t>
        </is>
      </c>
      <c r="AI162" t="n">
        <v>33</v>
      </c>
      <c r="AJ162" t="n">
        <v>33</v>
      </c>
      <c r="AK162" t="n">
        <v>74</v>
      </c>
      <c r="AL162" t="n">
        <v>74</v>
      </c>
      <c r="AM162" s="72" t="inlineStr">
        <is>
          <t> </t>
        </is>
      </c>
      <c r="AN162" t="n">
        <v>285089</v>
      </c>
      <c r="AO162" t="inlineStr">
        <is>
          <t>0005</t>
        </is>
      </c>
      <c r="AP162" t="n">
        <v>2011</v>
      </c>
      <c r="AQ162" t="n">
        <v>2348</v>
      </c>
      <c r="AR162" t="inlineStr">
        <is>
          <t>окт.25</t>
        </is>
      </c>
      <c r="AS162" t="n">
        <v>33</v>
      </c>
      <c r="AT162" t="n">
        <v>33</v>
      </c>
      <c r="AU162" t="n">
        <v>74</v>
      </c>
      <c r="AV162" t="n">
        <v>74</v>
      </c>
      <c r="AW162" s="72" t="inlineStr">
        <is>
          <t> </t>
        </is>
      </c>
      <c r="AX162" t="n">
        <v>123538</v>
      </c>
      <c r="AY162" t="inlineStr">
        <is>
          <t>0005</t>
        </is>
      </c>
      <c r="AZ162" t="n">
        <v>2012</v>
      </c>
      <c r="BA162" t="n">
        <v>2348</v>
      </c>
      <c r="BB162" t="inlineStr">
        <is>
          <t>окт.25</t>
        </is>
      </c>
      <c r="BC162" t="n">
        <v>33</v>
      </c>
      <c r="BD162" t="n">
        <v>33</v>
      </c>
      <c r="BE162" t="n">
        <v>74</v>
      </c>
      <c r="BF162" t="n">
        <v>74</v>
      </c>
      <c r="BG162" s="72" t="inlineStr">
        <is>
          <t> </t>
        </is>
      </c>
      <c r="BH162" t="n">
        <v>37529</v>
      </c>
      <c r="BI162" t="inlineStr">
        <is>
          <t>0005</t>
        </is>
      </c>
      <c r="BJ162" t="n">
        <v>2011</v>
      </c>
      <c r="BM162" s="72" t="inlineStr">
        <is>
          <t> </t>
        </is>
      </c>
      <c r="BN162" t="n">
        <v>38003</v>
      </c>
      <c r="BO162" t="inlineStr">
        <is>
          <t>0005</t>
        </is>
      </c>
      <c r="BP162" t="n">
        <v>2011</v>
      </c>
      <c r="BS162" s="72" t="inlineStr">
        <is>
          <t> </t>
        </is>
      </c>
      <c r="BT162" t="n">
        <v>66816</v>
      </c>
      <c r="BU162" t="inlineStr">
        <is>
          <t>0005</t>
        </is>
      </c>
      <c r="BV162" t="n">
        <v>2011</v>
      </c>
      <c r="BY162" s="72" t="inlineStr">
        <is>
          <t> </t>
        </is>
      </c>
      <c r="BZ162" t="n">
        <v>66810</v>
      </c>
      <c r="CA162" t="inlineStr">
        <is>
          <t>0005</t>
        </is>
      </c>
      <c r="CB162" t="n">
        <v>2011</v>
      </c>
      <c r="CE162" s="72" t="inlineStr">
        <is>
          <t> </t>
        </is>
      </c>
      <c r="CF162" t="n">
        <v>66744</v>
      </c>
      <c r="CG162" t="inlineStr">
        <is>
          <t>0005</t>
        </is>
      </c>
      <c r="CH162" t="n">
        <v>2011</v>
      </c>
      <c r="CK162" s="72" t="inlineStr">
        <is>
          <t> </t>
        </is>
      </c>
      <c r="CL162" t="n">
        <v>66406</v>
      </c>
      <c r="CM162" t="inlineStr">
        <is>
          <t>0005</t>
        </is>
      </c>
      <c r="CN162" t="n">
        <v>2011</v>
      </c>
    </row>
    <row r="163">
      <c r="A163" t="n">
        <v>77221943</v>
      </c>
      <c r="B163" s="3" t="inlineStr">
        <is>
          <t>Цистерна для перевозки продуктов</t>
        </is>
      </c>
      <c r="C163" t="inlineStr">
        <is>
          <t>15-150-04П</t>
        </is>
      </c>
      <c r="D163" t="inlineStr">
        <is>
          <t>28.02.2012</t>
        </is>
      </c>
      <c r="E163" t="n">
        <v>2012</v>
      </c>
      <c r="F163" t="inlineStr">
        <is>
          <t>28.02.2044</t>
        </is>
      </c>
      <c r="G163" t="inlineStr">
        <is>
          <t>18.08.2024</t>
        </is>
      </c>
      <c r="H163" t="inlineStr">
        <is>
          <t>ВРД Кочетовка – филиал ООО "НВК"</t>
        </is>
      </c>
      <c r="K163" t="inlineStr">
        <is>
          <t>Капитальный</t>
        </is>
      </c>
      <c r="L163" t="inlineStr">
        <is>
          <t>18.08.2027</t>
        </is>
      </c>
      <c r="M163" t="inlineStr">
        <is>
          <t>ООО "ТрансАльянс Запад"</t>
        </is>
      </c>
      <c r="N163" t="n">
        <v>160000</v>
      </c>
      <c r="O163" t="n">
        <v>71918</v>
      </c>
      <c r="P163" t="n">
        <v>88082</v>
      </c>
      <c r="Q163" t="inlineStr">
        <is>
          <t>03.12.2028</t>
        </is>
      </c>
      <c r="R163" t="inlineStr">
        <is>
          <t>25.02.2026</t>
        </is>
      </c>
      <c r="S163" s="72" t="inlineStr">
        <is>
          <t> </t>
        </is>
      </c>
      <c r="T163" t="n">
        <v>296202</v>
      </c>
      <c r="U163" t="inlineStr">
        <is>
          <t>0029</t>
        </is>
      </c>
      <c r="V163" t="n">
        <v>2012</v>
      </c>
      <c r="W163" t="n">
        <v>4043</v>
      </c>
      <c r="X163" t="inlineStr">
        <is>
          <t>фев.26</t>
        </is>
      </c>
      <c r="Y163" t="n">
        <v>0</v>
      </c>
      <c r="Z163" t="n">
        <v>0</v>
      </c>
      <c r="AA163" t="n">
        <v>75</v>
      </c>
      <c r="AB163" t="n">
        <v>75</v>
      </c>
      <c r="AC163" s="72" t="inlineStr">
        <is>
          <t> </t>
        </is>
      </c>
      <c r="AD163" t="n">
        <v>691044</v>
      </c>
      <c r="AE163" t="inlineStr">
        <is>
          <t>0029</t>
        </is>
      </c>
      <c r="AF163" t="n">
        <v>1986</v>
      </c>
      <c r="AG163" t="n">
        <v>4043</v>
      </c>
      <c r="AH163" t="inlineStr">
        <is>
          <t>фев.26</t>
        </is>
      </c>
      <c r="AI163" t="n">
        <v>0</v>
      </c>
      <c r="AJ163" t="n">
        <v>0</v>
      </c>
      <c r="AK163" t="n">
        <v>75</v>
      </c>
      <c r="AL163" t="n">
        <v>75</v>
      </c>
      <c r="AM163" s="72" t="inlineStr">
        <is>
          <t> </t>
        </is>
      </c>
      <c r="AN163" t="n">
        <v>25667</v>
      </c>
      <c r="AO163" t="n">
        <v>1175</v>
      </c>
      <c r="AP163" t="n">
        <v>2015</v>
      </c>
      <c r="AQ163" t="n">
        <v>4043</v>
      </c>
      <c r="AR163" t="inlineStr">
        <is>
          <t>фев.26</t>
        </is>
      </c>
      <c r="AS163" t="n">
        <v>0</v>
      </c>
      <c r="AT163" t="n">
        <v>0</v>
      </c>
      <c r="AU163" t="n">
        <v>75</v>
      </c>
      <c r="AV163" t="n">
        <v>75</v>
      </c>
      <c r="AW163" s="72" t="inlineStr">
        <is>
          <t> </t>
        </is>
      </c>
      <c r="AX163" t="n">
        <v>110986</v>
      </c>
      <c r="AY163" t="inlineStr">
        <is>
          <t>0005</t>
        </is>
      </c>
      <c r="AZ163" t="n">
        <v>2012</v>
      </c>
      <c r="BA163" t="n">
        <v>4043</v>
      </c>
      <c r="BB163" t="inlineStr">
        <is>
          <t>фев.26</t>
        </is>
      </c>
      <c r="BC163" t="n">
        <v>0</v>
      </c>
      <c r="BD163" t="n">
        <v>0</v>
      </c>
      <c r="BE163" t="n">
        <v>75</v>
      </c>
      <c r="BF163" t="n">
        <v>75</v>
      </c>
      <c r="BG163" s="72" t="inlineStr">
        <is>
          <t> </t>
        </is>
      </c>
      <c r="BH163" t="n">
        <v>5249</v>
      </c>
      <c r="BI163" t="inlineStr">
        <is>
          <t>0005</t>
        </is>
      </c>
      <c r="BJ163" t="n">
        <v>2012</v>
      </c>
      <c r="BM163" s="72" t="inlineStr">
        <is>
          <t> </t>
        </is>
      </c>
      <c r="BN163" t="n">
        <v>72200</v>
      </c>
      <c r="BO163" t="inlineStr">
        <is>
          <t>0014</t>
        </is>
      </c>
      <c r="BP163" t="n">
        <v>2011</v>
      </c>
      <c r="BS163" s="72" t="inlineStr">
        <is>
          <t> </t>
        </is>
      </c>
      <c r="BT163" t="n">
        <v>13542</v>
      </c>
      <c r="BU163" t="inlineStr">
        <is>
          <t>0014</t>
        </is>
      </c>
      <c r="BV163" t="n">
        <v>2012</v>
      </c>
      <c r="BY163" s="72" t="inlineStr">
        <is>
          <t> </t>
        </is>
      </c>
      <c r="BZ163" t="n">
        <v>4545</v>
      </c>
      <c r="CA163" t="inlineStr">
        <is>
          <t>0014</t>
        </is>
      </c>
      <c r="CB163" t="n">
        <v>2012</v>
      </c>
      <c r="CE163" s="72" t="inlineStr">
        <is>
          <t> </t>
        </is>
      </c>
      <c r="CF163" t="n">
        <v>8625</v>
      </c>
      <c r="CG163" t="inlineStr">
        <is>
          <t>0014</t>
        </is>
      </c>
      <c r="CH163" t="n">
        <v>2012</v>
      </c>
      <c r="CK163" s="72" t="inlineStr">
        <is>
          <t> </t>
        </is>
      </c>
      <c r="CL163" t="n">
        <v>17385</v>
      </c>
      <c r="CM163" t="inlineStr">
        <is>
          <t>0014</t>
        </is>
      </c>
      <c r="CN163" t="n">
        <v>2012</v>
      </c>
    </row>
    <row r="164">
      <c r="A164" t="n">
        <v>77223782</v>
      </c>
      <c r="B164" s="3" t="inlineStr">
        <is>
          <t>Цистерна для перевозки продуктов</t>
        </is>
      </c>
      <c r="C164" t="inlineStr">
        <is>
          <t>15-5103-7П</t>
        </is>
      </c>
      <c r="D164" t="inlineStr">
        <is>
          <t>13.09.2011</t>
        </is>
      </c>
      <c r="E164" t="n">
        <v>2011</v>
      </c>
      <c r="F164" t="inlineStr">
        <is>
          <t>13.09.2043</t>
        </is>
      </c>
      <c r="G164" t="inlineStr">
        <is>
          <t>15.07.2023</t>
        </is>
      </c>
      <c r="H164" t="inlineStr">
        <is>
          <t>ВРД Кочетовка – филиал ООО "НВК"</t>
        </is>
      </c>
      <c r="I164" t="inlineStr">
        <is>
          <t>07.03.2026</t>
        </is>
      </c>
      <c r="J164" t="inlineStr">
        <is>
          <t>Усть-Каменогорское ВРД</t>
        </is>
      </c>
      <c r="K164" t="inlineStr">
        <is>
          <t>Деповской</t>
        </is>
      </c>
      <c r="L164" t="inlineStr">
        <is>
          <t>07.03.2029</t>
        </is>
      </c>
      <c r="M164" t="inlineStr">
        <is>
          <t>ООО "ТрансАльянс Запад"</t>
        </is>
      </c>
      <c r="N164" t="n">
        <v>160000</v>
      </c>
      <c r="O164" t="n">
        <v>14599</v>
      </c>
      <c r="P164" t="n">
        <v>145401</v>
      </c>
      <c r="Q164" t="inlineStr">
        <is>
          <t>08.05.2030</t>
        </is>
      </c>
      <c r="R164" t="inlineStr">
        <is>
          <t>07.03.2026</t>
        </is>
      </c>
      <c r="S164" s="72" t="inlineStr">
        <is>
          <t> </t>
        </is>
      </c>
      <c r="T164" t="n">
        <v>885090</v>
      </c>
      <c r="U164" t="inlineStr">
        <is>
          <t>0029</t>
        </is>
      </c>
      <c r="V164" t="n">
        <v>2010</v>
      </c>
      <c r="W164" t="n">
        <v>745</v>
      </c>
      <c r="X164" t="inlineStr">
        <is>
          <t>мар.26</t>
        </is>
      </c>
      <c r="Y164" t="n">
        <v>0</v>
      </c>
      <c r="Z164" t="n">
        <v>0</v>
      </c>
      <c r="AA164" t="n">
        <v>72</v>
      </c>
      <c r="AB164" t="n">
        <v>72</v>
      </c>
      <c r="AC164" s="72" t="inlineStr">
        <is>
          <t> </t>
        </is>
      </c>
      <c r="AD164" t="n">
        <v>455</v>
      </c>
      <c r="AE164" t="n">
        <v>1226</v>
      </c>
      <c r="AF164" t="n">
        <v>2012</v>
      </c>
      <c r="AG164" t="n">
        <v>745</v>
      </c>
      <c r="AH164" t="inlineStr">
        <is>
          <t>мар.26</t>
        </is>
      </c>
      <c r="AI164" t="n">
        <v>0</v>
      </c>
      <c r="AJ164" t="n">
        <v>0</v>
      </c>
      <c r="AK164" t="n">
        <v>72</v>
      </c>
      <c r="AL164" t="n">
        <v>72</v>
      </c>
      <c r="AM164" s="72" t="inlineStr">
        <is>
          <t> </t>
        </is>
      </c>
      <c r="AN164" t="n">
        <v>233451</v>
      </c>
      <c r="AO164" t="inlineStr">
        <is>
          <t>0005</t>
        </is>
      </c>
      <c r="AP164" t="n">
        <v>2011</v>
      </c>
      <c r="AQ164" t="n">
        <v>745</v>
      </c>
      <c r="AR164" t="inlineStr">
        <is>
          <t>мар.26</t>
        </is>
      </c>
      <c r="AS164" t="n">
        <v>0</v>
      </c>
      <c r="AT164" t="n">
        <v>0</v>
      </c>
      <c r="AU164" t="n">
        <v>75</v>
      </c>
      <c r="AV164" t="n">
        <v>75</v>
      </c>
      <c r="AW164" s="72" t="inlineStr">
        <is>
          <t> </t>
        </is>
      </c>
      <c r="AX164" t="n">
        <v>872810</v>
      </c>
      <c r="AY164" t="inlineStr">
        <is>
          <t>0029</t>
        </is>
      </c>
      <c r="AZ164" t="n">
        <v>2010</v>
      </c>
      <c r="BA164" t="n">
        <v>745</v>
      </c>
      <c r="BB164" t="inlineStr">
        <is>
          <t>мар.26</t>
        </is>
      </c>
      <c r="BC164" t="n">
        <v>0</v>
      </c>
      <c r="BD164" t="n">
        <v>0</v>
      </c>
      <c r="BE164" t="n">
        <v>75</v>
      </c>
      <c r="BF164" t="n">
        <v>75</v>
      </c>
      <c r="BG164" s="72" t="inlineStr">
        <is>
          <t> </t>
        </is>
      </c>
      <c r="BH164" t="n">
        <v>70436</v>
      </c>
      <c r="BI164" t="inlineStr">
        <is>
          <t>0014</t>
        </is>
      </c>
      <c r="BJ164" t="n">
        <v>2011</v>
      </c>
      <c r="BM164" s="72" t="inlineStr">
        <is>
          <t> </t>
        </is>
      </c>
      <c r="BN164" t="n">
        <v>67924</v>
      </c>
      <c r="BO164" t="inlineStr">
        <is>
          <t>0014</t>
        </is>
      </c>
      <c r="BP164" t="n">
        <v>2011</v>
      </c>
      <c r="BS164" s="72" t="inlineStr">
        <is>
          <t> </t>
        </is>
      </c>
      <c r="BT164" t="n">
        <v>117067</v>
      </c>
      <c r="BU164" t="inlineStr">
        <is>
          <t>0014</t>
        </is>
      </c>
      <c r="BV164" t="n">
        <v>2011</v>
      </c>
      <c r="BY164" s="72" t="inlineStr">
        <is>
          <t> </t>
        </is>
      </c>
      <c r="BZ164" t="n">
        <v>117096</v>
      </c>
      <c r="CA164" t="inlineStr">
        <is>
          <t>0014</t>
        </is>
      </c>
      <c r="CB164" t="n">
        <v>2011</v>
      </c>
      <c r="CE164" s="72" t="inlineStr">
        <is>
          <t> </t>
        </is>
      </c>
      <c r="CF164" t="n">
        <v>525939</v>
      </c>
      <c r="CG164" t="inlineStr">
        <is>
          <t>0014</t>
        </is>
      </c>
      <c r="CH164" t="n">
        <v>2011</v>
      </c>
      <c r="CK164" s="72" t="inlineStr">
        <is>
          <t> </t>
        </is>
      </c>
      <c r="CL164" t="n">
        <v>116996</v>
      </c>
      <c r="CM164" t="inlineStr">
        <is>
          <t>0014</t>
        </is>
      </c>
      <c r="CN164" t="n">
        <v>2011</v>
      </c>
    </row>
    <row r="165">
      <c r="A165" t="n">
        <v>77226983</v>
      </c>
      <c r="B165" s="3" t="inlineStr">
        <is>
          <t>Цистерна для перевозки продуктов</t>
        </is>
      </c>
      <c r="C165" t="inlineStr">
        <is>
          <t>15-150-04П</t>
        </is>
      </c>
      <c r="D165" t="inlineStr">
        <is>
          <t>28.02.2012</t>
        </is>
      </c>
      <c r="E165" t="n">
        <v>2012</v>
      </c>
      <c r="F165" t="inlineStr">
        <is>
          <t>28.02.2044</t>
        </is>
      </c>
      <c r="G165" t="inlineStr">
        <is>
          <t>16.11.2023</t>
        </is>
      </c>
      <c r="H165" t="inlineStr">
        <is>
          <t>ВРД Кочетовка – филиал ООО "НВК"</t>
        </is>
      </c>
      <c r="K165" t="inlineStr">
        <is>
          <t>Капитальный</t>
        </is>
      </c>
      <c r="L165" t="inlineStr">
        <is>
          <t>16.11.2026</t>
        </is>
      </c>
      <c r="M165" t="inlineStr">
        <is>
          <t>ООО "ТрансАльянс Запад"</t>
        </is>
      </c>
      <c r="N165" t="n">
        <v>160000</v>
      </c>
      <c r="O165" t="n">
        <v>106041</v>
      </c>
      <c r="P165" t="n">
        <v>53959</v>
      </c>
      <c r="Q165" t="inlineStr">
        <is>
          <t>05.12.2027</t>
        </is>
      </c>
      <c r="R165" t="inlineStr">
        <is>
          <t>16.11.2023</t>
        </is>
      </c>
      <c r="S165" s="72" t="inlineStr">
        <is>
          <t> </t>
        </is>
      </c>
      <c r="T165" t="n">
        <v>434129</v>
      </c>
      <c r="U165" t="inlineStr">
        <is>
          <t>0029</t>
        </is>
      </c>
      <c r="V165" t="n">
        <v>2013</v>
      </c>
      <c r="W165" t="n">
        <v>301</v>
      </c>
      <c r="X165" t="inlineStr">
        <is>
          <t>ноя.23</t>
        </is>
      </c>
      <c r="Y165" t="n">
        <v>30</v>
      </c>
      <c r="Z165" t="n">
        <v>30</v>
      </c>
      <c r="AA165" t="n">
        <v>46</v>
      </c>
      <c r="AB165" t="n">
        <v>46</v>
      </c>
      <c r="AC165" s="72" t="inlineStr">
        <is>
          <t> </t>
        </is>
      </c>
      <c r="AD165" t="n">
        <v>432068</v>
      </c>
      <c r="AE165" t="inlineStr">
        <is>
          <t>0029</t>
        </is>
      </c>
      <c r="AF165" t="n">
        <v>2013</v>
      </c>
      <c r="AG165" t="n">
        <v>301</v>
      </c>
      <c r="AH165" t="inlineStr">
        <is>
          <t>ноя.23</t>
        </is>
      </c>
      <c r="AI165" t="n">
        <v>30</v>
      </c>
      <c r="AJ165" t="n">
        <v>30</v>
      </c>
      <c r="AK165" t="n">
        <v>45</v>
      </c>
      <c r="AL165" t="n">
        <v>45</v>
      </c>
      <c r="AM165" s="72" t="inlineStr">
        <is>
          <t> </t>
        </is>
      </c>
      <c r="AN165" t="n">
        <v>123542</v>
      </c>
      <c r="AO165" t="inlineStr">
        <is>
          <t>0005</t>
        </is>
      </c>
      <c r="AP165" t="n">
        <v>2012</v>
      </c>
      <c r="AQ165" t="n">
        <v>301</v>
      </c>
      <c r="AR165" t="inlineStr">
        <is>
          <t>ноя.23</t>
        </is>
      </c>
      <c r="AS165" t="n">
        <v>30</v>
      </c>
      <c r="AT165" t="n">
        <v>30</v>
      </c>
      <c r="AU165" t="n">
        <v>35</v>
      </c>
      <c r="AV165" t="n">
        <v>35</v>
      </c>
      <c r="AW165" s="72" t="inlineStr">
        <is>
          <t> </t>
        </is>
      </c>
      <c r="AX165" t="n">
        <v>556746</v>
      </c>
      <c r="AY165" t="inlineStr">
        <is>
          <t>0029</t>
        </is>
      </c>
      <c r="AZ165" t="n">
        <v>1994</v>
      </c>
      <c r="BA165" t="n">
        <v>301</v>
      </c>
      <c r="BB165" t="inlineStr">
        <is>
          <t>ноя.23</t>
        </is>
      </c>
      <c r="BC165" t="n">
        <v>30</v>
      </c>
      <c r="BD165" t="n">
        <v>30</v>
      </c>
      <c r="BE165" t="n">
        <v>40</v>
      </c>
      <c r="BF165" t="n">
        <v>40</v>
      </c>
      <c r="BG165" s="72" t="inlineStr">
        <is>
          <t> </t>
        </is>
      </c>
      <c r="BH165" t="n">
        <v>10629</v>
      </c>
      <c r="BI165" t="inlineStr">
        <is>
          <t>0014</t>
        </is>
      </c>
      <c r="BJ165" t="n">
        <v>2012</v>
      </c>
      <c r="BM165" s="72" t="inlineStr">
        <is>
          <t> </t>
        </is>
      </c>
      <c r="BN165" t="n">
        <v>10118</v>
      </c>
      <c r="BO165" t="inlineStr">
        <is>
          <t>0014</t>
        </is>
      </c>
      <c r="BP165" t="n">
        <v>2012</v>
      </c>
      <c r="BS165" s="72" t="inlineStr">
        <is>
          <t> </t>
        </is>
      </c>
      <c r="BT165" t="n">
        <v>15740</v>
      </c>
      <c r="BU165" t="inlineStr">
        <is>
          <t>0014</t>
        </is>
      </c>
      <c r="BV165" t="n">
        <v>2012</v>
      </c>
      <c r="BY165" s="72" t="inlineStr">
        <is>
          <t> </t>
        </is>
      </c>
      <c r="BZ165" t="n">
        <v>20979</v>
      </c>
      <c r="CA165" t="inlineStr">
        <is>
          <t>0014</t>
        </is>
      </c>
      <c r="CB165" t="n">
        <v>2012</v>
      </c>
      <c r="CE165" s="72" t="inlineStr">
        <is>
          <t> </t>
        </is>
      </c>
      <c r="CF165" t="n">
        <v>4848</v>
      </c>
      <c r="CG165" t="inlineStr">
        <is>
          <t>0014</t>
        </is>
      </c>
      <c r="CH165" t="n">
        <v>2012</v>
      </c>
      <c r="CK165" s="72" t="inlineStr">
        <is>
          <t> </t>
        </is>
      </c>
      <c r="CL165" t="n">
        <v>5717</v>
      </c>
      <c r="CM165" t="inlineStr">
        <is>
          <t>0014</t>
        </is>
      </c>
      <c r="CN165" t="n">
        <v>2012</v>
      </c>
    </row>
    <row r="166">
      <c r="A166" t="n">
        <v>77205870</v>
      </c>
      <c r="B166" s="3" t="inlineStr">
        <is>
          <t>Цистерна для перевозки продуктов</t>
        </is>
      </c>
      <c r="C166" t="inlineStr">
        <is>
          <t>15-1755П</t>
        </is>
      </c>
      <c r="D166" t="inlineStr">
        <is>
          <t>20.06.2013</t>
        </is>
      </c>
      <c r="E166" t="n">
        <v>2013</v>
      </c>
      <c r="F166" t="inlineStr">
        <is>
          <t>20.06.2043</t>
        </is>
      </c>
      <c r="G166" t="inlineStr">
        <is>
          <t>22.08.2025</t>
        </is>
      </c>
      <c r="H166" t="inlineStr">
        <is>
          <t>Орский ВРЗ-филиал ООО "НВК"</t>
        </is>
      </c>
      <c r="I166" t="inlineStr">
        <is>
          <t>24.01.2024</t>
        </is>
      </c>
      <c r="J166" t="inlineStr">
        <is>
          <t>ВРД Кочетовка – филиал ООО "НВК"</t>
        </is>
      </c>
      <c r="K166" t="inlineStr">
        <is>
          <t>Деповской</t>
        </is>
      </c>
      <c r="L166" t="inlineStr">
        <is>
          <t>22.08.2027</t>
        </is>
      </c>
      <c r="M166" t="inlineStr">
        <is>
          <t>ООО "ТрансАльянс Запад"</t>
        </is>
      </c>
      <c r="N166" t="n">
        <v>160000</v>
      </c>
      <c r="O166" t="n">
        <v>37210</v>
      </c>
      <c r="P166" t="n">
        <v>122790</v>
      </c>
      <c r="Q166" t="inlineStr">
        <is>
          <t>06.08.2029</t>
        </is>
      </c>
      <c r="R166" t="inlineStr">
        <is>
          <t>22.08.2025</t>
        </is>
      </c>
      <c r="S166" s="72" t="inlineStr">
        <is>
          <t> </t>
        </is>
      </c>
      <c r="T166" t="n">
        <v>518910</v>
      </c>
      <c r="U166" t="inlineStr">
        <is>
          <t>0029</t>
        </is>
      </c>
      <c r="V166" t="n">
        <v>2013</v>
      </c>
      <c r="W166" t="n">
        <v>2348</v>
      </c>
      <c r="X166" t="inlineStr">
        <is>
          <t>авг.25</t>
        </is>
      </c>
      <c r="Y166" t="n">
        <v>30</v>
      </c>
      <c r="Z166" t="n">
        <v>30</v>
      </c>
      <c r="AA166" t="n">
        <v>61</v>
      </c>
      <c r="AB166" t="n">
        <v>61</v>
      </c>
      <c r="AC166" s="72" t="inlineStr">
        <is>
          <t> </t>
        </is>
      </c>
      <c r="AD166" t="n">
        <v>426107</v>
      </c>
      <c r="AE166" t="inlineStr">
        <is>
          <t>0029</t>
        </is>
      </c>
      <c r="AF166" t="n">
        <v>2013</v>
      </c>
      <c r="AG166" t="n">
        <v>2348</v>
      </c>
      <c r="AH166" t="inlineStr">
        <is>
          <t>авг.25</t>
        </is>
      </c>
      <c r="AI166" t="n">
        <v>30</v>
      </c>
      <c r="AJ166" t="n">
        <v>30</v>
      </c>
      <c r="AK166" t="n">
        <v>60</v>
      </c>
      <c r="AL166" t="n">
        <v>60</v>
      </c>
      <c r="AM166" s="72" t="inlineStr">
        <is>
          <t> </t>
        </is>
      </c>
      <c r="AN166" t="n">
        <v>444329</v>
      </c>
      <c r="AO166" t="inlineStr">
        <is>
          <t>0029</t>
        </is>
      </c>
      <c r="AP166" t="n">
        <v>2013</v>
      </c>
      <c r="AQ166" t="n">
        <v>2348</v>
      </c>
      <c r="AR166" t="inlineStr">
        <is>
          <t>авг.25</t>
        </is>
      </c>
      <c r="AS166" t="n">
        <v>30</v>
      </c>
      <c r="AT166" t="n">
        <v>30</v>
      </c>
      <c r="AU166" t="n">
        <v>68</v>
      </c>
      <c r="AV166" t="n">
        <v>67</v>
      </c>
      <c r="AW166" s="72" t="inlineStr">
        <is>
          <t> </t>
        </is>
      </c>
      <c r="AX166" t="n">
        <v>300988</v>
      </c>
      <c r="AY166" t="inlineStr">
        <is>
          <t>0005</t>
        </is>
      </c>
      <c r="AZ166" t="n">
        <v>2015</v>
      </c>
      <c r="BA166" t="n">
        <v>2348</v>
      </c>
      <c r="BB166" t="inlineStr">
        <is>
          <t>авг.25</t>
        </is>
      </c>
      <c r="BC166" t="n">
        <v>30</v>
      </c>
      <c r="BD166" t="n">
        <v>30</v>
      </c>
      <c r="BE166" t="n">
        <v>69</v>
      </c>
      <c r="BF166" t="n">
        <v>69</v>
      </c>
      <c r="BG166" s="72" t="inlineStr">
        <is>
          <t> </t>
        </is>
      </c>
      <c r="BH166" t="n">
        <v>15583</v>
      </c>
      <c r="BI166" t="n">
        <v>1291</v>
      </c>
      <c r="BJ166" t="n">
        <v>2013</v>
      </c>
      <c r="BM166" s="72" t="inlineStr">
        <is>
          <t> </t>
        </is>
      </c>
      <c r="BN166" t="n">
        <v>15850</v>
      </c>
      <c r="BO166" t="n">
        <v>1291</v>
      </c>
      <c r="BP166" t="n">
        <v>2013</v>
      </c>
      <c r="BS166" s="72" t="inlineStr">
        <is>
          <t> </t>
        </is>
      </c>
      <c r="BT166" t="n">
        <v>44080</v>
      </c>
      <c r="BU166" t="n">
        <v>1291</v>
      </c>
      <c r="BV166" t="n">
        <v>2013</v>
      </c>
      <c r="BY166" s="72" t="inlineStr">
        <is>
          <t> </t>
        </is>
      </c>
      <c r="BZ166" t="n">
        <v>44206</v>
      </c>
      <c r="CA166" t="n">
        <v>1291</v>
      </c>
      <c r="CB166" t="n">
        <v>2013</v>
      </c>
      <c r="CE166" s="72" t="inlineStr">
        <is>
          <t> </t>
        </is>
      </c>
      <c r="CF166" t="n">
        <v>45222</v>
      </c>
      <c r="CG166" t="n">
        <v>1291</v>
      </c>
      <c r="CH166" t="n">
        <v>2013</v>
      </c>
      <c r="CK166" s="72" t="inlineStr">
        <is>
          <t> </t>
        </is>
      </c>
      <c r="CL166" t="n">
        <v>45828</v>
      </c>
      <c r="CM166" t="n">
        <v>1291</v>
      </c>
      <c r="CN166" t="n">
        <v>2013</v>
      </c>
    </row>
    <row r="167">
      <c r="A167" t="n">
        <v>77222115</v>
      </c>
      <c r="B167" s="3" t="inlineStr">
        <is>
          <t>Цистерна для перевозки продуктов</t>
        </is>
      </c>
      <c r="C167" t="inlineStr">
        <is>
          <t>15-150-04П</t>
        </is>
      </c>
      <c r="D167" t="inlineStr">
        <is>
          <t>28.02.2012</t>
        </is>
      </c>
      <c r="E167" t="n">
        <v>2012</v>
      </c>
      <c r="F167" t="inlineStr">
        <is>
          <t>28.02.2044</t>
        </is>
      </c>
      <c r="G167" t="inlineStr">
        <is>
          <t>29.09.2022</t>
        </is>
      </c>
      <c r="H167" t="inlineStr">
        <is>
          <t>ВЧД Унеча-ООО "НВК"</t>
        </is>
      </c>
      <c r="I167" t="inlineStr">
        <is>
          <t>22.08.2025</t>
        </is>
      </c>
      <c r="J167" t="inlineStr">
        <is>
          <t>ВРЗ Челябинск – филиал ООО "НВК"</t>
        </is>
      </c>
      <c r="K167" t="inlineStr">
        <is>
          <t>Деповской</t>
        </is>
      </c>
      <c r="L167" t="inlineStr">
        <is>
          <t>22.08.2028</t>
        </is>
      </c>
      <c r="M167" t="inlineStr">
        <is>
          <t>ООО "ТрансАльянс Запад"</t>
        </is>
      </c>
      <c r="N167" t="n">
        <v>160000</v>
      </c>
      <c r="O167" t="n">
        <v>35385</v>
      </c>
      <c r="P167" t="n">
        <v>124615</v>
      </c>
      <c r="Q167" t="inlineStr">
        <is>
          <t>19.10.2029</t>
        </is>
      </c>
      <c r="R167" t="inlineStr">
        <is>
          <t>22.08.2025</t>
        </is>
      </c>
      <c r="S167" s="72" t="inlineStr">
        <is>
          <t> </t>
        </is>
      </c>
      <c r="T167" t="n">
        <v>122883</v>
      </c>
      <c r="U167" t="inlineStr">
        <is>
          <t>0005</t>
        </is>
      </c>
      <c r="V167" t="n">
        <v>2012</v>
      </c>
      <c r="W167" t="n">
        <v>600</v>
      </c>
      <c r="X167" t="inlineStr">
        <is>
          <t>авг.25</t>
        </is>
      </c>
      <c r="Y167" t="n">
        <v>32</v>
      </c>
      <c r="Z167" t="n">
        <v>32</v>
      </c>
      <c r="AA167" t="n">
        <v>56</v>
      </c>
      <c r="AB167" t="n">
        <v>55</v>
      </c>
      <c r="AC167" s="72" t="inlineStr">
        <is>
          <t> </t>
        </is>
      </c>
      <c r="AD167" t="n">
        <v>307260</v>
      </c>
      <c r="AE167" t="inlineStr">
        <is>
          <t>0005</t>
        </is>
      </c>
      <c r="AF167" t="n">
        <v>2011</v>
      </c>
      <c r="AG167" t="n">
        <v>600</v>
      </c>
      <c r="AH167" t="inlineStr">
        <is>
          <t>авг.25</t>
        </is>
      </c>
      <c r="AI167" t="n">
        <v>29</v>
      </c>
      <c r="AJ167" t="n">
        <v>29</v>
      </c>
      <c r="AK167" t="n">
        <v>62</v>
      </c>
      <c r="AL167" t="n">
        <v>62</v>
      </c>
      <c r="AM167" s="72" t="inlineStr">
        <is>
          <t> </t>
        </is>
      </c>
      <c r="AN167" t="n">
        <v>105960</v>
      </c>
      <c r="AO167" t="inlineStr">
        <is>
          <t>0005</t>
        </is>
      </c>
      <c r="AP167" t="n">
        <v>2012</v>
      </c>
      <c r="AQ167" t="n">
        <v>600</v>
      </c>
      <c r="AR167" t="inlineStr">
        <is>
          <t>авг.25</t>
        </is>
      </c>
      <c r="AS167" t="n">
        <v>29</v>
      </c>
      <c r="AT167" t="n">
        <v>29</v>
      </c>
      <c r="AU167" t="n">
        <v>66</v>
      </c>
      <c r="AV167" t="n">
        <v>66</v>
      </c>
      <c r="AW167" s="72" t="inlineStr">
        <is>
          <t> </t>
        </is>
      </c>
      <c r="AX167" t="n">
        <v>121361</v>
      </c>
      <c r="AY167" t="inlineStr">
        <is>
          <t>0005</t>
        </is>
      </c>
      <c r="AZ167" t="n">
        <v>2012</v>
      </c>
      <c r="BA167" t="n">
        <v>600</v>
      </c>
      <c r="BB167" t="inlineStr">
        <is>
          <t>авг.25</t>
        </is>
      </c>
      <c r="BC167" t="n">
        <v>30</v>
      </c>
      <c r="BD167" t="n">
        <v>30</v>
      </c>
      <c r="BE167" t="n">
        <v>68</v>
      </c>
      <c r="BF167" t="n">
        <v>68</v>
      </c>
      <c r="BG167" s="72" t="inlineStr">
        <is>
          <t> </t>
        </is>
      </c>
      <c r="BH167" t="n">
        <v>10691</v>
      </c>
      <c r="BI167" t="inlineStr">
        <is>
          <t>0005</t>
        </is>
      </c>
      <c r="BJ167" t="n">
        <v>2012</v>
      </c>
      <c r="BM167" s="72" t="inlineStr">
        <is>
          <t> </t>
        </is>
      </c>
      <c r="BN167" t="n">
        <v>10669</v>
      </c>
      <c r="BO167" t="inlineStr">
        <is>
          <t>0005</t>
        </is>
      </c>
      <c r="BP167" t="n">
        <v>2012</v>
      </c>
      <c r="BS167" s="72" t="inlineStr">
        <is>
          <t> </t>
        </is>
      </c>
      <c r="BT167" t="n">
        <v>18759</v>
      </c>
      <c r="BU167" t="inlineStr">
        <is>
          <t>0005</t>
        </is>
      </c>
      <c r="BV167" t="n">
        <v>2012</v>
      </c>
      <c r="BY167" s="72" t="inlineStr">
        <is>
          <t> </t>
        </is>
      </c>
      <c r="BZ167" t="n">
        <v>17994</v>
      </c>
      <c r="CA167" t="inlineStr">
        <is>
          <t>0005</t>
        </is>
      </c>
      <c r="CB167" t="n">
        <v>2012</v>
      </c>
      <c r="CE167" s="72" t="inlineStr">
        <is>
          <t> </t>
        </is>
      </c>
      <c r="CF167" t="n">
        <v>18524</v>
      </c>
      <c r="CG167" t="inlineStr">
        <is>
          <t>0005</t>
        </is>
      </c>
      <c r="CH167" t="n">
        <v>2012</v>
      </c>
      <c r="CK167" s="72" t="inlineStr">
        <is>
          <t> </t>
        </is>
      </c>
      <c r="CL167" t="n">
        <v>18511</v>
      </c>
      <c r="CM167" t="inlineStr">
        <is>
          <t>0005</t>
        </is>
      </c>
      <c r="CN167" t="n">
        <v>2012</v>
      </c>
    </row>
    <row r="168">
      <c r="A168" t="n">
        <v>77223774</v>
      </c>
      <c r="B168" s="3" t="inlineStr">
        <is>
          <t>Цистерна для перевозки продуктов</t>
        </is>
      </c>
      <c r="C168" t="inlineStr">
        <is>
          <t>15-5103-7П</t>
        </is>
      </c>
      <c r="D168" t="inlineStr">
        <is>
          <t>30.08.2011</t>
        </is>
      </c>
      <c r="E168" t="n">
        <v>2011</v>
      </c>
      <c r="F168" t="inlineStr">
        <is>
          <t>30.08.2043</t>
        </is>
      </c>
      <c r="G168" t="inlineStr">
        <is>
          <t>23.04.2023</t>
        </is>
      </c>
      <c r="H168" t="inlineStr">
        <is>
          <t>ВРД Кочетовка – филиал ООО "НВК"</t>
        </is>
      </c>
      <c r="I168" t="inlineStr">
        <is>
          <t>13.05.2025</t>
        </is>
      </c>
      <c r="J168" t="inlineStr">
        <is>
          <t>ВРД Кочетовка – филиал ООО "НВК"</t>
        </is>
      </c>
      <c r="K168" t="inlineStr">
        <is>
          <t>Деповской</t>
        </is>
      </c>
      <c r="L168" t="inlineStr">
        <is>
          <t>13.05.2028</t>
        </is>
      </c>
      <c r="M168" t="inlineStr">
        <is>
          <t>ООО "ТрансАльянс Запад"</t>
        </is>
      </c>
      <c r="N168" t="n">
        <v>160000</v>
      </c>
      <c r="O168" t="n">
        <v>45599</v>
      </c>
      <c r="P168" t="n">
        <v>114401</v>
      </c>
      <c r="Q168" t="inlineStr">
        <is>
          <t>24.07.2029</t>
        </is>
      </c>
      <c r="R168" t="inlineStr">
        <is>
          <t>20.08.2025</t>
        </is>
      </c>
      <c r="S168" s="72" t="inlineStr">
        <is>
          <t> </t>
        </is>
      </c>
      <c r="T168" t="n">
        <v>523026</v>
      </c>
      <c r="U168" t="inlineStr">
        <is>
          <t>0029</t>
        </is>
      </c>
      <c r="V168" t="n">
        <v>2014</v>
      </c>
      <c r="W168" t="n">
        <v>4052</v>
      </c>
      <c r="X168" t="inlineStr">
        <is>
          <t>авг.25</t>
        </is>
      </c>
      <c r="Y168" t="n">
        <v>30</v>
      </c>
      <c r="Z168" t="n">
        <v>30</v>
      </c>
      <c r="AA168" t="n">
        <v>70</v>
      </c>
      <c r="AB168" t="n">
        <v>70</v>
      </c>
      <c r="AC168" s="72" t="inlineStr">
        <is>
          <t> </t>
        </is>
      </c>
      <c r="AD168" t="n">
        <v>1691</v>
      </c>
      <c r="AE168" t="n">
        <v>1226</v>
      </c>
      <c r="AF168" t="n">
        <v>2014</v>
      </c>
      <c r="AG168" t="n">
        <v>4052</v>
      </c>
      <c r="AH168" t="inlineStr">
        <is>
          <t>авг.25</t>
        </is>
      </c>
      <c r="AI168" t="n">
        <v>30</v>
      </c>
      <c r="AJ168" t="n">
        <v>30</v>
      </c>
      <c r="AK168" t="n">
        <v>70</v>
      </c>
      <c r="AL168" t="n">
        <v>70</v>
      </c>
      <c r="AM168" s="72" t="inlineStr">
        <is>
          <t> </t>
        </is>
      </c>
      <c r="AN168" t="n">
        <v>444192</v>
      </c>
      <c r="AO168" t="inlineStr">
        <is>
          <t>0029</t>
        </is>
      </c>
      <c r="AP168" t="n">
        <v>2013</v>
      </c>
      <c r="AQ168" t="n">
        <v>4052</v>
      </c>
      <c r="AR168" t="inlineStr">
        <is>
          <t>авг.25</t>
        </is>
      </c>
      <c r="AS168" t="n">
        <v>30</v>
      </c>
      <c r="AT168" t="n">
        <v>30</v>
      </c>
      <c r="AU168" t="n">
        <v>70</v>
      </c>
      <c r="AV168" t="n">
        <v>70</v>
      </c>
      <c r="AW168" s="72" t="inlineStr">
        <is>
          <t> </t>
        </is>
      </c>
      <c r="AX168" t="n">
        <v>522965</v>
      </c>
      <c r="AY168" t="inlineStr">
        <is>
          <t>0029</t>
        </is>
      </c>
      <c r="AZ168" t="n">
        <v>2014</v>
      </c>
      <c r="BA168" t="n">
        <v>4052</v>
      </c>
      <c r="BB168" t="inlineStr">
        <is>
          <t>авг.25</t>
        </is>
      </c>
      <c r="BC168" t="n">
        <v>30</v>
      </c>
      <c r="BD168" t="n">
        <v>30</v>
      </c>
      <c r="BE168" t="n">
        <v>68</v>
      </c>
      <c r="BF168" t="n">
        <v>68</v>
      </c>
      <c r="BG168" s="72" t="inlineStr">
        <is>
          <t> </t>
        </is>
      </c>
      <c r="BH168" t="n">
        <v>60687</v>
      </c>
      <c r="BI168" t="inlineStr">
        <is>
          <t>0014</t>
        </is>
      </c>
      <c r="BJ168" t="n">
        <v>2011</v>
      </c>
      <c r="BM168" s="72" t="inlineStr">
        <is>
          <t> </t>
        </is>
      </c>
      <c r="BN168" t="n">
        <v>60410</v>
      </c>
      <c r="BO168" t="inlineStr">
        <is>
          <t>0014</t>
        </is>
      </c>
      <c r="BP168" t="n">
        <v>2011</v>
      </c>
      <c r="BS168" s="72" t="inlineStr">
        <is>
          <t> </t>
        </is>
      </c>
      <c r="BT168" t="n">
        <v>523510</v>
      </c>
      <c r="BU168" t="inlineStr">
        <is>
          <t>0014</t>
        </is>
      </c>
      <c r="BV168" t="n">
        <v>2011</v>
      </c>
      <c r="BY168" s="72" t="inlineStr">
        <is>
          <t> </t>
        </is>
      </c>
      <c r="BZ168" t="n">
        <v>102113</v>
      </c>
      <c r="CA168" t="inlineStr">
        <is>
          <t>0014</t>
        </is>
      </c>
      <c r="CB168" t="n">
        <v>2011</v>
      </c>
      <c r="CE168" s="72" t="inlineStr">
        <is>
          <t> </t>
        </is>
      </c>
      <c r="CF168" t="n">
        <v>102293</v>
      </c>
      <c r="CG168" t="inlineStr">
        <is>
          <t>0014</t>
        </is>
      </c>
      <c r="CH168" t="n">
        <v>2011</v>
      </c>
      <c r="CK168" s="72" t="inlineStr">
        <is>
          <t> </t>
        </is>
      </c>
      <c r="CL168" t="n">
        <v>102034</v>
      </c>
      <c r="CM168" t="inlineStr">
        <is>
          <t>0014</t>
        </is>
      </c>
      <c r="CN168" t="n">
        <v>2011</v>
      </c>
    </row>
    <row r="169">
      <c r="A169" t="n">
        <v>77222206</v>
      </c>
      <c r="B169" s="3" t="inlineStr">
        <is>
          <t>Цистерна для перевозки продуктов</t>
        </is>
      </c>
      <c r="C169" t="inlineStr">
        <is>
          <t>15-1755П</t>
        </is>
      </c>
      <c r="D169" t="inlineStr">
        <is>
          <t>16.04.2014</t>
        </is>
      </c>
      <c r="E169" t="n">
        <v>2014</v>
      </c>
      <c r="F169" t="inlineStr">
        <is>
          <t>16.04.2044</t>
        </is>
      </c>
      <c r="G169" t="inlineStr">
        <is>
          <t>14.01.2023</t>
        </is>
      </c>
      <c r="H169" t="inlineStr">
        <is>
          <t>ВРД Кочетовка – филиал ООО "НВК"</t>
        </is>
      </c>
      <c r="I169" t="inlineStr">
        <is>
          <t>28.12.2024</t>
        </is>
      </c>
      <c r="J169" t="inlineStr">
        <is>
          <t>ВЧД Унеча-ООО "НВК"</t>
        </is>
      </c>
      <c r="K169" t="inlineStr">
        <is>
          <t>Деповской</t>
        </is>
      </c>
      <c r="L169" t="inlineStr">
        <is>
          <t>28.12.2026</t>
        </is>
      </c>
      <c r="M169" t="inlineStr">
        <is>
          <t>ООО "ТрансАльянс Запад"</t>
        </is>
      </c>
      <c r="N169" t="n">
        <v>160000</v>
      </c>
      <c r="O169" t="n">
        <v>65153</v>
      </c>
      <c r="P169" t="n">
        <v>94847</v>
      </c>
      <c r="Q169" t="inlineStr">
        <is>
          <t>04.11.2028</t>
        </is>
      </c>
      <c r="R169" t="inlineStr">
        <is>
          <t>26.07.2025</t>
        </is>
      </c>
      <c r="S169" s="72" t="inlineStr">
        <is>
          <t> </t>
        </is>
      </c>
      <c r="T169" t="n">
        <v>577</v>
      </c>
      <c r="U169" t="n">
        <v>1175</v>
      </c>
      <c r="V169" t="n">
        <v>2009</v>
      </c>
      <c r="W169" t="n">
        <v>4378</v>
      </c>
      <c r="X169" t="inlineStr">
        <is>
          <t>июль.25</t>
        </is>
      </c>
      <c r="Y169" t="n">
        <v>30</v>
      </c>
      <c r="Z169" t="n">
        <v>30</v>
      </c>
      <c r="AA169" t="n">
        <v>68</v>
      </c>
      <c r="AB169" t="n">
        <v>68</v>
      </c>
      <c r="AC169" s="72" t="inlineStr">
        <is>
          <t> </t>
        </is>
      </c>
      <c r="AD169" t="n">
        <v>523254</v>
      </c>
      <c r="AE169" t="inlineStr">
        <is>
          <t>0029</t>
        </is>
      </c>
      <c r="AF169" t="n">
        <v>2014</v>
      </c>
      <c r="AG169" t="n">
        <v>4378</v>
      </c>
      <c r="AH169" t="inlineStr">
        <is>
          <t>июль.25</t>
        </is>
      </c>
      <c r="AI169" t="n">
        <v>30</v>
      </c>
      <c r="AJ169" t="n">
        <v>30</v>
      </c>
      <c r="AK169" t="n">
        <v>65</v>
      </c>
      <c r="AL169" t="n">
        <v>65</v>
      </c>
      <c r="AM169" s="72" t="inlineStr">
        <is>
          <t> </t>
        </is>
      </c>
      <c r="AN169" t="n">
        <v>672764</v>
      </c>
      <c r="AO169" t="inlineStr">
        <is>
          <t>0029</t>
        </is>
      </c>
      <c r="AP169" t="n">
        <v>1981</v>
      </c>
      <c r="AQ169" t="n">
        <v>4378</v>
      </c>
      <c r="AR169" t="inlineStr">
        <is>
          <t>июль.25</t>
        </is>
      </c>
      <c r="AS169" t="n">
        <v>30</v>
      </c>
      <c r="AT169" t="n">
        <v>30</v>
      </c>
      <c r="AU169" t="n">
        <v>69</v>
      </c>
      <c r="AV169" t="n">
        <v>69</v>
      </c>
      <c r="AW169" s="72" t="inlineStr">
        <is>
          <t> </t>
        </is>
      </c>
      <c r="AX169" t="n">
        <v>46040</v>
      </c>
      <c r="AY169" t="inlineStr">
        <is>
          <t>0039</t>
        </is>
      </c>
      <c r="AZ169" t="n">
        <v>1990</v>
      </c>
      <c r="BA169" t="n">
        <v>4378</v>
      </c>
      <c r="BB169" t="inlineStr">
        <is>
          <t>июль.25</t>
        </is>
      </c>
      <c r="BC169" t="n">
        <v>30</v>
      </c>
      <c r="BD169" t="n">
        <v>30</v>
      </c>
      <c r="BE169" t="n">
        <v>69</v>
      </c>
      <c r="BF169" t="n">
        <v>69</v>
      </c>
      <c r="BG169" s="72" t="inlineStr">
        <is>
          <t> </t>
        </is>
      </c>
      <c r="BH169" t="n">
        <v>50224</v>
      </c>
      <c r="BI169" t="n">
        <v>1291</v>
      </c>
      <c r="BJ169" t="n">
        <v>2014</v>
      </c>
      <c r="BM169" s="72" t="inlineStr">
        <is>
          <t> </t>
        </is>
      </c>
      <c r="BN169" t="n">
        <v>51326</v>
      </c>
      <c r="BO169" t="n">
        <v>1291</v>
      </c>
      <c r="BP169" t="n">
        <v>2014</v>
      </c>
      <c r="BS169" s="72" t="inlineStr">
        <is>
          <t> </t>
        </is>
      </c>
      <c r="BT169" t="n">
        <v>2159</v>
      </c>
      <c r="BU169" t="n">
        <v>1291</v>
      </c>
      <c r="BV169" t="n">
        <v>2014</v>
      </c>
      <c r="BY169" s="72" t="inlineStr">
        <is>
          <t> </t>
        </is>
      </c>
      <c r="BZ169" t="n">
        <v>284</v>
      </c>
      <c r="CA169" t="n">
        <v>1291</v>
      </c>
      <c r="CB169" t="n">
        <v>2014</v>
      </c>
      <c r="CE169" s="72" t="inlineStr">
        <is>
          <t> </t>
        </is>
      </c>
      <c r="CF169" t="n">
        <v>4234</v>
      </c>
      <c r="CG169" t="n">
        <v>1291</v>
      </c>
      <c r="CH169" t="n">
        <v>2014</v>
      </c>
      <c r="CK169" s="72" t="inlineStr">
        <is>
          <t> </t>
        </is>
      </c>
      <c r="CL169" t="n">
        <v>3614</v>
      </c>
      <c r="CM169" t="n">
        <v>1291</v>
      </c>
      <c r="CN169" t="n">
        <v>2014</v>
      </c>
    </row>
    <row r="170">
      <c r="A170" t="n">
        <v>77205714</v>
      </c>
      <c r="B170" s="3" t="inlineStr">
        <is>
          <t>Цистерна для перевозки продуктов</t>
        </is>
      </c>
      <c r="C170" t="inlineStr">
        <is>
          <t>15-1755П</t>
        </is>
      </c>
      <c r="D170" t="inlineStr">
        <is>
          <t>20.06.2013</t>
        </is>
      </c>
      <c r="E170" t="n">
        <v>2013</v>
      </c>
      <c r="F170" t="inlineStr">
        <is>
          <t>20.06.2043</t>
        </is>
      </c>
      <c r="G170" t="inlineStr">
        <is>
          <t>24.10.2025</t>
        </is>
      </c>
      <c r="H170" t="inlineStr">
        <is>
          <t>ВРД Тольятти – филиал ООО "НВК"</t>
        </is>
      </c>
      <c r="I170" t="inlineStr">
        <is>
          <t>19.03.2024</t>
        </is>
      </c>
      <c r="J170" t="inlineStr">
        <is>
          <t>Орский ВРЗ-филиал ООО "НВК"</t>
        </is>
      </c>
      <c r="K170" t="inlineStr">
        <is>
          <t>Деповской</t>
        </is>
      </c>
      <c r="L170" t="inlineStr">
        <is>
          <t>24.10.2027</t>
        </is>
      </c>
      <c r="M170" t="inlineStr">
        <is>
          <t>ООО "ТрансАльянс Запад"</t>
        </is>
      </c>
      <c r="N170" t="n">
        <v>160000</v>
      </c>
      <c r="O170" t="n">
        <v>25393</v>
      </c>
      <c r="P170" t="n">
        <v>134607</v>
      </c>
      <c r="Q170" t="inlineStr">
        <is>
          <t>10.07.2030</t>
        </is>
      </c>
      <c r="R170" t="inlineStr">
        <is>
          <t>24.10.2025</t>
        </is>
      </c>
      <c r="S170" s="72" t="inlineStr">
        <is>
          <t> </t>
        </is>
      </c>
      <c r="T170" t="n">
        <v>444022</v>
      </c>
      <c r="U170" t="inlineStr">
        <is>
          <t>0029</t>
        </is>
      </c>
      <c r="V170" t="n">
        <v>2013</v>
      </c>
      <c r="W170" t="n">
        <v>2080</v>
      </c>
      <c r="X170" t="inlineStr">
        <is>
          <t>окт.25</t>
        </is>
      </c>
      <c r="Y170" t="n">
        <v>32</v>
      </c>
      <c r="Z170" t="n">
        <v>32</v>
      </c>
      <c r="AA170" t="n">
        <v>59</v>
      </c>
      <c r="AB170" t="n">
        <v>59</v>
      </c>
      <c r="AC170" s="72" t="inlineStr">
        <is>
          <t> </t>
        </is>
      </c>
      <c r="AD170" t="n">
        <v>459769</v>
      </c>
      <c r="AE170" t="inlineStr">
        <is>
          <t>0029</t>
        </is>
      </c>
      <c r="AF170" t="n">
        <v>2013</v>
      </c>
      <c r="AG170" t="n">
        <v>2080</v>
      </c>
      <c r="AH170" t="inlineStr">
        <is>
          <t>окт.25</t>
        </is>
      </c>
      <c r="AI170" t="n">
        <v>32</v>
      </c>
      <c r="AJ170" t="n">
        <v>32</v>
      </c>
      <c r="AK170" t="n">
        <v>59</v>
      </c>
      <c r="AL170" t="n">
        <v>59</v>
      </c>
      <c r="AM170" s="72" t="inlineStr">
        <is>
          <t> </t>
        </is>
      </c>
      <c r="AN170" t="n">
        <v>460034</v>
      </c>
      <c r="AO170" t="inlineStr">
        <is>
          <t>0029</t>
        </is>
      </c>
      <c r="AP170" t="n">
        <v>2013</v>
      </c>
      <c r="AQ170" t="n">
        <v>2080</v>
      </c>
      <c r="AR170" t="inlineStr">
        <is>
          <t>окт.25</t>
        </is>
      </c>
      <c r="AS170" t="n">
        <v>33</v>
      </c>
      <c r="AT170" t="n">
        <v>33</v>
      </c>
      <c r="AU170" t="n">
        <v>60</v>
      </c>
      <c r="AV170" t="n">
        <v>60</v>
      </c>
      <c r="AW170" s="72" t="inlineStr">
        <is>
          <t> </t>
        </is>
      </c>
      <c r="AX170" t="n">
        <v>460001</v>
      </c>
      <c r="AY170" t="inlineStr">
        <is>
          <t>0029</t>
        </is>
      </c>
      <c r="AZ170" t="n">
        <v>2013</v>
      </c>
      <c r="BA170" t="n">
        <v>2080</v>
      </c>
      <c r="BB170" t="inlineStr">
        <is>
          <t>окт.25</t>
        </is>
      </c>
      <c r="BC170" t="n">
        <v>33</v>
      </c>
      <c r="BD170" t="n">
        <v>33</v>
      </c>
      <c r="BE170" t="n">
        <v>58</v>
      </c>
      <c r="BF170" t="n">
        <v>58</v>
      </c>
      <c r="BG170" s="72" t="inlineStr">
        <is>
          <t> </t>
        </is>
      </c>
      <c r="BH170" t="n">
        <v>15261</v>
      </c>
      <c r="BI170" t="n">
        <v>1291</v>
      </c>
      <c r="BJ170" t="n">
        <v>2013</v>
      </c>
      <c r="BM170" s="72" t="inlineStr">
        <is>
          <t> </t>
        </is>
      </c>
      <c r="BN170" t="n">
        <v>15357</v>
      </c>
      <c r="BO170" t="n">
        <v>1291</v>
      </c>
      <c r="BP170" t="n">
        <v>2013</v>
      </c>
      <c r="BS170" s="72" t="inlineStr">
        <is>
          <t> </t>
        </is>
      </c>
      <c r="BT170" t="n">
        <v>45022</v>
      </c>
      <c r="BU170" t="n">
        <v>1291</v>
      </c>
      <c r="BV170" t="n">
        <v>2013</v>
      </c>
      <c r="BY170" s="72" t="inlineStr">
        <is>
          <t> </t>
        </is>
      </c>
      <c r="BZ170" t="n">
        <v>45178</v>
      </c>
      <c r="CA170" t="n">
        <v>1291</v>
      </c>
      <c r="CB170" t="n">
        <v>2013</v>
      </c>
      <c r="CE170" s="72" t="inlineStr">
        <is>
          <t> </t>
        </is>
      </c>
      <c r="CF170" t="n">
        <v>44230</v>
      </c>
      <c r="CG170" t="n">
        <v>1291</v>
      </c>
      <c r="CH170" t="n">
        <v>2013</v>
      </c>
      <c r="CK170" s="72" t="inlineStr">
        <is>
          <t> </t>
        </is>
      </c>
      <c r="CL170" t="n">
        <v>44872</v>
      </c>
      <c r="CM170" t="n">
        <v>1291</v>
      </c>
      <c r="CN170" t="n">
        <v>2013</v>
      </c>
    </row>
  </sheetData>
  <mergeCells count="96">
    <mergeCell ref="CL2:CL3"/>
    <mergeCell ref="CN2:CN3"/>
    <mergeCell ref="G1:G3"/>
    <mergeCell ref="CF2:CF3"/>
    <mergeCell ref="U2:U3"/>
    <mergeCell ref="AW1:AW3"/>
    <mergeCell ref="CF1:CJ1"/>
    <mergeCell ref="S1:S3"/>
    <mergeCell ref="BT2:BT3"/>
    <mergeCell ref="W2:W3"/>
    <mergeCell ref="P1:P3"/>
    <mergeCell ref="R1:R3"/>
    <mergeCell ref="BQ2:BQ3"/>
    <mergeCell ref="CK1:CK3"/>
    <mergeCell ref="AS2:AT2"/>
    <mergeCell ref="BE2:BF2"/>
    <mergeCell ref="BG1:BG3"/>
    <mergeCell ref="AO2:AO3"/>
    <mergeCell ref="B1:B3"/>
    <mergeCell ref="AX1:BF1"/>
    <mergeCell ref="AA2:AB2"/>
    <mergeCell ref="AU2:AV2"/>
    <mergeCell ref="CC2:CC3"/>
    <mergeCell ref="V2:V3"/>
    <mergeCell ref="X2:X3"/>
    <mergeCell ref="CB2:CB3"/>
    <mergeCell ref="AX2:AX3"/>
    <mergeCell ref="I1:I3"/>
    <mergeCell ref="BH2:BH3"/>
    <mergeCell ref="BJ2:BJ3"/>
    <mergeCell ref="CD2:CD3"/>
    <mergeCell ref="BY1:BY3"/>
    <mergeCell ref="AF2:AF3"/>
    <mergeCell ref="AH2:AH3"/>
    <mergeCell ref="CJ2:CJ3"/>
    <mergeCell ref="CH2:CH3"/>
    <mergeCell ref="BH1:BL1"/>
    <mergeCell ref="BZ1:CD1"/>
    <mergeCell ref="BM1:BM3"/>
    <mergeCell ref="C1:C3"/>
    <mergeCell ref="AI2:AJ2"/>
    <mergeCell ref="O1:O3"/>
    <mergeCell ref="AK2:AL2"/>
    <mergeCell ref="BS1:BS3"/>
    <mergeCell ref="AC1:AC3"/>
    <mergeCell ref="BA2:BA3"/>
    <mergeCell ref="L1:L3"/>
    <mergeCell ref="N1:N3"/>
    <mergeCell ref="BU2:BU3"/>
    <mergeCell ref="CE1:CE3"/>
    <mergeCell ref="BW2:BW3"/>
    <mergeCell ref="BO2:BO3"/>
    <mergeCell ref="AN1:AV1"/>
    <mergeCell ref="BC2:BD2"/>
    <mergeCell ref="BP2:BP3"/>
    <mergeCell ref="Y2:Z2"/>
    <mergeCell ref="T2:T3"/>
    <mergeCell ref="AD2:AD3"/>
    <mergeCell ref="CM2:CM3"/>
    <mergeCell ref="BV2:BV3"/>
    <mergeCell ref="AN2:AN3"/>
    <mergeCell ref="AP2:AP3"/>
    <mergeCell ref="A1:A3"/>
    <mergeCell ref="BX2:BX3"/>
    <mergeCell ref="CP2:CP3"/>
    <mergeCell ref="K1:K3"/>
    <mergeCell ref="H1:H3"/>
    <mergeCell ref="AR2:AR3"/>
    <mergeCell ref="E1:E3"/>
    <mergeCell ref="BN1:BR1"/>
    <mergeCell ref="Q1:Q3"/>
    <mergeCell ref="BZ2:BZ3"/>
    <mergeCell ref="AM1:AM3"/>
    <mergeCell ref="BT1:BX1"/>
    <mergeCell ref="CL1:CP1"/>
    <mergeCell ref="BI2:BI3"/>
    <mergeCell ref="AD1:AL1"/>
    <mergeCell ref="AE2:AE3"/>
    <mergeCell ref="AG2:AG3"/>
    <mergeCell ref="CG2:CG3"/>
    <mergeCell ref="AQ2:AQ3"/>
    <mergeCell ref="CI2:CI3"/>
    <mergeCell ref="CA2:CA3"/>
    <mergeCell ref="D1:D3"/>
    <mergeCell ref="F1:F3"/>
    <mergeCell ref="T1:AB1"/>
    <mergeCell ref="AY2:AY3"/>
    <mergeCell ref="J1:J3"/>
    <mergeCell ref="BK2:BK3"/>
    <mergeCell ref="AZ2:AZ3"/>
    <mergeCell ref="BB2:BB3"/>
    <mergeCell ref="M1:M3"/>
    <mergeCell ref="BL2:BL3"/>
    <mergeCell ref="BN2:BN3"/>
    <mergeCell ref="CO2:CO3"/>
    <mergeCell ref="BR2:BR3"/>
  </mergeCells>
  <conditionalFormatting sqref="A1:A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Ернар Унбетпаев</dc:creator>
  <dcterms:created xsi:type="dcterms:W3CDTF">2026-08-05T06:53:11Z</dcterms:created>
  <dcterms:modified xsi:type="dcterms:W3CDTF">2026-08-05T10:33:29Z</dcterms:modified>
  <cp:lastModifiedBy>Алимбек Аубакиров</cp:lastModifiedBy>
</cp:coreProperties>
</file>