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трица 75-25" sheetId="1" state="visible" r:id="rId1"/>
    <sheet xmlns:r="http://schemas.openxmlformats.org/officeDocument/2006/relationships" name="Показатели (детально)" sheetId="2" state="visible" r:id="rId2"/>
    <sheet xmlns:r="http://schemas.openxmlformats.org/officeDocument/2006/relationships" name="Справочник показателей" sheetId="3" state="visible" r:id="rId3"/>
  </sheets>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13294B"/>
      <sz val="14"/>
    </font>
    <font>
      <name val="Calibri"/>
      <i val="1"/>
      <color rgb="006B7A8D"/>
      <sz val="9"/>
    </font>
    <font>
      <name val="Calibri"/>
      <b val="1"/>
      <color rgb="00FFFFFF"/>
      <sz val="10"/>
    </font>
    <font>
      <name val="Calibri"/>
      <b val="1"/>
      <color rgb="00FFFFFF"/>
      <sz val="9"/>
    </font>
    <font>
      <name val="Calibri"/>
      <b val="1"/>
      <color rgb="002E7D46"/>
      <sz val="10"/>
    </font>
    <font>
      <name val="Calibri"/>
      <color rgb="002A3746"/>
      <sz val="10"/>
    </font>
    <font>
      <name val="Calibri"/>
      <b val="1"/>
      <color rgb="001F4E79"/>
      <sz val="10"/>
    </font>
    <font>
      <name val="Calibri"/>
      <b val="1"/>
      <color rgb="002A3746"/>
      <sz val="10"/>
    </font>
    <font>
      <b val="1"/>
      <color rgb="001F4E79"/>
      <sz val="11"/>
    </font>
    <font>
      <i val="1"/>
      <color rgb="006B7A8D"/>
      <sz val="9"/>
    </font>
    <font>
      <name val="Calibri"/>
      <b val="1"/>
      <color rgb="002F6690"/>
      <sz val="10"/>
    </font>
    <font>
      <sz val="9"/>
    </font>
    <font>
      <b val="1"/>
      <color rgb="00FFFFFF"/>
      <sz val="10"/>
    </font>
    <font>
      <b val="1"/>
      <color rgb="0013294B"/>
    </font>
    <font>
      <b val="1"/>
      <color rgb="00C4772F"/>
    </font>
    <font>
      <b val="1"/>
      <color rgb="002E7D46"/>
    </font>
    <font>
      <name val="Calibri"/>
      <b val="1"/>
      <color rgb="0013294B"/>
      <sz val="13"/>
    </font>
  </fonts>
  <fills count="8">
    <fill>
      <patternFill/>
    </fill>
    <fill>
      <patternFill patternType="gray125"/>
    </fill>
    <fill>
      <patternFill patternType="solid">
        <fgColor rgb="002F6690"/>
      </patternFill>
    </fill>
    <fill>
      <patternFill patternType="solid">
        <fgColor rgb="0013294B"/>
      </patternFill>
    </fill>
    <fill>
      <patternFill patternType="solid">
        <fgColor rgb="00FFF3C4"/>
      </patternFill>
    </fill>
    <fill>
      <patternFill patternType="solid">
        <fgColor rgb="00E8F3EC"/>
      </patternFill>
    </fill>
    <fill>
      <patternFill patternType="solid">
        <fgColor rgb="00F1F5F9"/>
      </patternFill>
    </fill>
    <fill>
      <patternFill patternType="solid">
        <fgColor rgb="00FFFFFF"/>
      </patternFill>
    </fill>
  </fills>
  <borders count="5">
    <border>
      <left/>
      <right/>
      <top/>
      <bottom/>
      <diagonal/>
    </border>
    <border>
      <left style="thin">
        <color rgb="00C9D3DE"/>
      </left>
      <right style="thin">
        <color rgb="00C9D3DE"/>
      </right>
      <top style="thin">
        <color rgb="00C9D3DE"/>
      </top>
      <bottom style="thin">
        <color rgb="00C9D3DE"/>
      </bottom>
    </border>
    <border>
      <left/>
      <right/>
      <top style="thin">
        <color rgb="00C9D3DE"/>
      </top>
      <bottom/>
      <diagonal/>
    </border>
    <border>
      <left/>
      <right style="thin">
        <color rgb="00C9D3DE"/>
      </right>
      <top style="thin">
        <color rgb="00C9D3DE"/>
      </top>
      <bottom/>
      <diagonal/>
    </border>
    <border>
      <left/>
      <right style="thin">
        <color rgb="00C9D3DE"/>
      </right>
      <top style="thin">
        <color rgb="00C9D3DE"/>
      </top>
      <bottom style="thin">
        <color rgb="00C9D3DE"/>
      </bottom>
      <diagonal/>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8" fillId="0" borderId="0" pivotButton="0" quotePrefix="0" xfId="0"/>
    <xf numFmtId="0" fontId="9" fillId="4" borderId="1" applyAlignment="1" pivotButton="0" quotePrefix="0" xfId="0">
      <alignment horizontal="center" vertical="center" wrapText="1"/>
    </xf>
    <xf numFmtId="0" fontId="0" fillId="0" borderId="4" pivotButton="0" quotePrefix="0" xfId="0"/>
    <xf numFmtId="0" fontId="10" fillId="0" borderId="0" pivotButton="0" quotePrefix="0" xfId="0"/>
    <xf numFmtId="0" fontId="4" fillId="3"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6" borderId="1" applyAlignment="1" pivotButton="0" quotePrefix="0" xfId="0">
      <alignment horizontal="center" vertical="center" wrapText="1"/>
    </xf>
    <xf numFmtId="3" fontId="6" fillId="6" borderId="1" applyAlignment="1" pivotButton="0" quotePrefix="0" xfId="0">
      <alignment horizontal="right" vertical="center"/>
    </xf>
    <xf numFmtId="3" fontId="11" fillId="6" borderId="1" applyAlignment="1" pivotButton="0" quotePrefix="0" xfId="0">
      <alignment horizontal="right" vertical="center"/>
    </xf>
    <xf numFmtId="0" fontId="12" fillId="6" borderId="1" applyAlignment="1" pivotButton="0" quotePrefix="0" xfId="0">
      <alignment horizontal="center" vertical="center" wrapText="1"/>
    </xf>
    <xf numFmtId="9" fontId="5" fillId="0" borderId="1" applyAlignment="1" pivotButton="0" quotePrefix="0" xfId="0">
      <alignment horizontal="center" vertical="center" wrapText="1"/>
    </xf>
    <xf numFmtId="3" fontId="8" fillId="6" borderId="1" applyAlignment="1" pivotButton="0" quotePrefix="0" xfId="0">
      <alignment horizontal="right" vertical="center"/>
    </xf>
    <xf numFmtId="0" fontId="6" fillId="7" borderId="1" applyAlignment="1" pivotButton="0" quotePrefix="0" xfId="0">
      <alignment horizontal="left" vertical="center" wrapText="1"/>
    </xf>
    <xf numFmtId="0" fontId="6" fillId="7" borderId="1" applyAlignment="1" pivotButton="0" quotePrefix="0" xfId="0">
      <alignment horizontal="center" vertical="center" wrapText="1"/>
    </xf>
    <xf numFmtId="3" fontId="6" fillId="7" borderId="1" applyAlignment="1" pivotButton="0" quotePrefix="0" xfId="0">
      <alignment horizontal="right" vertical="center"/>
    </xf>
    <xf numFmtId="3" fontId="11" fillId="7" borderId="1" applyAlignment="1" pivotButton="0" quotePrefix="0" xfId="0">
      <alignment horizontal="right" vertical="center"/>
    </xf>
    <xf numFmtId="0" fontId="12" fillId="7" borderId="1" applyAlignment="1" pivotButton="0" quotePrefix="0" xfId="0">
      <alignment horizontal="center" vertical="center" wrapText="1"/>
    </xf>
    <xf numFmtId="3" fontId="8" fillId="7" borderId="1" applyAlignment="1" pivotButton="0" quotePrefix="0" xfId="0">
      <alignment horizontal="right" vertical="center"/>
    </xf>
    <xf numFmtId="0" fontId="13" fillId="2" borderId="1" applyAlignment="1" pivotButton="0" quotePrefix="0" xfId="0">
      <alignment horizontal="center" vertical="center" wrapText="1"/>
    </xf>
    <xf numFmtId="3" fontId="13" fillId="2" borderId="1" applyAlignment="1" pivotButton="0" quotePrefix="0" xfId="0">
      <alignment horizontal="right" vertical="center"/>
    </xf>
    <xf numFmtId="3" fontId="14" fillId="0" borderId="0" applyAlignment="1" pivotButton="0" quotePrefix="0" xfId="0">
      <alignment horizontal="right" vertical="center"/>
    </xf>
    <xf numFmtId="3" fontId="15" fillId="0" borderId="0" applyAlignment="1" pivotButton="0" quotePrefix="0" xfId="0">
      <alignment horizontal="right" vertical="center"/>
    </xf>
    <xf numFmtId="3" fontId="16" fillId="0" borderId="0" applyAlignment="1" pivotButton="0" quotePrefix="0" xfId="0">
      <alignment horizontal="right" vertical="center"/>
    </xf>
    <xf numFmtId="0" fontId="3" fillId="2" borderId="1" pivotButton="0" quotePrefix="0" xfId="0"/>
    <xf numFmtId="0" fontId="0" fillId="3" borderId="1" applyAlignment="1" pivotButton="0" quotePrefix="0" xfId="0">
      <alignment horizontal="center" vertical="center" wrapText="1"/>
    </xf>
    <xf numFmtId="0" fontId="0" fillId="0" borderId="1" pivotButton="0" quotePrefix="0" xfId="0"/>
    <xf numFmtId="0" fontId="5" fillId="5" borderId="1" applyAlignment="1" pivotButton="0" quotePrefix="0" xfId="0">
      <alignment horizontal="left" vertical="center" wrapText="1"/>
    </xf>
    <xf numFmtId="9" fontId="6" fillId="5" borderId="1" applyAlignment="1" pivotButton="0" quotePrefix="0" xfId="0">
      <alignment horizontal="center" vertical="center" wrapText="1"/>
    </xf>
    <xf numFmtId="9" fontId="7" fillId="4" borderId="1" applyAlignment="1" pivotButton="0" quotePrefix="0" xfId="0">
      <alignment horizontal="center" vertical="center" wrapText="1"/>
    </xf>
    <xf numFmtId="0" fontId="6" fillId="0" borderId="1" applyAlignment="1" pivotButton="0" quotePrefix="0" xfId="0">
      <alignment horizontal="left" vertical="center" wrapText="1"/>
    </xf>
    <xf numFmtId="9" fontId="6" fillId="0" borderId="1" applyAlignment="1" pivotButton="0" quotePrefix="0" xfId="0">
      <alignment horizontal="center" vertical="center" wrapText="1"/>
    </xf>
    <xf numFmtId="0" fontId="0" fillId="6" borderId="1" pivotButton="0" quotePrefix="0" xfId="0"/>
    <xf numFmtId="0" fontId="8" fillId="6" borderId="1" pivotButton="0" quotePrefix="0" xfId="0"/>
    <xf numFmtId="9" fontId="8" fillId="6" borderId="1" applyAlignment="1" pivotButton="0" quotePrefix="0" xfId="0">
      <alignment horizontal="center" vertical="center" wrapText="1"/>
    </xf>
    <xf numFmtId="9" fontId="5" fillId="6" borderId="1" applyAlignment="1" pivotButton="0" quotePrefix="0" xfId="0">
      <alignment horizontal="center" vertical="center" wrapText="1"/>
    </xf>
    <xf numFmtId="0" fontId="1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
  <sheetViews>
    <sheetView showGridLines="0" workbookViewId="0">
      <pane ySplit="5" topLeftCell="A6" activePane="bottomLeft" state="frozen"/>
      <selection pane="bottomLeft" activeCell="A1" sqref="A1"/>
    </sheetView>
  </sheetViews>
  <sheetFormatPr baseColWidth="8" defaultRowHeight="15"/>
  <cols>
    <col width="13" customWidth="1" min="1" max="1"/>
    <col width="24" customWidth="1" min="2" max="2"/>
    <col width="21" customWidth="1" min="3" max="3"/>
    <col width="7" customWidth="1" min="4" max="4"/>
    <col width="13" customWidth="1" min="5" max="5"/>
    <col width="14" customWidth="1" min="6" max="6"/>
    <col width="14" customWidth="1" min="7" max="7"/>
    <col width="15" customWidth="1" min="8" max="8"/>
    <col width="13" customWidth="1" min="9" max="9"/>
    <col width="13" customWidth="1" min="10" max="10"/>
    <col width="10" customWidth="1" min="11" max="11"/>
    <col width="9" customWidth="1" min="12" max="12"/>
    <col width="14" customWidth="1" min="13" max="13"/>
    <col width="15" customWidth="1" min="14" max="14"/>
  </cols>
  <sheetData>
    <row r="1">
      <c r="A1" s="1" t="inlineStr">
        <is>
          <t>ТОО «WayStar Group» · Матрица оплаты 75/25 и показателей</t>
        </is>
      </c>
    </row>
    <row r="2">
      <c r="A2" s="2" t="inlineStr">
        <is>
          <t>Приложение 1 к приказу (75/25, с 01.01.2026). Три уровня суммы: «на руки», «брутто (оклад)», «полная стоимость (ФОТ)». База деления 75/25 выбирается ячейкой-переключателем ниже; премия = Лимит × мин(100%; факт), не выше лимита (приказ).</t>
        </is>
      </c>
    </row>
    <row r="3">
      <c r="A3" s="3" t="inlineStr">
        <is>
          <t>База деления 75/25:</t>
        </is>
      </c>
      <c r="C3" s="4" t="inlineStr">
        <is>
          <t>Брутто (оклад)</t>
        </is>
      </c>
      <c r="D3" s="5" t="n"/>
      <c r="E3" s="6" t="inlineStr">
        <is>
          <t>← выберите: на руки / брутто (оклад) / полная стоимость (ФОТ)</t>
        </is>
      </c>
    </row>
    <row r="5">
      <c r="A5" s="7" t="inlineStr">
        <is>
          <t>Подразделение</t>
        </is>
      </c>
      <c r="B5" s="7" t="inlineStr">
        <is>
          <t>Должность</t>
        </is>
      </c>
      <c r="C5" s="7" t="inlineStr">
        <is>
          <t>ФИО</t>
        </is>
      </c>
      <c r="D5" s="7" t="inlineStr">
        <is>
          <t>Таб. №</t>
        </is>
      </c>
      <c r="E5" s="7" t="inlineStr">
        <is>
          <t>На руки (100%), ₸</t>
        </is>
      </c>
      <c r="F5" s="7" t="inlineStr">
        <is>
          <t>Брутто/оклад (100%), ₸</t>
        </is>
      </c>
      <c r="G5" s="7" t="inlineStr">
        <is>
          <t>Полная стоимость (100%), ₸</t>
        </is>
      </c>
      <c r="H5" s="7" t="inlineStr">
        <is>
          <t>Целевой доход по базе (100%), ₸</t>
        </is>
      </c>
      <c r="I5" s="7" t="inlineStr">
        <is>
          <t>Оклад (75%), ₸</t>
        </is>
      </c>
      <c r="J5" s="7" t="inlineStr">
        <is>
          <t>Лимит премии (25%), ₸</t>
        </is>
      </c>
      <c r="K5" s="7" t="inlineStr">
        <is>
          <t>Дата начала</t>
        </is>
      </c>
      <c r="L5" s="7" t="inlineStr">
        <is>
          <t>Факт KPI, %</t>
        </is>
      </c>
      <c r="M5" s="7" t="inlineStr">
        <is>
          <t>Начисленная премия, ₸</t>
        </is>
      </c>
      <c r="N5" s="7" t="inlineStr">
        <is>
          <t>Итого (оклад+премия), ₸</t>
        </is>
      </c>
    </row>
    <row r="6">
      <c r="A6" s="8" t="inlineStr">
        <is>
          <t>Руководство</t>
        </is>
      </c>
      <c r="B6" s="8" t="inlineStr">
        <is>
          <t>Президент</t>
        </is>
      </c>
      <c r="C6" s="8" t="inlineStr">
        <is>
          <t>Серикбаев Адиль</t>
        </is>
      </c>
      <c r="D6" s="9" t="n">
        <v>8</v>
      </c>
      <c r="E6" s="10" t="n">
        <v>5000000</v>
      </c>
      <c r="F6" s="10" t="n">
        <v>6000139</v>
      </c>
      <c r="G6" s="10" t="n">
        <v>6613107</v>
      </c>
      <c r="H6" s="11">
        <f>IF($C$3="На руки",E6,IF($C$3="Брутто (оклад)",F6,G6))</f>
        <v/>
      </c>
      <c r="I6" s="10">
        <f>H6*0.75</f>
        <v/>
      </c>
      <c r="J6" s="10">
        <f>H6*0.25</f>
        <v/>
      </c>
      <c r="K6" s="12" t="inlineStr">
        <is>
          <t>01.01.2026</t>
        </is>
      </c>
      <c r="L6" s="13">
        <f>'Показатели (детально)'!E11</f>
        <v/>
      </c>
      <c r="M6" s="14">
        <f>J6*MIN(1,L6)</f>
        <v/>
      </c>
      <c r="N6" s="14">
        <f>I6+M6</f>
        <v/>
      </c>
    </row>
    <row r="7">
      <c r="A7" s="15" t="inlineStr">
        <is>
          <t>Руководство</t>
        </is>
      </c>
      <c r="B7" s="15" t="inlineStr">
        <is>
          <t>Генеральный директор</t>
        </is>
      </c>
      <c r="C7" s="15" t="inlineStr">
        <is>
          <t>Данияр Алим</t>
        </is>
      </c>
      <c r="D7" s="16" t="n">
        <v>4</v>
      </c>
      <c r="E7" s="17" t="n">
        <v>1000000</v>
      </c>
      <c r="F7" s="17" t="n">
        <v>1246243</v>
      </c>
      <c r="G7" s="17" t="n">
        <v>1422801</v>
      </c>
      <c r="H7" s="18">
        <f>IF($C$3="На руки",E7,IF($C$3="Брутто (оклад)",F7,G7))</f>
        <v/>
      </c>
      <c r="I7" s="17">
        <f>H7*0.75</f>
        <v/>
      </c>
      <c r="J7" s="17">
        <f>H7*0.25</f>
        <v/>
      </c>
      <c r="K7" s="19" t="inlineStr">
        <is>
          <t>01.01.2026</t>
        </is>
      </c>
      <c r="L7" s="13">
        <f>'Показатели (детально)'!E20</f>
        <v/>
      </c>
      <c r="M7" s="20">
        <f>J7*MIN(1,L7)</f>
        <v/>
      </c>
      <c r="N7" s="20">
        <f>I7+M7</f>
        <v/>
      </c>
    </row>
    <row r="8">
      <c r="A8" s="8" t="inlineStr">
        <is>
          <t>Финансы</t>
        </is>
      </c>
      <c r="B8" s="8" t="inlineStr">
        <is>
          <t>Финансовый директор</t>
        </is>
      </c>
      <c r="C8" s="8" t="inlineStr">
        <is>
          <t>Аубакиров Алимбек</t>
        </is>
      </c>
      <c r="D8" s="9" t="n">
        <v>2</v>
      </c>
      <c r="E8" s="10" t="n">
        <v>3500000</v>
      </c>
      <c r="F8" s="10" t="n">
        <v>4347889</v>
      </c>
      <c r="G8" s="10" t="n">
        <v>4861722</v>
      </c>
      <c r="H8" s="11">
        <f>IF($C$3="На руки",E8,IF($C$3="Брутто (оклад)",F8,G8))</f>
        <v/>
      </c>
      <c r="I8" s="10">
        <f>H8*0.75</f>
        <v/>
      </c>
      <c r="J8" s="10">
        <f>H8*0.25</f>
        <v/>
      </c>
      <c r="K8" s="12" t="inlineStr">
        <is>
          <t>01.01.2026</t>
        </is>
      </c>
      <c r="L8" s="13">
        <f>'Показатели (детально)'!E29</f>
        <v/>
      </c>
      <c r="M8" s="14">
        <f>J8*MIN(1,L8)</f>
        <v/>
      </c>
      <c r="N8" s="14">
        <f>I8+M8</f>
        <v/>
      </c>
    </row>
    <row r="9">
      <c r="A9" s="15" t="inlineStr">
        <is>
          <t>Операции</t>
        </is>
      </c>
      <c r="B9" s="15" t="inlineStr">
        <is>
          <t>Операционный директор</t>
        </is>
      </c>
      <c r="C9" s="15" t="inlineStr">
        <is>
          <t>Унбетпаев Ернар</t>
        </is>
      </c>
      <c r="D9" s="16" t="n">
        <v>11</v>
      </c>
      <c r="E9" s="17" t="n">
        <v>1500000</v>
      </c>
      <c r="F9" s="17" t="n">
        <v>1873611</v>
      </c>
      <c r="G9" s="17" t="n">
        <v>2124280</v>
      </c>
      <c r="H9" s="18">
        <f>IF($C$3="На руки",E9,IF($C$3="Брутто (оклад)",F9,G9))</f>
        <v/>
      </c>
      <c r="I9" s="17">
        <f>H9*0.75</f>
        <v/>
      </c>
      <c r="J9" s="17">
        <f>H9*0.25</f>
        <v/>
      </c>
      <c r="K9" s="19" t="inlineStr">
        <is>
          <t>01.01.2026</t>
        </is>
      </c>
      <c r="L9" s="13">
        <f>'Показатели (детально)'!E38</f>
        <v/>
      </c>
      <c r="M9" s="20">
        <f>J9*MIN(1,L9)</f>
        <v/>
      </c>
      <c r="N9" s="20">
        <f>I9+M9</f>
        <v/>
      </c>
    </row>
    <row r="10">
      <c r="A10" s="8" t="inlineStr">
        <is>
          <t>Логистика</t>
        </is>
      </c>
      <c r="B10" s="8" t="inlineStr">
        <is>
          <t>Начальник отдела логистики</t>
        </is>
      </c>
      <c r="C10" s="8" t="inlineStr">
        <is>
          <t>Доолоткулов Данияр</t>
        </is>
      </c>
      <c r="D10" s="9" t="n">
        <v>5</v>
      </c>
      <c r="E10" s="10" t="n">
        <v>1000000</v>
      </c>
      <c r="F10" s="10" t="n">
        <v>1246243</v>
      </c>
      <c r="G10" s="10" t="n">
        <v>1422801</v>
      </c>
      <c r="H10" s="11">
        <f>IF($C$3="На руки",E10,IF($C$3="Брутто (оклад)",F10,G10))</f>
        <v/>
      </c>
      <c r="I10" s="10">
        <f>H10*0.75</f>
        <v/>
      </c>
      <c r="J10" s="10">
        <f>H10*0.25</f>
        <v/>
      </c>
      <c r="K10" s="12" t="inlineStr">
        <is>
          <t>01.01.2026</t>
        </is>
      </c>
      <c r="L10" s="13">
        <f>'Показатели (детально)'!E47</f>
        <v/>
      </c>
      <c r="M10" s="14">
        <f>J10*MIN(1,L10)</f>
        <v/>
      </c>
      <c r="N10" s="14">
        <f>I10+M10</f>
        <v/>
      </c>
    </row>
    <row r="11">
      <c r="A11" s="15" t="inlineStr">
        <is>
          <t>Логистика</t>
        </is>
      </c>
      <c r="B11" s="15" t="inlineStr">
        <is>
          <t>Менеджер по логистике (старший)</t>
        </is>
      </c>
      <c r="C11" s="15" t="inlineStr">
        <is>
          <t>Сибагатов Хамардин</t>
        </is>
      </c>
      <c r="D11" s="16" t="n">
        <v>13</v>
      </c>
      <c r="E11" s="17" t="n">
        <v>800000</v>
      </c>
      <c r="F11" s="17" t="n">
        <v>993718</v>
      </c>
      <c r="G11" s="17" t="n">
        <v>1140528</v>
      </c>
      <c r="H11" s="18">
        <f>IF($C$3="На руки",E11,IF($C$3="Брутто (оклад)",F11,G11))</f>
        <v/>
      </c>
      <c r="I11" s="17">
        <f>H11*0.75</f>
        <v/>
      </c>
      <c r="J11" s="17">
        <f>H11*0.25</f>
        <v/>
      </c>
      <c r="K11" s="19" t="inlineStr">
        <is>
          <t>01.01.2026</t>
        </is>
      </c>
      <c r="L11" s="13">
        <f>'Показатели (детально)'!E56</f>
        <v/>
      </c>
      <c r="M11" s="20">
        <f>J11*MIN(1,L11)</f>
        <v/>
      </c>
      <c r="N11" s="20">
        <f>I11+M11</f>
        <v/>
      </c>
    </row>
    <row r="12">
      <c r="A12" s="8" t="inlineStr">
        <is>
          <t>Логистика</t>
        </is>
      </c>
      <c r="B12" s="8" t="inlineStr">
        <is>
          <t>Менеджер по логистике</t>
        </is>
      </c>
      <c r="C12" s="8" t="inlineStr">
        <is>
          <t>Жунусова Камила</t>
        </is>
      </c>
      <c r="D12" s="9" t="n">
        <v>6</v>
      </c>
      <c r="E12" s="10" t="n">
        <v>200000</v>
      </c>
      <c r="F12" s="10" t="n">
        <v>230896</v>
      </c>
      <c r="G12" s="10" t="n">
        <v>261836</v>
      </c>
      <c r="H12" s="11">
        <f>IF($C$3="На руки",E12,IF($C$3="Брутто (оклад)",F12,G12))</f>
        <v/>
      </c>
      <c r="I12" s="10">
        <f>H12*0.75</f>
        <v/>
      </c>
      <c r="J12" s="10">
        <f>H12*0.25</f>
        <v/>
      </c>
      <c r="K12" s="12" t="inlineStr">
        <is>
          <t>01.01.2026</t>
        </is>
      </c>
      <c r="L12" s="13">
        <f>'Показатели (детально)'!E65</f>
        <v/>
      </c>
      <c r="M12" s="14">
        <f>J12*MIN(1,L12)</f>
        <v/>
      </c>
      <c r="N12" s="14">
        <f>I12+M12</f>
        <v/>
      </c>
    </row>
    <row r="13">
      <c r="A13" s="15" t="inlineStr">
        <is>
          <t>Логистика</t>
        </is>
      </c>
      <c r="B13" s="15" t="inlineStr">
        <is>
          <t>Менеджер по логистике</t>
        </is>
      </c>
      <c r="C13" s="15" t="inlineStr">
        <is>
          <t>Сейтқадыр Дарын</t>
        </is>
      </c>
      <c r="D13" s="16" t="n">
        <v>7</v>
      </c>
      <c r="E13" s="17" t="n">
        <v>200000</v>
      </c>
      <c r="F13" s="17" t="n">
        <v>236143</v>
      </c>
      <c r="G13" s="17" t="n">
        <v>274587</v>
      </c>
      <c r="H13" s="18">
        <f>IF($C$3="На руки",E13,IF($C$3="Брутто (оклад)",F13,G13))</f>
        <v/>
      </c>
      <c r="I13" s="17">
        <f>H13*0.75</f>
        <v/>
      </c>
      <c r="J13" s="17">
        <f>H13*0.25</f>
        <v/>
      </c>
      <c r="K13" s="19" t="inlineStr">
        <is>
          <t>01.01.2026</t>
        </is>
      </c>
      <c r="L13" s="13">
        <f>'Показатели (детально)'!E74</f>
        <v/>
      </c>
      <c r="M13" s="20">
        <f>J13*MIN(1,L13)</f>
        <v/>
      </c>
      <c r="N13" s="20">
        <f>I13+M13</f>
        <v/>
      </c>
    </row>
    <row r="14">
      <c r="A14" s="8" t="inlineStr">
        <is>
          <t>Логистика</t>
        </is>
      </c>
      <c r="B14" s="8" t="inlineStr">
        <is>
          <t>Менеджер по логистике (младший)</t>
        </is>
      </c>
      <c r="C14" s="8" t="inlineStr">
        <is>
          <t>Белова Полина</t>
        </is>
      </c>
      <c r="D14" s="9" t="n">
        <v>12</v>
      </c>
      <c r="E14" s="10" t="n">
        <v>150000</v>
      </c>
      <c r="F14" s="10" t="n">
        <v>173011</v>
      </c>
      <c r="G14" s="10" t="n">
        <v>201177</v>
      </c>
      <c r="H14" s="11">
        <f>IF($C$3="На руки",E14,IF($C$3="Брутто (оклад)",F14,G14))</f>
        <v/>
      </c>
      <c r="I14" s="10">
        <f>H14*0.75</f>
        <v/>
      </c>
      <c r="J14" s="10">
        <f>H14*0.25</f>
        <v/>
      </c>
      <c r="K14" s="12" t="inlineStr">
        <is>
          <t>01.01.2026</t>
        </is>
      </c>
      <c r="L14" s="13">
        <f>'Показатели (детально)'!E83</f>
        <v/>
      </c>
      <c r="M14" s="14">
        <f>J14*MIN(1,L14)</f>
        <v/>
      </c>
      <c r="N14" s="14">
        <f>I14+M14</f>
        <v/>
      </c>
    </row>
    <row r="15">
      <c r="A15" s="15" t="inlineStr">
        <is>
          <t>Расчёты</t>
        </is>
      </c>
      <c r="B15" s="15" t="inlineStr">
        <is>
          <t>Менеджер по закрытию</t>
        </is>
      </c>
      <c r="C15" s="15" t="inlineStr">
        <is>
          <t>Таджимурадова Асем</t>
        </is>
      </c>
      <c r="D15" s="16" t="n">
        <v>9</v>
      </c>
      <c r="E15" s="17" t="n">
        <v>300000</v>
      </c>
      <c r="F15" s="17" t="n">
        <v>378788</v>
      </c>
      <c r="G15" s="17" t="n">
        <v>440456</v>
      </c>
      <c r="H15" s="18">
        <f>IF($C$3="На руки",E15,IF($C$3="Брутто (оклад)",F15,G15))</f>
        <v/>
      </c>
      <c r="I15" s="17">
        <f>H15*0.75</f>
        <v/>
      </c>
      <c r="J15" s="17">
        <f>H15*0.25</f>
        <v/>
      </c>
      <c r="K15" s="19" t="inlineStr">
        <is>
          <t>01.01.2026</t>
        </is>
      </c>
      <c r="L15" s="13">
        <f>'Показатели (детально)'!E91</f>
        <v/>
      </c>
      <c r="M15" s="20">
        <f>J15*MIN(1,L15)</f>
        <v/>
      </c>
      <c r="N15" s="20">
        <f>I15+M15</f>
        <v/>
      </c>
    </row>
    <row r="16">
      <c r="A16" s="8" t="inlineStr">
        <is>
          <t>Персонал</t>
        </is>
      </c>
      <c r="B16" s="8" t="inlineStr">
        <is>
          <t>Руководитель отдела персонала</t>
        </is>
      </c>
      <c r="C16" s="8" t="inlineStr">
        <is>
          <t>Аманбекова Айгуль</t>
        </is>
      </c>
      <c r="D16" s="9" t="n">
        <v>1</v>
      </c>
      <c r="E16" s="10" t="n">
        <v>1000000</v>
      </c>
      <c r="F16" s="10" t="n">
        <v>1246243</v>
      </c>
      <c r="G16" s="10" t="n">
        <v>1379182</v>
      </c>
      <c r="H16" s="11">
        <f>IF($C$3="На руки",E16,IF($C$3="Брутто (оклад)",F16,G16))</f>
        <v/>
      </c>
      <c r="I16" s="10">
        <f>H16*0.75</f>
        <v/>
      </c>
      <c r="J16" s="10">
        <f>H16*0.25</f>
        <v/>
      </c>
      <c r="K16" s="12" t="inlineStr">
        <is>
          <t>01.01.2026</t>
        </is>
      </c>
      <c r="L16" s="13">
        <f>'Показатели (детально)'!E100</f>
        <v/>
      </c>
      <c r="M16" s="14">
        <f>J16*MIN(1,L16)</f>
        <v/>
      </c>
      <c r="N16" s="14">
        <f>I16+M16</f>
        <v/>
      </c>
    </row>
    <row r="17">
      <c r="A17" s="15" t="inlineStr">
        <is>
          <t>Персонал</t>
        </is>
      </c>
      <c r="B17" s="15" t="inlineStr">
        <is>
          <t>Менеджер по персоналу</t>
        </is>
      </c>
      <c r="C17" s="15" t="inlineStr">
        <is>
          <t>Байльденова Шолпан</t>
        </is>
      </c>
      <c r="D17" s="16" t="n">
        <v>3</v>
      </c>
      <c r="E17" s="17" t="n">
        <v>500000</v>
      </c>
      <c r="F17" s="17" t="n">
        <v>614931</v>
      </c>
      <c r="G17" s="17" t="n">
        <v>715042</v>
      </c>
      <c r="H17" s="18">
        <f>IF($C$3="На руки",E17,IF($C$3="Брутто (оклад)",F17,G17))</f>
        <v/>
      </c>
      <c r="I17" s="17">
        <f>H17*0.75</f>
        <v/>
      </c>
      <c r="J17" s="17">
        <f>H17*0.25</f>
        <v/>
      </c>
      <c r="K17" s="19" t="inlineStr">
        <is>
          <t>01.01.2026</t>
        </is>
      </c>
      <c r="L17" s="13">
        <f>'Показатели (детально)'!E109</f>
        <v/>
      </c>
      <c r="M17" s="20">
        <f>J17*MIN(1,L17)</f>
        <v/>
      </c>
      <c r="N17" s="20">
        <f>I17+M17</f>
        <v/>
      </c>
    </row>
    <row r="18">
      <c r="A18" s="8" t="inlineStr">
        <is>
          <t>Юридический</t>
        </is>
      </c>
      <c r="B18" s="8" t="inlineStr">
        <is>
          <t>Юрист</t>
        </is>
      </c>
      <c r="C18" s="8" t="inlineStr">
        <is>
          <t>Ташметов Сакен</t>
        </is>
      </c>
      <c r="D18" s="9" t="n">
        <v>10</v>
      </c>
      <c r="E18" s="10" t="n">
        <v>1000000</v>
      </c>
      <c r="F18" s="10" t="n">
        <v>1246243</v>
      </c>
      <c r="G18" s="10" t="n">
        <v>1422801</v>
      </c>
      <c r="H18" s="11">
        <f>IF($C$3="На руки",E18,IF($C$3="Брутто (оклад)",F18,G18))</f>
        <v/>
      </c>
      <c r="I18" s="10">
        <f>H18*0.75</f>
        <v/>
      </c>
      <c r="J18" s="10">
        <f>H18*0.25</f>
        <v/>
      </c>
      <c r="K18" s="12" t="inlineStr">
        <is>
          <t>01.01.2026</t>
        </is>
      </c>
      <c r="L18" s="13">
        <f>'Показатели (детально)'!E118</f>
        <v/>
      </c>
      <c r="M18" s="14">
        <f>J18*MIN(1,L18)</f>
        <v/>
      </c>
      <c r="N18" s="14">
        <f>I18+M18</f>
        <v/>
      </c>
    </row>
    <row r="19">
      <c r="A19" s="21" t="n"/>
      <c r="B19" s="21" t="n"/>
      <c r="C19" s="21" t="inlineStr">
        <is>
          <t>ИТОГО</t>
        </is>
      </c>
      <c r="D19" s="21" t="n"/>
      <c r="E19" s="22">
        <f>SUM(E6:E18)</f>
        <v/>
      </c>
      <c r="F19" s="22">
        <f>SUM(F6:F18)</f>
        <v/>
      </c>
      <c r="G19" s="22">
        <f>SUM(G6:G18)</f>
        <v/>
      </c>
      <c r="H19" s="22">
        <f>SUM(H6:H18)</f>
        <v/>
      </c>
      <c r="I19" s="22">
        <f>SUM(I6:I18)</f>
        <v/>
      </c>
      <c r="J19" s="22">
        <f>SUM(J6:J18)</f>
        <v/>
      </c>
      <c r="K19" s="21" t="n"/>
      <c r="L19" s="21" t="n"/>
      <c r="M19" s="22">
        <f>SUM(M6:M18)</f>
        <v/>
      </c>
      <c r="N19" s="22">
        <f>SUM(N6:N18)</f>
        <v/>
      </c>
    </row>
    <row r="21">
      <c r="C21" s="3" t="inlineStr">
        <is>
          <t>В год (×12), ₸:</t>
        </is>
      </c>
      <c r="H21" s="23">
        <f>H19*12</f>
        <v/>
      </c>
      <c r="J21" s="24">
        <f>J19*12</f>
        <v/>
      </c>
      <c r="M21" s="24">
        <f>M19*12</f>
        <v/>
      </c>
      <c r="N21" s="25">
        <f>N19*12</f>
        <v/>
      </c>
    </row>
    <row r="23">
      <c r="A23" s="6" t="inlineStr">
        <is>
          <t>• Три уровня: «на руки» (нетто), «брутто/оклад» (начисленный), «полная стоимость» (ФОТ со всеми налогами работодателя).</t>
        </is>
      </c>
    </row>
    <row r="24">
      <c r="A24" s="6" t="inlineStr">
        <is>
          <t>• Ячейка C3 — переключатель базы: «Целевой доход по базе» и деление 75/25 пересчитываются автоматически.</t>
        </is>
      </c>
    </row>
    <row r="25">
      <c r="A25" s="6" t="inlineStr">
        <is>
          <t>• Для трудового договора оклад указывается в брутто. При базе «на руки»/«полная стоимость» оклад (75%) — пересчитать в брутто перед договором.</t>
        </is>
      </c>
    </row>
    <row r="26">
      <c r="A26" s="6" t="inlineStr">
        <is>
          <t>• Начисленная премия = Лимит × мин(100%; Факт KPI). По приказу (п.4.3) премия не превышает лимит (25%).</t>
        </is>
      </c>
    </row>
    <row r="27">
      <c r="A27" s="6" t="inlineStr">
        <is>
          <t>• Факт KPI, % — с листа «Показатели (детально)» (вводится там). Таб. № — временный, заменить на реальные ID.</t>
        </is>
      </c>
    </row>
  </sheetData>
  <mergeCells count="9">
    <mergeCell ref="A27:N27"/>
    <mergeCell ref="A26:N26"/>
    <mergeCell ref="A24:N24"/>
    <mergeCell ref="A2:N2"/>
    <mergeCell ref="E3:N3"/>
    <mergeCell ref="A25:N25"/>
    <mergeCell ref="A23:N23"/>
    <mergeCell ref="C3:D3"/>
    <mergeCell ref="A3:B3"/>
  </mergeCells>
  <dataValidations count="1">
    <dataValidation sqref="C3" showDropDown="0" showInputMessage="0" showErrorMessage="0" allowBlank="0" type="list">
      <formula1>"На руки,Брутто (оклад),Полная стоимость (ФОТ)"</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8"/>
  <sheetViews>
    <sheetView showGridLines="0" workbookViewId="0">
      <pane ySplit="3" topLeftCell="A4" activePane="bottomLeft" state="frozen"/>
      <selection pane="bottomLeft" activeCell="A1" sqref="A1"/>
    </sheetView>
  </sheetViews>
  <sheetFormatPr baseColWidth="8" defaultRowHeight="15"/>
  <cols>
    <col width="4" customWidth="1" min="1" max="1"/>
    <col width="50" customWidth="1" min="2" max="2"/>
    <col width="10" customWidth="1" min="3" max="3"/>
    <col width="16" customWidth="1" min="4" max="4"/>
    <col width="16" customWidth="1" min="5" max="5"/>
    <col width="4" customWidth="1" min="6" max="6"/>
  </cols>
  <sheetData>
    <row r="1">
      <c r="A1" s="1" t="inlineStr">
        <is>
          <t>ТОО «WayStar Group» · Показатели эффективности по сотрудникам (модель 75/25)</t>
        </is>
      </c>
    </row>
    <row r="2">
      <c r="A2" s="2" t="inlineStr">
        <is>
          <t>Введите фактическое выполнение по каждому показателю (жёлтые ячейки, 0–150%). Зелёные строки — цель по прибыли. Итоговое выполнение = сумма(вес×выполнение) переносится в лист «Матрица 75-25» (столбец «Факт KPI, %»).</t>
        </is>
      </c>
    </row>
    <row r="4">
      <c r="A4" s="26" t="n"/>
      <c r="B4" s="26" t="inlineStr">
        <is>
          <t>Серикбаев Адиль — Президент · Руководство  [ПЕРЕДОВАЯ ЛИНИЯ]</t>
        </is>
      </c>
      <c r="C4" s="26" t="n"/>
      <c r="D4" s="26" t="n"/>
      <c r="E4" s="26" t="n"/>
      <c r="F4" s="26" t="n"/>
    </row>
    <row r="5">
      <c r="A5" s="27" t="n"/>
      <c r="B5" s="7" t="inlineStr">
        <is>
          <t>Показатель</t>
        </is>
      </c>
      <c r="C5" s="7" t="inlineStr">
        <is>
          <t>Вес</t>
        </is>
      </c>
      <c r="D5" s="7" t="inlineStr">
        <is>
          <t>Выполнение, %</t>
        </is>
      </c>
      <c r="E5" s="7" t="inlineStr">
        <is>
          <t>Вклад</t>
        </is>
      </c>
      <c r="F5" s="27" t="n"/>
    </row>
    <row r="6">
      <c r="A6" s="28" t="n"/>
      <c r="B6" s="29" t="inlineStr">
        <is>
          <t>Чистая прибыль компании к плану</t>
        </is>
      </c>
      <c r="C6" s="30" t="n">
        <v>0.5</v>
      </c>
      <c r="D6" s="31" t="n">
        <v>1</v>
      </c>
      <c r="E6" s="30">
        <f>C6*D6</f>
        <v/>
      </c>
      <c r="F6" s="28" t="n"/>
    </row>
    <row r="7">
      <c r="A7" s="28" t="n"/>
      <c r="B7" s="32" t="inlineStr">
        <is>
          <t>Выручка к плану</t>
        </is>
      </c>
      <c r="C7" s="33" t="n">
        <v>0.15</v>
      </c>
      <c r="D7" s="31" t="n">
        <v>1</v>
      </c>
      <c r="E7" s="33">
        <f>C7*D7</f>
        <v/>
      </c>
      <c r="F7" s="28" t="n"/>
    </row>
    <row r="8">
      <c r="A8" s="28" t="n"/>
      <c r="B8" s="32" t="inlineStr">
        <is>
          <t>Развитие: направления/клиенты/география</t>
        </is>
      </c>
      <c r="C8" s="33" t="n">
        <v>0.2</v>
      </c>
      <c r="D8" s="31" t="n">
        <v>1</v>
      </c>
      <c r="E8" s="33">
        <f>C8*D8</f>
        <v/>
      </c>
      <c r="F8" s="28" t="n"/>
    </row>
    <row r="9">
      <c r="A9" s="28" t="n"/>
      <c r="B9" s="32" t="inlineStr">
        <is>
          <t>Денежный поток / финансирование</t>
        </is>
      </c>
      <c r="C9" s="33" t="n">
        <v>0.1</v>
      </c>
      <c r="D9" s="31" t="n">
        <v>1</v>
      </c>
      <c r="E9" s="33">
        <f>C9*D9</f>
        <v/>
      </c>
      <c r="F9" s="28" t="n"/>
    </row>
    <row r="10">
      <c r="A10" s="28" t="n"/>
      <c r="B10" s="32" t="inlineStr">
        <is>
          <t>Удержание ключевой команды</t>
        </is>
      </c>
      <c r="C10" s="33" t="n">
        <v>0.05</v>
      </c>
      <c r="D10" s="31" t="n">
        <v>1</v>
      </c>
      <c r="E10" s="33">
        <f>C10*D10</f>
        <v/>
      </c>
      <c r="F10" s="28" t="n"/>
    </row>
    <row r="11">
      <c r="A11" s="34" t="n"/>
      <c r="B11" s="35" t="inlineStr">
        <is>
          <t>Итоговое выполнение показателей</t>
        </is>
      </c>
      <c r="C11" s="36">
        <f>SUM(C6:C10)</f>
        <v/>
      </c>
      <c r="D11" s="34" t="n"/>
      <c r="E11" s="37">
        <f>SUM(E6:E10)</f>
        <v/>
      </c>
      <c r="F11" s="34" t="n"/>
    </row>
    <row r="13">
      <c r="A13" s="26" t="n"/>
      <c r="B13" s="26" t="inlineStr">
        <is>
          <t>Данияр Алим — Генеральный директор · Руководство  [ПЕРЕДОВАЯ ЛИНИЯ]</t>
        </is>
      </c>
      <c r="C13" s="26" t="n"/>
      <c r="D13" s="26" t="n"/>
      <c r="E13" s="26" t="n"/>
      <c r="F13" s="26" t="n"/>
    </row>
    <row r="14">
      <c r="A14" s="27" t="n"/>
      <c r="B14" s="7" t="inlineStr">
        <is>
          <t>Показатель</t>
        </is>
      </c>
      <c r="C14" s="7" t="inlineStr">
        <is>
          <t>Вес</t>
        </is>
      </c>
      <c r="D14" s="7" t="inlineStr">
        <is>
          <t>Выполнение, %</t>
        </is>
      </c>
      <c r="E14" s="7" t="inlineStr">
        <is>
          <t>Вклад</t>
        </is>
      </c>
      <c r="F14" s="27" t="n"/>
    </row>
    <row r="15">
      <c r="A15" s="28" t="n"/>
      <c r="B15" s="29" t="inlineStr">
        <is>
          <t>Чистая прибыль компании к плану</t>
        </is>
      </c>
      <c r="C15" s="30" t="n">
        <v>0.4</v>
      </c>
      <c r="D15" s="31" t="n">
        <v>1</v>
      </c>
      <c r="E15" s="30">
        <f>C15*D15</f>
        <v/>
      </c>
      <c r="F15" s="28" t="n"/>
    </row>
    <row r="16">
      <c r="A16" s="28" t="n"/>
      <c r="B16" s="29" t="inlineStr">
        <is>
          <t>Валовая прибыль / рентабельность</t>
        </is>
      </c>
      <c r="C16" s="30" t="n">
        <v>0.2</v>
      </c>
      <c r="D16" s="31" t="n">
        <v>1</v>
      </c>
      <c r="E16" s="30">
        <f>C16*D16</f>
        <v/>
      </c>
      <c r="F16" s="28" t="n"/>
    </row>
    <row r="17">
      <c r="A17" s="28" t="n"/>
      <c r="B17" s="32" t="inlineStr">
        <is>
          <t>Выручка к плану</t>
        </is>
      </c>
      <c r="C17" s="33" t="n">
        <v>0.2</v>
      </c>
      <c r="D17" s="31" t="n">
        <v>1</v>
      </c>
      <c r="E17" s="33">
        <f>C17*D17</f>
        <v/>
      </c>
      <c r="F17" s="28" t="n"/>
    </row>
    <row r="18">
      <c r="A18" s="28" t="n"/>
      <c r="B18" s="32" t="inlineStr">
        <is>
          <t>Выполнение годового плана</t>
        </is>
      </c>
      <c r="C18" s="33" t="n">
        <v>0.15</v>
      </c>
      <c r="D18" s="31" t="n">
        <v>1</v>
      </c>
      <c r="E18" s="33">
        <f>C18*D18</f>
        <v/>
      </c>
      <c r="F18" s="28" t="n"/>
    </row>
    <row r="19">
      <c r="A19" s="28" t="n"/>
      <c r="B19" s="32" t="inlineStr">
        <is>
          <t>Удержание клиентов</t>
        </is>
      </c>
      <c r="C19" s="33" t="n">
        <v>0.05</v>
      </c>
      <c r="D19" s="31" t="n">
        <v>1</v>
      </c>
      <c r="E19" s="33">
        <f>C19*D19</f>
        <v/>
      </c>
      <c r="F19" s="28" t="n"/>
    </row>
    <row r="20">
      <c r="A20" s="34" t="n"/>
      <c r="B20" s="35" t="inlineStr">
        <is>
          <t>Итоговое выполнение показателей</t>
        </is>
      </c>
      <c r="C20" s="36">
        <f>SUM(C15:C19)</f>
        <v/>
      </c>
      <c r="D20" s="34" t="n"/>
      <c r="E20" s="37">
        <f>SUM(E15:E19)</f>
        <v/>
      </c>
      <c r="F20" s="34" t="n"/>
    </row>
    <row r="22">
      <c r="A22" s="26" t="n"/>
      <c r="B22" s="26" t="inlineStr">
        <is>
          <t>Аубакиров Алимбек — Финансовый директор · Финансы  [ПЕРЕДОВАЯ ЛИНИЯ]</t>
        </is>
      </c>
      <c r="C22" s="26" t="n"/>
      <c r="D22" s="26" t="n"/>
      <c r="E22" s="26" t="n"/>
      <c r="F22" s="26" t="n"/>
    </row>
    <row r="23">
      <c r="A23" s="27" t="n"/>
      <c r="B23" s="7" t="inlineStr">
        <is>
          <t>Показатель</t>
        </is>
      </c>
      <c r="C23" s="7" t="inlineStr">
        <is>
          <t>Вес</t>
        </is>
      </c>
      <c r="D23" s="7" t="inlineStr">
        <is>
          <t>Выполнение, %</t>
        </is>
      </c>
      <c r="E23" s="7" t="inlineStr">
        <is>
          <t>Вклад</t>
        </is>
      </c>
      <c r="F23" s="27" t="n"/>
    </row>
    <row r="24">
      <c r="A24" s="28" t="n"/>
      <c r="B24" s="29" t="inlineStr">
        <is>
          <t>Чистая прибыль компании к плану</t>
        </is>
      </c>
      <c r="C24" s="30" t="n">
        <v>0.35</v>
      </c>
      <c r="D24" s="31" t="n">
        <v>1</v>
      </c>
      <c r="E24" s="30">
        <f>C24*D24</f>
        <v/>
      </c>
      <c r="F24" s="28" t="n"/>
    </row>
    <row r="25">
      <c r="A25" s="28" t="n"/>
      <c r="B25" s="32" t="inlineStr">
        <is>
          <t>Запас денежных средств</t>
        </is>
      </c>
      <c r="C25" s="33" t="n">
        <v>0.2</v>
      </c>
      <c r="D25" s="31" t="n">
        <v>1</v>
      </c>
      <c r="E25" s="33">
        <f>C25*D25</f>
        <v/>
      </c>
      <c r="F25" s="28" t="n"/>
    </row>
    <row r="26">
      <c r="A26" s="28" t="n"/>
      <c r="B26" s="32" t="inlineStr">
        <is>
          <t>Оборот дебиторской задолженности</t>
        </is>
      </c>
      <c r="C26" s="33" t="n">
        <v>0.15</v>
      </c>
      <c r="D26" s="31" t="n">
        <v>1</v>
      </c>
      <c r="E26" s="33">
        <f>C26*D26</f>
        <v/>
      </c>
      <c r="F26" s="28" t="n"/>
    </row>
    <row r="27">
      <c r="A27" s="28" t="n"/>
      <c r="B27" s="32" t="inlineStr">
        <is>
          <t>Точность бюджета</t>
        </is>
      </c>
      <c r="C27" s="33" t="n">
        <v>0.15</v>
      </c>
      <c r="D27" s="31" t="n">
        <v>1</v>
      </c>
      <c r="E27" s="33">
        <f>C27*D27</f>
        <v/>
      </c>
      <c r="F27" s="28" t="n"/>
    </row>
    <row r="28">
      <c r="A28" s="28" t="n"/>
      <c r="B28" s="32" t="inlineStr">
        <is>
          <t>Привлечение финансирования</t>
        </is>
      </c>
      <c r="C28" s="33" t="n">
        <v>0.15</v>
      </c>
      <c r="D28" s="31" t="n">
        <v>1</v>
      </c>
      <c r="E28" s="33">
        <f>C28*D28</f>
        <v/>
      </c>
      <c r="F28" s="28" t="n"/>
    </row>
    <row r="29">
      <c r="A29" s="34" t="n"/>
      <c r="B29" s="35" t="inlineStr">
        <is>
          <t>Итоговое выполнение показателей</t>
        </is>
      </c>
      <c r="C29" s="36">
        <f>SUM(C24:C28)</f>
        <v/>
      </c>
      <c r="D29" s="34" t="n"/>
      <c r="E29" s="37">
        <f>SUM(E24:E28)</f>
        <v/>
      </c>
      <c r="F29" s="34" t="n"/>
    </row>
    <row r="31">
      <c r="A31" s="26" t="n"/>
      <c r="B31" s="26" t="inlineStr">
        <is>
          <t>Унбетпаев Ернар — Операционный директор · Операции  [ПЕРЕДОВАЯ ЛИНИЯ]</t>
        </is>
      </c>
      <c r="C31" s="26" t="n"/>
      <c r="D31" s="26" t="n"/>
      <c r="E31" s="26" t="n"/>
      <c r="F31" s="26" t="n"/>
    </row>
    <row r="32">
      <c r="A32" s="27" t="n"/>
      <c r="B32" s="7" t="inlineStr">
        <is>
          <t>Показатель</t>
        </is>
      </c>
      <c r="C32" s="7" t="inlineStr">
        <is>
          <t>Вес</t>
        </is>
      </c>
      <c r="D32" s="7" t="inlineStr">
        <is>
          <t>Выполнение, %</t>
        </is>
      </c>
      <c r="E32" s="7" t="inlineStr">
        <is>
          <t>Вклад</t>
        </is>
      </c>
      <c r="F32" s="27" t="n"/>
    </row>
    <row r="33">
      <c r="A33" s="28" t="n"/>
      <c r="B33" s="29" t="inlineStr">
        <is>
          <t>Валовая прибыль по операциям к плану</t>
        </is>
      </c>
      <c r="C33" s="30" t="n">
        <v>0.4</v>
      </c>
      <c r="D33" s="31" t="n">
        <v>1</v>
      </c>
      <c r="E33" s="30">
        <f>C33*D33</f>
        <v/>
      </c>
      <c r="F33" s="28" t="n"/>
    </row>
    <row r="34">
      <c r="A34" s="28" t="n"/>
      <c r="B34" s="32" t="inlineStr">
        <is>
          <t>Соблюдение сроков (в срок и полностью)</t>
        </is>
      </c>
      <c r="C34" s="33" t="n">
        <v>0.2</v>
      </c>
      <c r="D34" s="31" t="n">
        <v>1</v>
      </c>
      <c r="E34" s="33">
        <f>C34*D34</f>
        <v/>
      </c>
      <c r="F34" s="28" t="n"/>
    </row>
    <row r="35">
      <c r="A35" s="28" t="n"/>
      <c r="B35" s="32" t="inlineStr">
        <is>
          <t>Себестоимость операций на тонну/км</t>
        </is>
      </c>
      <c r="C35" s="33" t="n">
        <v>0.2</v>
      </c>
      <c r="D35" s="31" t="n">
        <v>1</v>
      </c>
      <c r="E35" s="33">
        <f>C35*D35</f>
        <v/>
      </c>
      <c r="F35" s="28" t="n"/>
    </row>
    <row r="36">
      <c r="A36" s="28" t="n"/>
      <c r="B36" s="32" t="inlineStr">
        <is>
          <t>Безопасность / охрана труда</t>
        </is>
      </c>
      <c r="C36" s="33" t="n">
        <v>0.1</v>
      </c>
      <c r="D36" s="31" t="n">
        <v>1</v>
      </c>
      <c r="E36" s="33">
        <f>C36*D36</f>
        <v/>
      </c>
      <c r="F36" s="28" t="n"/>
    </row>
    <row r="37">
      <c r="A37" s="28" t="n"/>
      <c r="B37" s="32" t="inlineStr">
        <is>
          <t>Загрузка / порожний пробег</t>
        </is>
      </c>
      <c r="C37" s="33" t="n">
        <v>0.1</v>
      </c>
      <c r="D37" s="31" t="n">
        <v>1</v>
      </c>
      <c r="E37" s="33">
        <f>C37*D37</f>
        <v/>
      </c>
      <c r="F37" s="28" t="n"/>
    </row>
    <row r="38">
      <c r="A38" s="34" t="n"/>
      <c r="B38" s="35" t="inlineStr">
        <is>
          <t>Итоговое выполнение показателей</t>
        </is>
      </c>
      <c r="C38" s="36">
        <f>SUM(C33:C37)</f>
        <v/>
      </c>
      <c r="D38" s="34" t="n"/>
      <c r="E38" s="37">
        <f>SUM(E33:E37)</f>
        <v/>
      </c>
      <c r="F38" s="34" t="n"/>
    </row>
    <row r="40">
      <c r="A40" s="26" t="n"/>
      <c r="B40" s="26" t="inlineStr">
        <is>
          <t>Доолоткулов Данияр — Начальник отдела логистики · Логистика  [ПЕРЕДОВАЯ ЛИНИЯ]</t>
        </is>
      </c>
      <c r="C40" s="26" t="n"/>
      <c r="D40" s="26" t="n"/>
      <c r="E40" s="26" t="n"/>
      <c r="F40" s="26" t="n"/>
    </row>
    <row r="41">
      <c r="A41" s="27" t="n"/>
      <c r="B41" s="7" t="inlineStr">
        <is>
          <t>Показатель</t>
        </is>
      </c>
      <c r="C41" s="7" t="inlineStr">
        <is>
          <t>Вес</t>
        </is>
      </c>
      <c r="D41" s="7" t="inlineStr">
        <is>
          <t>Выполнение, %</t>
        </is>
      </c>
      <c r="E41" s="7" t="inlineStr">
        <is>
          <t>Вклад</t>
        </is>
      </c>
      <c r="F41" s="27" t="n"/>
    </row>
    <row r="42">
      <c r="A42" s="28" t="n"/>
      <c r="B42" s="29" t="inlineStr">
        <is>
          <t>Валовая прибыль отдела перевозок к плану</t>
        </is>
      </c>
      <c r="C42" s="30" t="n">
        <v>0.4</v>
      </c>
      <c r="D42" s="31" t="n">
        <v>1</v>
      </c>
      <c r="E42" s="30">
        <f>C42*D42</f>
        <v/>
      </c>
      <c r="F42" s="28" t="n"/>
    </row>
    <row r="43">
      <c r="A43" s="28" t="n"/>
      <c r="B43" s="32" t="inlineStr">
        <is>
          <t>Соблюдение сроков доставки</t>
        </is>
      </c>
      <c r="C43" s="33" t="n">
        <v>0.2</v>
      </c>
      <c r="D43" s="31" t="n">
        <v>1</v>
      </c>
      <c r="E43" s="33">
        <f>C43*D43</f>
        <v/>
      </c>
      <c r="F43" s="28" t="n"/>
    </row>
    <row r="44">
      <c r="A44" s="28" t="n"/>
      <c r="B44" s="32" t="inlineStr">
        <is>
          <t>Себестоимость перевозки на рейс/тонну</t>
        </is>
      </c>
      <c r="C44" s="33" t="n">
        <v>0.2</v>
      </c>
      <c r="D44" s="31" t="n">
        <v>1</v>
      </c>
      <c r="E44" s="33">
        <f>C44*D44</f>
        <v/>
      </c>
      <c r="F44" s="28" t="n"/>
    </row>
    <row r="45">
      <c r="A45" s="28" t="n"/>
      <c r="B45" s="32" t="inlineStr">
        <is>
          <t>Загрузка / порожний пробег</t>
        </is>
      </c>
      <c r="C45" s="33" t="n">
        <v>0.1</v>
      </c>
      <c r="D45" s="31" t="n">
        <v>1</v>
      </c>
      <c r="E45" s="33">
        <f>C45*D45</f>
        <v/>
      </c>
      <c r="F45" s="28" t="n"/>
    </row>
    <row r="46">
      <c r="A46" s="28" t="n"/>
      <c r="B46" s="32" t="inlineStr">
        <is>
          <t>Сохранность груза / претензии</t>
        </is>
      </c>
      <c r="C46" s="33" t="n">
        <v>0.1</v>
      </c>
      <c r="D46" s="31" t="n">
        <v>1</v>
      </c>
      <c r="E46" s="33">
        <f>C46*D46</f>
        <v/>
      </c>
      <c r="F46" s="28" t="n"/>
    </row>
    <row r="47">
      <c r="A47" s="34" t="n"/>
      <c r="B47" s="35" t="inlineStr">
        <is>
          <t>Итоговое выполнение показателей</t>
        </is>
      </c>
      <c r="C47" s="36">
        <f>SUM(C42:C46)</f>
        <v/>
      </c>
      <c r="D47" s="34" t="n"/>
      <c r="E47" s="37">
        <f>SUM(E42:E46)</f>
        <v/>
      </c>
      <c r="F47" s="34" t="n"/>
    </row>
    <row r="49">
      <c r="A49" s="26" t="n"/>
      <c r="B49" s="26" t="inlineStr">
        <is>
          <t>Сибагатов Хамардин — Менеджер по логистике (старший) · Логистика  [ПЕРЕДОВАЯ ЛИНИЯ]</t>
        </is>
      </c>
      <c r="C49" s="26" t="n"/>
      <c r="D49" s="26" t="n"/>
      <c r="E49" s="26" t="n"/>
      <c r="F49" s="26" t="n"/>
    </row>
    <row r="50">
      <c r="A50" s="27" t="n"/>
      <c r="B50" s="7" t="inlineStr">
        <is>
          <t>Показатель</t>
        </is>
      </c>
      <c r="C50" s="7" t="inlineStr">
        <is>
          <t>Вес</t>
        </is>
      </c>
      <c r="D50" s="7" t="inlineStr">
        <is>
          <t>Выполнение, %</t>
        </is>
      </c>
      <c r="E50" s="7" t="inlineStr">
        <is>
          <t>Вклад</t>
        </is>
      </c>
      <c r="F50" s="27" t="n"/>
    </row>
    <row r="51">
      <c r="A51" s="28" t="n"/>
      <c r="B51" s="29" t="inlineStr">
        <is>
          <t>Валовая маржа по своим перевозкам (≥K×стоимости)</t>
        </is>
      </c>
      <c r="C51" s="30" t="n">
        <v>0.45</v>
      </c>
      <c r="D51" s="31" t="n">
        <v>1</v>
      </c>
      <c r="E51" s="30">
        <f>C51*D51</f>
        <v/>
      </c>
      <c r="F51" s="28" t="n"/>
    </row>
    <row r="52">
      <c r="A52" s="28" t="n"/>
      <c r="B52" s="32" t="inlineStr">
        <is>
          <t>Объём перевозок к норме</t>
        </is>
      </c>
      <c r="C52" s="33" t="n">
        <v>0.15</v>
      </c>
      <c r="D52" s="31" t="n">
        <v>1</v>
      </c>
      <c r="E52" s="33">
        <f>C52*D52</f>
        <v/>
      </c>
      <c r="F52" s="28" t="n"/>
    </row>
    <row r="53">
      <c r="A53" s="28" t="n"/>
      <c r="B53" s="32" t="inlineStr">
        <is>
          <t>Соблюдение сроков доставки</t>
        </is>
      </c>
      <c r="C53" s="33" t="n">
        <v>0.15</v>
      </c>
      <c r="D53" s="31" t="n">
        <v>1</v>
      </c>
      <c r="E53" s="33">
        <f>C53*D53</f>
        <v/>
      </c>
      <c r="F53" s="28" t="n"/>
    </row>
    <row r="54">
      <c r="A54" s="28" t="n"/>
      <c r="B54" s="32" t="inlineStr">
        <is>
          <t>Загрузка / порожний пробег</t>
        </is>
      </c>
      <c r="C54" s="33" t="n">
        <v>0.15</v>
      </c>
      <c r="D54" s="31" t="n">
        <v>1</v>
      </c>
      <c r="E54" s="33">
        <f>C54*D54</f>
        <v/>
      </c>
      <c r="F54" s="28" t="n"/>
    </row>
    <row r="55">
      <c r="A55" s="28" t="n"/>
      <c r="B55" s="32" t="inlineStr">
        <is>
          <t>Точность документов / сохранность</t>
        </is>
      </c>
      <c r="C55" s="33" t="n">
        <v>0.1</v>
      </c>
      <c r="D55" s="31" t="n">
        <v>1</v>
      </c>
      <c r="E55" s="33">
        <f>C55*D55</f>
        <v/>
      </c>
      <c r="F55" s="28" t="n"/>
    </row>
    <row r="56">
      <c r="A56" s="34" t="n"/>
      <c r="B56" s="35" t="inlineStr">
        <is>
          <t>Итоговое выполнение показателей</t>
        </is>
      </c>
      <c r="C56" s="36">
        <f>SUM(C51:C55)</f>
        <v/>
      </c>
      <c r="D56" s="34" t="n"/>
      <c r="E56" s="37">
        <f>SUM(E51:E55)</f>
        <v/>
      </c>
      <c r="F56" s="34" t="n"/>
    </row>
    <row r="58">
      <c r="A58" s="26" t="n"/>
      <c r="B58" s="26" t="inlineStr">
        <is>
          <t>Жунусова Камила — Менеджер по логистике · Логистика  [ПЕРЕДОВАЯ ЛИНИЯ]</t>
        </is>
      </c>
      <c r="C58" s="26" t="n"/>
      <c r="D58" s="26" t="n"/>
      <c r="E58" s="26" t="n"/>
      <c r="F58" s="26" t="n"/>
    </row>
    <row r="59">
      <c r="A59" s="27" t="n"/>
      <c r="B59" s="7" t="inlineStr">
        <is>
          <t>Показатель</t>
        </is>
      </c>
      <c r="C59" s="7" t="inlineStr">
        <is>
          <t>Вес</t>
        </is>
      </c>
      <c r="D59" s="7" t="inlineStr">
        <is>
          <t>Выполнение, %</t>
        </is>
      </c>
      <c r="E59" s="7" t="inlineStr">
        <is>
          <t>Вклад</t>
        </is>
      </c>
      <c r="F59" s="27" t="n"/>
    </row>
    <row r="60">
      <c r="A60" s="28" t="n"/>
      <c r="B60" s="29" t="inlineStr">
        <is>
          <t>Валовая маржа по своим перевозкам (≥K×стоимости)</t>
        </is>
      </c>
      <c r="C60" s="30" t="n">
        <v>0.45</v>
      </c>
      <c r="D60" s="31" t="n">
        <v>1</v>
      </c>
      <c r="E60" s="30">
        <f>C60*D60</f>
        <v/>
      </c>
      <c r="F60" s="28" t="n"/>
    </row>
    <row r="61">
      <c r="A61" s="28" t="n"/>
      <c r="B61" s="32" t="inlineStr">
        <is>
          <t>Объём перевозок к норме</t>
        </is>
      </c>
      <c r="C61" s="33" t="n">
        <v>0.15</v>
      </c>
      <c r="D61" s="31" t="n">
        <v>1</v>
      </c>
      <c r="E61" s="33">
        <f>C61*D61</f>
        <v/>
      </c>
      <c r="F61" s="28" t="n"/>
    </row>
    <row r="62">
      <c r="A62" s="28" t="n"/>
      <c r="B62" s="32" t="inlineStr">
        <is>
          <t>Соблюдение сроков доставки</t>
        </is>
      </c>
      <c r="C62" s="33" t="n">
        <v>0.15</v>
      </c>
      <c r="D62" s="31" t="n">
        <v>1</v>
      </c>
      <c r="E62" s="33">
        <f>C62*D62</f>
        <v/>
      </c>
      <c r="F62" s="28" t="n"/>
    </row>
    <row r="63">
      <c r="A63" s="28" t="n"/>
      <c r="B63" s="32" t="inlineStr">
        <is>
          <t>Загрузка / порожний пробег</t>
        </is>
      </c>
      <c r="C63" s="33" t="n">
        <v>0.15</v>
      </c>
      <c r="D63" s="31" t="n">
        <v>1</v>
      </c>
      <c r="E63" s="33">
        <f>C63*D63</f>
        <v/>
      </c>
      <c r="F63" s="28" t="n"/>
    </row>
    <row r="64">
      <c r="A64" s="28" t="n"/>
      <c r="B64" s="32" t="inlineStr">
        <is>
          <t>Точность документов / сохранность</t>
        </is>
      </c>
      <c r="C64" s="33" t="n">
        <v>0.1</v>
      </c>
      <c r="D64" s="31" t="n">
        <v>1</v>
      </c>
      <c r="E64" s="33">
        <f>C64*D64</f>
        <v/>
      </c>
      <c r="F64" s="28" t="n"/>
    </row>
    <row r="65">
      <c r="A65" s="34" t="n"/>
      <c r="B65" s="35" t="inlineStr">
        <is>
          <t>Итоговое выполнение показателей</t>
        </is>
      </c>
      <c r="C65" s="36">
        <f>SUM(C60:C64)</f>
        <v/>
      </c>
      <c r="D65" s="34" t="n"/>
      <c r="E65" s="37">
        <f>SUM(E60:E64)</f>
        <v/>
      </c>
      <c r="F65" s="34" t="n"/>
    </row>
    <row r="67">
      <c r="A67" s="26" t="n"/>
      <c r="B67" s="26" t="inlineStr">
        <is>
          <t>Сейтқадыр Дарын — Менеджер по логистике · Логистика  [ПЕРЕДОВАЯ ЛИНИЯ]</t>
        </is>
      </c>
      <c r="C67" s="26" t="n"/>
      <c r="D67" s="26" t="n"/>
      <c r="E67" s="26" t="n"/>
      <c r="F67" s="26" t="n"/>
    </row>
    <row r="68">
      <c r="A68" s="27" t="n"/>
      <c r="B68" s="7" t="inlineStr">
        <is>
          <t>Показатель</t>
        </is>
      </c>
      <c r="C68" s="7" t="inlineStr">
        <is>
          <t>Вес</t>
        </is>
      </c>
      <c r="D68" s="7" t="inlineStr">
        <is>
          <t>Выполнение, %</t>
        </is>
      </c>
      <c r="E68" s="7" t="inlineStr">
        <is>
          <t>Вклад</t>
        </is>
      </c>
      <c r="F68" s="27" t="n"/>
    </row>
    <row r="69">
      <c r="A69" s="28" t="n"/>
      <c r="B69" s="29" t="inlineStr">
        <is>
          <t>Валовая маржа по своим перевозкам (≥K×стоимости)</t>
        </is>
      </c>
      <c r="C69" s="30" t="n">
        <v>0.45</v>
      </c>
      <c r="D69" s="31" t="n">
        <v>1</v>
      </c>
      <c r="E69" s="30">
        <f>C69*D69</f>
        <v/>
      </c>
      <c r="F69" s="28" t="n"/>
    </row>
    <row r="70">
      <c r="A70" s="28" t="n"/>
      <c r="B70" s="32" t="inlineStr">
        <is>
          <t>Объём перевозок к норме</t>
        </is>
      </c>
      <c r="C70" s="33" t="n">
        <v>0.15</v>
      </c>
      <c r="D70" s="31" t="n">
        <v>1</v>
      </c>
      <c r="E70" s="33">
        <f>C70*D70</f>
        <v/>
      </c>
      <c r="F70" s="28" t="n"/>
    </row>
    <row r="71">
      <c r="A71" s="28" t="n"/>
      <c r="B71" s="32" t="inlineStr">
        <is>
          <t>Соблюдение сроков доставки</t>
        </is>
      </c>
      <c r="C71" s="33" t="n">
        <v>0.15</v>
      </c>
      <c r="D71" s="31" t="n">
        <v>1</v>
      </c>
      <c r="E71" s="33">
        <f>C71*D71</f>
        <v/>
      </c>
      <c r="F71" s="28" t="n"/>
    </row>
    <row r="72">
      <c r="A72" s="28" t="n"/>
      <c r="B72" s="32" t="inlineStr">
        <is>
          <t>Загрузка / порожний пробег</t>
        </is>
      </c>
      <c r="C72" s="33" t="n">
        <v>0.15</v>
      </c>
      <c r="D72" s="31" t="n">
        <v>1</v>
      </c>
      <c r="E72" s="33">
        <f>C72*D72</f>
        <v/>
      </c>
      <c r="F72" s="28" t="n"/>
    </row>
    <row r="73">
      <c r="A73" s="28" t="n"/>
      <c r="B73" s="32" t="inlineStr">
        <is>
          <t>Точность документов / сохранность</t>
        </is>
      </c>
      <c r="C73" s="33" t="n">
        <v>0.1</v>
      </c>
      <c r="D73" s="31" t="n">
        <v>1</v>
      </c>
      <c r="E73" s="33">
        <f>C73*D73</f>
        <v/>
      </c>
      <c r="F73" s="28" t="n"/>
    </row>
    <row r="74">
      <c r="A74" s="34" t="n"/>
      <c r="B74" s="35" t="inlineStr">
        <is>
          <t>Итоговое выполнение показателей</t>
        </is>
      </c>
      <c r="C74" s="36">
        <f>SUM(C69:C73)</f>
        <v/>
      </c>
      <c r="D74" s="34" t="n"/>
      <c r="E74" s="37">
        <f>SUM(E69:E73)</f>
        <v/>
      </c>
      <c r="F74" s="34" t="n"/>
    </row>
    <row r="76">
      <c r="A76" s="26" t="n"/>
      <c r="B76" s="26" t="inlineStr">
        <is>
          <t>Белова Полина — Менеджер по логистике (младший) · Логистика  [ПЕРЕДОВАЯ ЛИНИЯ]</t>
        </is>
      </c>
      <c r="C76" s="26" t="n"/>
      <c r="D76" s="26" t="n"/>
      <c r="E76" s="26" t="n"/>
      <c r="F76" s="26" t="n"/>
    </row>
    <row r="77">
      <c r="A77" s="27" t="n"/>
      <c r="B77" s="7" t="inlineStr">
        <is>
          <t>Показатель</t>
        </is>
      </c>
      <c r="C77" s="7" t="inlineStr">
        <is>
          <t>Вес</t>
        </is>
      </c>
      <c r="D77" s="7" t="inlineStr">
        <is>
          <t>Выполнение, %</t>
        </is>
      </c>
      <c r="E77" s="7" t="inlineStr">
        <is>
          <t>Вклад</t>
        </is>
      </c>
      <c r="F77" s="27" t="n"/>
    </row>
    <row r="78">
      <c r="A78" s="28" t="n"/>
      <c r="B78" s="29" t="inlineStr">
        <is>
          <t>Валовая маржа по своим перевозкам (≥K×стоимости)</t>
        </is>
      </c>
      <c r="C78" s="30" t="n">
        <v>0.45</v>
      </c>
      <c r="D78" s="31" t="n">
        <v>1</v>
      </c>
      <c r="E78" s="30">
        <f>C78*D78</f>
        <v/>
      </c>
      <c r="F78" s="28" t="n"/>
    </row>
    <row r="79">
      <c r="A79" s="28" t="n"/>
      <c r="B79" s="32" t="inlineStr">
        <is>
          <t>Объём перевозок к норме</t>
        </is>
      </c>
      <c r="C79" s="33" t="n">
        <v>0.15</v>
      </c>
      <c r="D79" s="31" t="n">
        <v>1</v>
      </c>
      <c r="E79" s="33">
        <f>C79*D79</f>
        <v/>
      </c>
      <c r="F79" s="28" t="n"/>
    </row>
    <row r="80">
      <c r="A80" s="28" t="n"/>
      <c r="B80" s="32" t="inlineStr">
        <is>
          <t>Соблюдение сроков доставки</t>
        </is>
      </c>
      <c r="C80" s="33" t="n">
        <v>0.15</v>
      </c>
      <c r="D80" s="31" t="n">
        <v>1</v>
      </c>
      <c r="E80" s="33">
        <f>C80*D80</f>
        <v/>
      </c>
      <c r="F80" s="28" t="n"/>
    </row>
    <row r="81">
      <c r="A81" s="28" t="n"/>
      <c r="B81" s="32" t="inlineStr">
        <is>
          <t>Загрузка / порожний пробег</t>
        </is>
      </c>
      <c r="C81" s="33" t="n">
        <v>0.15</v>
      </c>
      <c r="D81" s="31" t="n">
        <v>1</v>
      </c>
      <c r="E81" s="33">
        <f>C81*D81</f>
        <v/>
      </c>
      <c r="F81" s="28" t="n"/>
    </row>
    <row r="82">
      <c r="A82" s="28" t="n"/>
      <c r="B82" s="32" t="inlineStr">
        <is>
          <t>Точность документов / сохранность</t>
        </is>
      </c>
      <c r="C82" s="33" t="n">
        <v>0.1</v>
      </c>
      <c r="D82" s="31" t="n">
        <v>1</v>
      </c>
      <c r="E82" s="33">
        <f>C82*D82</f>
        <v/>
      </c>
      <c r="F82" s="28" t="n"/>
    </row>
    <row r="83">
      <c r="A83" s="34" t="n"/>
      <c r="B83" s="35" t="inlineStr">
        <is>
          <t>Итоговое выполнение показателей</t>
        </is>
      </c>
      <c r="C83" s="36">
        <f>SUM(C78:C82)</f>
        <v/>
      </c>
      <c r="D83" s="34" t="n"/>
      <c r="E83" s="37">
        <f>SUM(E78:E82)</f>
        <v/>
      </c>
      <c r="F83" s="34" t="n"/>
    </row>
    <row r="85">
      <c r="A85" s="26" t="n"/>
      <c r="B85" s="26" t="inlineStr">
        <is>
          <t>Таджимурадова Асем — Менеджер по закрытию · Расчёты  [ПЕРЕДОВАЯ ЛИНИЯ]</t>
        </is>
      </c>
      <c r="C85" s="26" t="n"/>
      <c r="D85" s="26" t="n"/>
      <c r="E85" s="26" t="n"/>
      <c r="F85" s="26" t="n"/>
    </row>
    <row r="86">
      <c r="A86" s="27" t="n"/>
      <c r="B86" s="7" t="inlineStr">
        <is>
          <t>Показатель</t>
        </is>
      </c>
      <c r="C86" s="7" t="inlineStr">
        <is>
          <t>Вес</t>
        </is>
      </c>
      <c r="D86" s="7" t="inlineStr">
        <is>
          <t>Выполнение, %</t>
        </is>
      </c>
      <c r="E86" s="7" t="inlineStr">
        <is>
          <t>Вклад</t>
        </is>
      </c>
      <c r="F86" s="27" t="n"/>
    </row>
    <row r="87">
      <c r="A87" s="28" t="n"/>
      <c r="B87" s="29" t="inlineStr">
        <is>
          <t>Валовая прибыль по закрытым перевозкам к плану</t>
        </is>
      </c>
      <c r="C87" s="30" t="n">
        <v>0.45</v>
      </c>
      <c r="D87" s="31" t="n">
        <v>1</v>
      </c>
      <c r="E87" s="30">
        <f>C87*D87</f>
        <v/>
      </c>
      <c r="F87" s="28" t="n"/>
    </row>
    <row r="88">
      <c r="A88" s="28" t="n"/>
      <c r="B88" s="32" t="inlineStr">
        <is>
          <t>Собираемость оплаты в срок</t>
        </is>
      </c>
      <c r="C88" s="33" t="n">
        <v>0.3</v>
      </c>
      <c r="D88" s="31" t="n">
        <v>1</v>
      </c>
      <c r="E88" s="33">
        <f>C88*D88</f>
        <v/>
      </c>
      <c r="F88" s="28" t="n"/>
    </row>
    <row r="89">
      <c r="A89" s="28" t="n"/>
      <c r="B89" s="32" t="inlineStr">
        <is>
          <t>Срок закрытия документов</t>
        </is>
      </c>
      <c r="C89" s="33" t="n">
        <v>0.15</v>
      </c>
      <c r="D89" s="31" t="n">
        <v>1</v>
      </c>
      <c r="E89" s="33">
        <f>C89*D89</f>
        <v/>
      </c>
      <c r="F89" s="28" t="n"/>
    </row>
    <row r="90">
      <c r="A90" s="28" t="n"/>
      <c r="B90" s="32" t="inlineStr">
        <is>
          <t>Точность / отсутствие расхождений</t>
        </is>
      </c>
      <c r="C90" s="33" t="n">
        <v>0.1</v>
      </c>
      <c r="D90" s="31" t="n">
        <v>1</v>
      </c>
      <c r="E90" s="33">
        <f>C90*D90</f>
        <v/>
      </c>
      <c r="F90" s="28" t="n"/>
    </row>
    <row r="91">
      <c r="A91" s="34" t="n"/>
      <c r="B91" s="35" t="inlineStr">
        <is>
          <t>Итоговое выполнение показателей</t>
        </is>
      </c>
      <c r="C91" s="36">
        <f>SUM(C87:C90)</f>
        <v/>
      </c>
      <c r="D91" s="34" t="n"/>
      <c r="E91" s="37">
        <f>SUM(E87:E90)</f>
        <v/>
      </c>
      <c r="F91" s="34" t="n"/>
    </row>
    <row r="93">
      <c r="A93" s="26" t="n"/>
      <c r="B93" s="26" t="inlineStr">
        <is>
          <t>Аманбекова Айгуль — Руководитель отдела персонала · Персонал  [ПОДДЕРЖКА]</t>
        </is>
      </c>
      <c r="C93" s="26" t="n"/>
      <c r="D93" s="26" t="n"/>
      <c r="E93" s="26" t="n"/>
      <c r="F93" s="26" t="n"/>
    </row>
    <row r="94">
      <c r="A94" s="27" t="n"/>
      <c r="B94" s="7" t="inlineStr">
        <is>
          <t>Показатель</t>
        </is>
      </c>
      <c r="C94" s="7" t="inlineStr">
        <is>
          <t>Вес</t>
        </is>
      </c>
      <c r="D94" s="7" t="inlineStr">
        <is>
          <t>Выполнение, %</t>
        </is>
      </c>
      <c r="E94" s="7" t="inlineStr">
        <is>
          <t>Вклад</t>
        </is>
      </c>
      <c r="F94" s="27" t="n"/>
    </row>
    <row r="95">
      <c r="A95" s="28" t="n"/>
      <c r="B95" s="29" t="inlineStr">
        <is>
          <t>Чистая прибыль компании (общий)</t>
        </is>
      </c>
      <c r="C95" s="30" t="n">
        <v>0.25</v>
      </c>
      <c r="D95" s="31" t="n">
        <v>1</v>
      </c>
      <c r="E95" s="30">
        <f>C95*D95</f>
        <v/>
      </c>
      <c r="F95" s="28" t="n"/>
    </row>
    <row r="96">
      <c r="A96" s="28" t="n"/>
      <c r="B96" s="32" t="inlineStr">
        <is>
          <t>Удержание персонала / текучесть</t>
        </is>
      </c>
      <c r="C96" s="33" t="n">
        <v>0.25</v>
      </c>
      <c r="D96" s="31" t="n">
        <v>1</v>
      </c>
      <c r="E96" s="33">
        <f>C96*D96</f>
        <v/>
      </c>
      <c r="F96" s="28" t="n"/>
    </row>
    <row r="97">
      <c r="A97" s="28" t="n"/>
      <c r="B97" s="32" t="inlineStr">
        <is>
          <t>Срок закрытия ключевых вакансий</t>
        </is>
      </c>
      <c r="C97" s="33" t="n">
        <v>0.2</v>
      </c>
      <c r="D97" s="31" t="n">
        <v>1</v>
      </c>
      <c r="E97" s="33">
        <f>C97*D97</f>
        <v/>
      </c>
      <c r="F97" s="28" t="n"/>
    </row>
    <row r="98">
      <c r="A98" s="28" t="n"/>
      <c r="B98" s="32" t="inlineStr">
        <is>
          <t>Вовлечённость персонала (опрос)</t>
        </is>
      </c>
      <c r="C98" s="33" t="n">
        <v>0.15</v>
      </c>
      <c r="D98" s="31" t="n">
        <v>1</v>
      </c>
      <c r="E98" s="33">
        <f>C98*D98</f>
        <v/>
      </c>
      <c r="F98" s="28" t="n"/>
    </row>
    <row r="99">
      <c r="A99" s="28" t="n"/>
      <c r="B99" s="32" t="inlineStr">
        <is>
          <t>Внедрение мотивации / бюджет фонда</t>
        </is>
      </c>
      <c r="C99" s="33" t="n">
        <v>0.15</v>
      </c>
      <c r="D99" s="31" t="n">
        <v>1</v>
      </c>
      <c r="E99" s="33">
        <f>C99*D99</f>
        <v/>
      </c>
      <c r="F99" s="28" t="n"/>
    </row>
    <row r="100">
      <c r="A100" s="34" t="n"/>
      <c r="B100" s="35" t="inlineStr">
        <is>
          <t>Итоговое выполнение показателей</t>
        </is>
      </c>
      <c r="C100" s="36">
        <f>SUM(C95:C99)</f>
        <v/>
      </c>
      <c r="D100" s="34" t="n"/>
      <c r="E100" s="37">
        <f>SUM(E95:E99)</f>
        <v/>
      </c>
      <c r="F100" s="34" t="n"/>
    </row>
    <row r="102">
      <c r="A102" s="26" t="n"/>
      <c r="B102" s="26" t="inlineStr">
        <is>
          <t>Байльденова Шолпан — Менеджер по персоналу · Персонал  [ПОДДЕРЖКА]</t>
        </is>
      </c>
      <c r="C102" s="26" t="n"/>
      <c r="D102" s="26" t="n"/>
      <c r="E102" s="26" t="n"/>
      <c r="F102" s="26" t="n"/>
    </row>
    <row r="103">
      <c r="A103" s="27" t="n"/>
      <c r="B103" s="7" t="inlineStr">
        <is>
          <t>Показатель</t>
        </is>
      </c>
      <c r="C103" s="7" t="inlineStr">
        <is>
          <t>Вес</t>
        </is>
      </c>
      <c r="D103" s="7" t="inlineStr">
        <is>
          <t>Выполнение, %</t>
        </is>
      </c>
      <c r="E103" s="7" t="inlineStr">
        <is>
          <t>Вклад</t>
        </is>
      </c>
      <c r="F103" s="27" t="n"/>
    </row>
    <row r="104">
      <c r="A104" s="28" t="n"/>
      <c r="B104" s="29" t="inlineStr">
        <is>
          <t>Чистая прибыль компании (общий)</t>
        </is>
      </c>
      <c r="C104" s="30" t="n">
        <v>0.25</v>
      </c>
      <c r="D104" s="31" t="n">
        <v>1</v>
      </c>
      <c r="E104" s="30">
        <f>C104*D104</f>
        <v/>
      </c>
      <c r="F104" s="28" t="n"/>
    </row>
    <row r="105">
      <c r="A105" s="28" t="n"/>
      <c r="B105" s="32" t="inlineStr">
        <is>
          <t>Срок закрытия вакансий</t>
        </is>
      </c>
      <c r="C105" s="33" t="n">
        <v>0.2</v>
      </c>
      <c r="D105" s="31" t="n">
        <v>1</v>
      </c>
      <c r="E105" s="33">
        <f>C105*D105</f>
        <v/>
      </c>
      <c r="F105" s="28" t="n"/>
    </row>
    <row r="106">
      <c r="A106" s="28" t="n"/>
      <c r="B106" s="32" t="inlineStr">
        <is>
          <t>Кадровый учёт без нарушений</t>
        </is>
      </c>
      <c r="C106" s="33" t="n">
        <v>0.2</v>
      </c>
      <c r="D106" s="31" t="n">
        <v>1</v>
      </c>
      <c r="E106" s="33">
        <f>C106*D106</f>
        <v/>
      </c>
      <c r="F106" s="28" t="n"/>
    </row>
    <row r="107">
      <c r="A107" s="28" t="n"/>
      <c r="B107" s="32" t="inlineStr">
        <is>
          <t>Точность расчёта зарплаты</t>
        </is>
      </c>
      <c r="C107" s="33" t="n">
        <v>0.2</v>
      </c>
      <c r="D107" s="31" t="n">
        <v>1</v>
      </c>
      <c r="E107" s="33">
        <f>C107*D107</f>
        <v/>
      </c>
      <c r="F107" s="28" t="n"/>
    </row>
    <row r="108">
      <c r="A108" s="28" t="n"/>
      <c r="B108" s="32" t="inlineStr">
        <is>
          <t>Адаптация новых сотрудников</t>
        </is>
      </c>
      <c r="C108" s="33" t="n">
        <v>0.15</v>
      </c>
      <c r="D108" s="31" t="n">
        <v>1</v>
      </c>
      <c r="E108" s="33">
        <f>C108*D108</f>
        <v/>
      </c>
      <c r="F108" s="28" t="n"/>
    </row>
    <row r="109">
      <c r="A109" s="34" t="n"/>
      <c r="B109" s="35" t="inlineStr">
        <is>
          <t>Итоговое выполнение показателей</t>
        </is>
      </c>
      <c r="C109" s="36">
        <f>SUM(C104:C108)</f>
        <v/>
      </c>
      <c r="D109" s="34" t="n"/>
      <c r="E109" s="37">
        <f>SUM(E104:E108)</f>
        <v/>
      </c>
      <c r="F109" s="34" t="n"/>
    </row>
    <row r="111">
      <c r="A111" s="26" t="n"/>
      <c r="B111" s="26" t="inlineStr">
        <is>
          <t>Ташметов Сакен — Юрист · Юридический  [ПОДДЕРЖКА]</t>
        </is>
      </c>
      <c r="C111" s="26" t="n"/>
      <c r="D111" s="26" t="n"/>
      <c r="E111" s="26" t="n"/>
      <c r="F111" s="26" t="n"/>
    </row>
    <row r="112">
      <c r="A112" s="27" t="n"/>
      <c r="B112" s="7" t="inlineStr">
        <is>
          <t>Показатель</t>
        </is>
      </c>
      <c r="C112" s="7" t="inlineStr">
        <is>
          <t>Вес</t>
        </is>
      </c>
      <c r="D112" s="7" t="inlineStr">
        <is>
          <t>Выполнение, %</t>
        </is>
      </c>
      <c r="E112" s="7" t="inlineStr">
        <is>
          <t>Вклад</t>
        </is>
      </c>
      <c r="F112" s="27" t="n"/>
    </row>
    <row r="113">
      <c r="A113" s="28" t="n"/>
      <c r="B113" s="29" t="inlineStr">
        <is>
          <t>Чистая прибыль компании (общий)</t>
        </is>
      </c>
      <c r="C113" s="30" t="n">
        <v>0.25</v>
      </c>
      <c r="D113" s="31" t="n">
        <v>1</v>
      </c>
      <c r="E113" s="30">
        <f>C113*D113</f>
        <v/>
      </c>
      <c r="F113" s="28" t="n"/>
    </row>
    <row r="114">
      <c r="A114" s="28" t="n"/>
      <c r="B114" s="32" t="inlineStr">
        <is>
          <t>Взысканная дебиторка / споры</t>
        </is>
      </c>
      <c r="C114" s="33" t="n">
        <v>0.25</v>
      </c>
      <c r="D114" s="31" t="n">
        <v>1</v>
      </c>
      <c r="E114" s="33">
        <f>C114*D114</f>
        <v/>
      </c>
      <c r="F114" s="28" t="n"/>
    </row>
    <row r="115">
      <c r="A115" s="28" t="n"/>
      <c r="B115" s="32" t="inlineStr">
        <is>
          <t>Согласование договоров в срок</t>
        </is>
      </c>
      <c r="C115" s="33" t="n">
        <v>0.2</v>
      </c>
      <c r="D115" s="31" t="n">
        <v>1</v>
      </c>
      <c r="E115" s="33">
        <f>C115*D115</f>
        <v/>
      </c>
      <c r="F115" s="28" t="n"/>
    </row>
    <row r="116">
      <c r="A116" s="28" t="n"/>
      <c r="B116" s="32" t="inlineStr">
        <is>
          <t>Юридические риски: штрафы</t>
        </is>
      </c>
      <c r="C116" s="33" t="n">
        <v>0.15</v>
      </c>
      <c r="D116" s="31" t="n">
        <v>1</v>
      </c>
      <c r="E116" s="33">
        <f>C116*D116</f>
        <v/>
      </c>
      <c r="F116" s="28" t="n"/>
    </row>
    <row r="117">
      <c r="A117" s="28" t="n"/>
      <c r="B117" s="32" t="inlineStr">
        <is>
          <t>Сопровождение сделок и перевозок</t>
        </is>
      </c>
      <c r="C117" s="33" t="n">
        <v>0.15</v>
      </c>
      <c r="D117" s="31" t="n">
        <v>1</v>
      </c>
      <c r="E117" s="33">
        <f>C117*D117</f>
        <v/>
      </c>
      <c r="F117" s="28" t="n"/>
    </row>
    <row r="118">
      <c r="A118" s="34" t="n"/>
      <c r="B118" s="35" t="inlineStr">
        <is>
          <t>Итоговое выполнение показателей</t>
        </is>
      </c>
      <c r="C118" s="36">
        <f>SUM(C113:C117)</f>
        <v/>
      </c>
      <c r="D118" s="34" t="n"/>
      <c r="E118" s="37">
        <f>SUM(E113:E117)</f>
        <v/>
      </c>
      <c r="F118" s="34" t="n"/>
    </row>
  </sheetData>
  <mergeCells count="1">
    <mergeCell ref="A2:F2"/>
  </mergeCells>
  <dataValidations count="1">
    <dataValidation sqref="D6 D7 D8 D9 D10 D15 D16 D17 D18 D19 D24 D25 D26 D27 D28 D33 D34 D35 D36 D37 D42 D43 D44 D45 D46 D51 D52 D53 D54 D55 D60 D61 D62 D63 D64 D69 D70 D71 D72 D73 D78 D79 D80 D81 D82 D87 D88 D89 D90 D95 D96 D97 D98 D99 D104 D105 D106 D107 D108 D113 D114 D115 D116 D117" showDropDown="0" showInputMessage="0" showErrorMessage="0" allowBlank="1" errorTitle="Диапазон" error="Выполнение 0–150%" type="decimal" operator="between">
      <formula1>0</formula1>
      <formula2>1.5</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showGridLines="0" workbookViewId="0">
      <pane ySplit="4" topLeftCell="A5" activePane="bottomLeft" state="frozen"/>
      <selection pane="bottomLeft" activeCell="A1" sqref="A1"/>
    </sheetView>
  </sheetViews>
  <sheetFormatPr baseColWidth="8" defaultRowHeight="15"/>
  <cols>
    <col width="16" customWidth="1" min="1" max="1"/>
    <col width="42" customWidth="1" min="2" max="2"/>
    <col width="20" customWidth="1" min="3" max="3"/>
    <col width="14" customWidth="1" min="4" max="4"/>
    <col width="20" customWidth="1" min="5" max="5"/>
    <col width="10" customWidth="1" min="6" max="6"/>
  </cols>
  <sheetData>
    <row r="1">
      <c r="A1" s="38" t="inlineStr">
        <is>
          <t>Справочник показателей эффективности (транспортно-логистическая компания)</t>
        </is>
      </c>
    </row>
    <row r="2">
      <c r="A2" s="2" t="inlineStr">
        <is>
          <t>Библиотека показателей по функциям — можно адаптировать под должности. Тип: индивидуальный / командный.</t>
        </is>
      </c>
    </row>
    <row r="4">
      <c r="A4" s="7" t="inlineStr">
        <is>
          <t>Функция / роль</t>
        </is>
      </c>
      <c r="B4" s="7" t="inlineStr">
        <is>
          <t>Показатель</t>
        </is>
      </c>
      <c r="C4" s="7" t="inlineStr">
        <is>
          <t>Метрика</t>
        </is>
      </c>
      <c r="D4" s="7" t="inlineStr">
        <is>
          <t>Рекоменд. вес, %</t>
        </is>
      </c>
      <c r="E4" s="7" t="inlineStr">
        <is>
          <t>Источник факта</t>
        </is>
      </c>
      <c r="F4" s="7" t="inlineStr">
        <is>
          <t>Тип</t>
        </is>
      </c>
    </row>
    <row r="5">
      <c r="A5" s="8" t="inlineStr">
        <is>
          <t>Руководство</t>
        </is>
      </c>
      <c r="B5" s="8" t="inlineStr">
        <is>
          <t>Чистая прибыль компании к плану</t>
        </is>
      </c>
      <c r="C5" s="9" t="inlineStr">
        <is>
          <t>% к плану</t>
        </is>
      </c>
      <c r="D5" s="9" t="inlineStr">
        <is>
          <t>40–50</t>
        </is>
      </c>
      <c r="E5" s="8" t="inlineStr">
        <is>
          <t>Управл. отчётность</t>
        </is>
      </c>
      <c r="F5" s="9" t="inlineStr">
        <is>
          <t>команд.</t>
        </is>
      </c>
    </row>
    <row r="6">
      <c r="A6" s="15" t="inlineStr">
        <is>
          <t>Руководство</t>
        </is>
      </c>
      <c r="B6" s="15" t="inlineStr">
        <is>
          <t>Выручка к плану</t>
        </is>
      </c>
      <c r="C6" s="16" t="inlineStr">
        <is>
          <t>% к плану</t>
        </is>
      </c>
      <c r="D6" s="16" t="inlineStr">
        <is>
          <t>15–20</t>
        </is>
      </c>
      <c r="E6" s="15" t="inlineStr">
        <is>
          <t>Отчёт о продажах</t>
        </is>
      </c>
      <c r="F6" s="16" t="inlineStr">
        <is>
          <t>команд.</t>
        </is>
      </c>
    </row>
    <row r="7">
      <c r="A7" s="8" t="inlineStr">
        <is>
          <t>Руководство</t>
        </is>
      </c>
      <c r="B7" s="8" t="inlineStr">
        <is>
          <t>Развитие: новые направления/клиенты</t>
        </is>
      </c>
      <c r="C7" s="9" t="inlineStr">
        <is>
          <t>% этапов</t>
        </is>
      </c>
      <c r="D7" s="9" t="inlineStr">
        <is>
          <t>15–20</t>
        </is>
      </c>
      <c r="E7" s="8" t="inlineStr">
        <is>
          <t>План развития</t>
        </is>
      </c>
      <c r="F7" s="9" t="inlineStr">
        <is>
          <t>индив.</t>
        </is>
      </c>
    </row>
    <row r="8">
      <c r="A8" s="15" t="inlineStr">
        <is>
          <t>Финансы</t>
        </is>
      </c>
      <c r="B8" s="15" t="inlineStr">
        <is>
          <t>Запас денежных средств / кассовые разрывы</t>
        </is>
      </c>
      <c r="C8" s="16" t="inlineStr">
        <is>
          <t>мес.</t>
        </is>
      </c>
      <c r="D8" s="16" t="inlineStr">
        <is>
          <t>20</t>
        </is>
      </c>
      <c r="E8" s="15" t="inlineStr">
        <is>
          <t>Движение средств</t>
        </is>
      </c>
      <c r="F8" s="16" t="inlineStr">
        <is>
          <t>команд.</t>
        </is>
      </c>
    </row>
    <row r="9">
      <c r="A9" s="8" t="inlineStr">
        <is>
          <t>Финансы</t>
        </is>
      </c>
      <c r="B9" s="8" t="inlineStr">
        <is>
          <t>Период оборота дебиторской задолженности</t>
        </is>
      </c>
      <c r="C9" s="9" t="inlineStr">
        <is>
          <t>дни</t>
        </is>
      </c>
      <c r="D9" s="9" t="inlineStr">
        <is>
          <t>15–20</t>
        </is>
      </c>
      <c r="E9" s="8" t="inlineStr">
        <is>
          <t>Реестр расчётов</t>
        </is>
      </c>
      <c r="F9" s="9" t="inlineStr">
        <is>
          <t>команд.</t>
        </is>
      </c>
    </row>
    <row r="10">
      <c r="A10" s="15" t="inlineStr">
        <is>
          <t>Финансы</t>
        </is>
      </c>
      <c r="B10" s="15" t="inlineStr">
        <is>
          <t>Точность бюджета (отклонение факт/план)</t>
        </is>
      </c>
      <c r="C10" s="16" t="inlineStr">
        <is>
          <t>%</t>
        </is>
      </c>
      <c r="D10" s="16" t="inlineStr">
        <is>
          <t>15</t>
        </is>
      </c>
      <c r="E10" s="15" t="inlineStr">
        <is>
          <t>План/факт</t>
        </is>
      </c>
      <c r="F10" s="16" t="inlineStr">
        <is>
          <t>индив.</t>
        </is>
      </c>
    </row>
    <row r="11">
      <c r="A11" s="8" t="inlineStr">
        <is>
          <t>Операции</t>
        </is>
      </c>
      <c r="B11" s="8" t="inlineStr">
        <is>
          <t>Валовая прибыль по операциям</t>
        </is>
      </c>
      <c r="C11" s="9" t="inlineStr">
        <is>
          <t>млн ₸</t>
        </is>
      </c>
      <c r="D11" s="9" t="inlineStr">
        <is>
          <t>40</t>
        </is>
      </c>
      <c r="E11" s="8" t="inlineStr">
        <is>
          <t>Себестоимость</t>
        </is>
      </c>
      <c r="F11" s="9" t="inlineStr">
        <is>
          <t>команд.</t>
        </is>
      </c>
    </row>
    <row r="12">
      <c r="A12" s="15" t="inlineStr">
        <is>
          <t>Операции</t>
        </is>
      </c>
      <c r="B12" s="15" t="inlineStr">
        <is>
          <t>Соблюдение сроков (в срок и в полном объёме)</t>
        </is>
      </c>
      <c r="C12" s="16" t="inlineStr">
        <is>
          <t>% рейсов</t>
        </is>
      </c>
      <c r="D12" s="16" t="inlineStr">
        <is>
          <t>20</t>
        </is>
      </c>
      <c r="E12" s="15" t="inlineStr">
        <is>
          <t>Учёт перевозок</t>
        </is>
      </c>
      <c r="F12" s="16" t="inlineStr">
        <is>
          <t>команд.</t>
        </is>
      </c>
    </row>
    <row r="13">
      <c r="A13" s="8" t="inlineStr">
        <is>
          <t>Операции</t>
        </is>
      </c>
      <c r="B13" s="8" t="inlineStr">
        <is>
          <t>Себестоимость на тонну/километр</t>
        </is>
      </c>
      <c r="C13" s="9" t="inlineStr">
        <is>
          <t>₸</t>
        </is>
      </c>
      <c r="D13" s="9" t="inlineStr">
        <is>
          <t>20</t>
        </is>
      </c>
      <c r="E13" s="8" t="inlineStr">
        <is>
          <t>Себестоимость</t>
        </is>
      </c>
      <c r="F13" s="9" t="inlineStr">
        <is>
          <t>индив.</t>
        </is>
      </c>
    </row>
    <row r="14">
      <c r="A14" s="15" t="inlineStr">
        <is>
          <t>Операции</t>
        </is>
      </c>
      <c r="B14" s="15" t="inlineStr">
        <is>
          <t>Безопасность: происшествия / охрана труда</t>
        </is>
      </c>
      <c r="C14" s="16" t="inlineStr">
        <is>
          <t>кол-во</t>
        </is>
      </c>
      <c r="D14" s="16" t="inlineStr">
        <is>
          <t>10</t>
        </is>
      </c>
      <c r="E14" s="15" t="inlineStr">
        <is>
          <t>Служба безопасности</t>
        </is>
      </c>
      <c r="F14" s="16" t="inlineStr">
        <is>
          <t>команд.</t>
        </is>
      </c>
    </row>
    <row r="15">
      <c r="A15" s="8" t="inlineStr">
        <is>
          <t>Логистика</t>
        </is>
      </c>
      <c r="B15" s="8" t="inlineStr">
        <is>
          <t>Валовая маржа по своим перевозкам</t>
        </is>
      </c>
      <c r="C15" s="9" t="inlineStr">
        <is>
          <t>₸ / % ≥K×стоим.</t>
        </is>
      </c>
      <c r="D15" s="9" t="inlineStr">
        <is>
          <t>45</t>
        </is>
      </c>
      <c r="E15" s="8" t="inlineStr">
        <is>
          <t>Себестоимость</t>
        </is>
      </c>
      <c r="F15" s="9" t="inlineStr">
        <is>
          <t>индив.</t>
        </is>
      </c>
    </row>
    <row r="16">
      <c r="A16" s="15" t="inlineStr">
        <is>
          <t>Логистика</t>
        </is>
      </c>
      <c r="B16" s="15" t="inlineStr">
        <is>
          <t>Объём организованных перевозок к норме</t>
        </is>
      </c>
      <c r="C16" s="16" t="inlineStr">
        <is>
          <t>рейсы / тонны</t>
        </is>
      </c>
      <c r="D16" s="16" t="inlineStr">
        <is>
          <t>15</t>
        </is>
      </c>
      <c r="E16" s="15" t="inlineStr">
        <is>
          <t>Учёт перевозок</t>
        </is>
      </c>
      <c r="F16" s="16" t="inlineStr">
        <is>
          <t>индив.</t>
        </is>
      </c>
    </row>
    <row r="17">
      <c r="A17" s="8" t="inlineStr">
        <is>
          <t>Логистика</t>
        </is>
      </c>
      <c r="B17" s="8" t="inlineStr">
        <is>
          <t>Соблюдение сроков доставки</t>
        </is>
      </c>
      <c r="C17" s="9" t="inlineStr">
        <is>
          <t>% в срок</t>
        </is>
      </c>
      <c r="D17" s="9" t="inlineStr">
        <is>
          <t>15</t>
        </is>
      </c>
      <c r="E17" s="8" t="inlineStr">
        <is>
          <t>Учёт перевозок</t>
        </is>
      </c>
      <c r="F17" s="9" t="inlineStr">
        <is>
          <t>индив.</t>
        </is>
      </c>
    </row>
    <row r="18">
      <c r="A18" s="15" t="inlineStr">
        <is>
          <t>Логистика</t>
        </is>
      </c>
      <c r="B18" s="15" t="inlineStr">
        <is>
          <t>Загрузка транспорта / порожний пробег</t>
        </is>
      </c>
      <c r="C18" s="16" t="inlineStr">
        <is>
          <t>%</t>
        </is>
      </c>
      <c r="D18" s="16" t="inlineStr">
        <is>
          <t>10–15</t>
        </is>
      </c>
      <c r="E18" s="15" t="inlineStr">
        <is>
          <t>Учёт перевозок</t>
        </is>
      </c>
      <c r="F18" s="16" t="inlineStr">
        <is>
          <t>индив.</t>
        </is>
      </c>
    </row>
    <row r="19">
      <c r="A19" s="8" t="inlineStr">
        <is>
          <t>Логистика</t>
        </is>
      </c>
      <c r="B19" s="8" t="inlineStr">
        <is>
          <t>Сохранность груза и уровень претензий</t>
        </is>
      </c>
      <c r="C19" s="9" t="inlineStr">
        <is>
          <t>% / кол-во</t>
        </is>
      </c>
      <c r="D19" s="9" t="inlineStr">
        <is>
          <t>10</t>
        </is>
      </c>
      <c r="E19" s="8" t="inlineStr">
        <is>
          <t>Отдел рекламаций</t>
        </is>
      </c>
      <c r="F19" s="9" t="inlineStr">
        <is>
          <t>индив.</t>
        </is>
      </c>
    </row>
    <row r="20">
      <c r="A20" s="15" t="inlineStr">
        <is>
          <t>Расчёты/закрытие</t>
        </is>
      </c>
      <c r="B20" s="15" t="inlineStr">
        <is>
          <t>Валовая прибыль по закрытым перевозкам</t>
        </is>
      </c>
      <c r="C20" s="16" t="inlineStr">
        <is>
          <t>₸</t>
        </is>
      </c>
      <c r="D20" s="16" t="inlineStr">
        <is>
          <t>45</t>
        </is>
      </c>
      <c r="E20" s="15" t="inlineStr">
        <is>
          <t>Учёт/отчётность</t>
        </is>
      </c>
      <c r="F20" s="16" t="inlineStr">
        <is>
          <t>индив.</t>
        </is>
      </c>
    </row>
    <row r="21">
      <c r="A21" s="8" t="inlineStr">
        <is>
          <t>Расчёты/закрытие</t>
        </is>
      </c>
      <c r="B21" s="8" t="inlineStr">
        <is>
          <t>Собираемость оплаты в срок</t>
        </is>
      </c>
      <c r="C21" s="9" t="inlineStr">
        <is>
          <t>% в срок</t>
        </is>
      </c>
      <c r="D21" s="9" t="inlineStr">
        <is>
          <t>30</t>
        </is>
      </c>
      <c r="E21" s="8" t="inlineStr">
        <is>
          <t>Реестр расчётов</t>
        </is>
      </c>
      <c r="F21" s="9" t="inlineStr">
        <is>
          <t>индив.</t>
        </is>
      </c>
    </row>
    <row r="22">
      <c r="A22" s="15" t="inlineStr">
        <is>
          <t>Расчёты/закрытие</t>
        </is>
      </c>
      <c r="B22" s="15" t="inlineStr">
        <is>
          <t>Срок закрытия документов</t>
        </is>
      </c>
      <c r="C22" s="16" t="inlineStr">
        <is>
          <t>дни</t>
        </is>
      </c>
      <c r="D22" s="16" t="inlineStr">
        <is>
          <t>15</t>
        </is>
      </c>
      <c r="E22" s="15" t="inlineStr">
        <is>
          <t>Документооборот</t>
        </is>
      </c>
      <c r="F22" s="16" t="inlineStr">
        <is>
          <t>индив.</t>
        </is>
      </c>
    </row>
    <row r="23">
      <c r="A23" s="8" t="inlineStr">
        <is>
          <t>Персонал</t>
        </is>
      </c>
      <c r="B23" s="8" t="inlineStr">
        <is>
          <t>Удержание ключевого персонала / текучесть</t>
        </is>
      </c>
      <c r="C23" s="9" t="inlineStr">
        <is>
          <t>%</t>
        </is>
      </c>
      <c r="D23" s="9" t="inlineStr">
        <is>
          <t>25</t>
        </is>
      </c>
      <c r="E23" s="8" t="inlineStr">
        <is>
          <t>Кадровый учёт</t>
        </is>
      </c>
      <c r="F23" s="9" t="inlineStr">
        <is>
          <t>команд.</t>
        </is>
      </c>
    </row>
    <row r="24">
      <c r="A24" s="15" t="inlineStr">
        <is>
          <t>Персонал</t>
        </is>
      </c>
      <c r="B24" s="15" t="inlineStr">
        <is>
          <t>Срок закрытия вакансий</t>
        </is>
      </c>
      <c r="C24" s="16" t="inlineStr">
        <is>
          <t>дни</t>
        </is>
      </c>
      <c r="D24" s="16" t="inlineStr">
        <is>
          <t>20</t>
        </is>
      </c>
      <c r="E24" s="15" t="inlineStr">
        <is>
          <t>Отчёт по подбору</t>
        </is>
      </c>
      <c r="F24" s="16" t="inlineStr">
        <is>
          <t>индив.</t>
        </is>
      </c>
    </row>
    <row r="25">
      <c r="A25" s="8" t="inlineStr">
        <is>
          <t>Персонал</t>
        </is>
      </c>
      <c r="B25" s="8" t="inlineStr">
        <is>
          <t>Точность и своевременность расчёта зарплаты</t>
        </is>
      </c>
      <c r="C25" s="9" t="inlineStr">
        <is>
          <t>%</t>
        </is>
      </c>
      <c r="D25" s="9" t="inlineStr">
        <is>
          <t>20</t>
        </is>
      </c>
      <c r="E25" s="8" t="inlineStr">
        <is>
          <t>Бухгалтерия</t>
        </is>
      </c>
      <c r="F25" s="9" t="inlineStr">
        <is>
          <t>индив.</t>
        </is>
      </c>
    </row>
    <row r="26">
      <c r="A26" s="15" t="inlineStr">
        <is>
          <t>Юридический</t>
        </is>
      </c>
      <c r="B26" s="15" t="inlineStr">
        <is>
          <t>Взысканная дебиторская задолженность / споры</t>
        </is>
      </c>
      <c r="C26" s="16" t="inlineStr">
        <is>
          <t>₸ / %</t>
        </is>
      </c>
      <c r="D26" s="16" t="inlineStr">
        <is>
          <t>25</t>
        </is>
      </c>
      <c r="E26" s="15" t="inlineStr">
        <is>
          <t>Претензии</t>
        </is>
      </c>
      <c r="F26" s="16" t="inlineStr">
        <is>
          <t>индив.</t>
        </is>
      </c>
    </row>
    <row r="27">
      <c r="A27" s="8" t="inlineStr">
        <is>
          <t>Юридический</t>
        </is>
      </c>
      <c r="B27" s="8" t="inlineStr">
        <is>
          <t>Согласование договоров в срок</t>
        </is>
      </c>
      <c r="C27" s="9" t="inlineStr">
        <is>
          <t>дни / %</t>
        </is>
      </c>
      <c r="D27" s="9" t="inlineStr">
        <is>
          <t>20</t>
        </is>
      </c>
      <c r="E27" s="8" t="inlineStr">
        <is>
          <t>Реестр договоров</t>
        </is>
      </c>
      <c r="F27" s="9" t="inlineStr">
        <is>
          <t>индив.</t>
        </is>
      </c>
    </row>
    <row r="28">
      <c r="A28" s="15" t="inlineStr">
        <is>
          <t>Все роли</t>
        </is>
      </c>
      <c r="B28" s="15" t="inlineStr">
        <is>
          <t>Чистая прибыль компании (общий показатель)</t>
        </is>
      </c>
      <c r="C28" s="16" t="inlineStr">
        <is>
          <t>% к плану</t>
        </is>
      </c>
      <c r="D28" s="16" t="inlineStr">
        <is>
          <t>25</t>
        </is>
      </c>
      <c r="E28" s="15" t="inlineStr">
        <is>
          <t>Управл. отчётность</t>
        </is>
      </c>
      <c r="F28" s="16" t="inlineStr">
        <is>
          <t>команд.</t>
        </is>
      </c>
    </row>
  </sheetData>
  <mergeCells count="1">
    <mergeCell ref="A2: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2026-08-04T11:57:43Z</dcterms:created>
  <dcterms:modified xmlns:dcterms="http://purl.org/dc/terms/" xmlns:xsi="http://www.w3.org/2001/XMLSchema-instance" xsi:type="dcterms:W3CDTF">2026-08-04T11:57:43Z</dcterms:modified>
</cp:coreProperties>
</file>