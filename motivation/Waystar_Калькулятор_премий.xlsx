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Расчёт" sheetId="1" state="visible" r:id="rId1"/>
    <sheet xmlns:r="http://schemas.openxmlformats.org/officeDocument/2006/relationships" name="Показатели" sheetId="2" state="visible" r:id="rId2"/>
  </sheets>
  <definedNames/>
  <calcPr calcId="124519" fullCalcOnLoad="1"/>
</workbook>
</file>

<file path=xl/styles.xml><?xml version="1.0" encoding="utf-8"?>
<styleSheet xmlns="http://schemas.openxmlformats.org/spreadsheetml/2006/main">
  <numFmts count="2">
    <numFmt numFmtId="164" formatCode="0.0"/>
    <numFmt numFmtId="165" formatCode="#,##0;[Red]-#,##0"/>
  </numFmts>
  <fonts count="19">
    <font>
      <name val="Calibri"/>
      <family val="2"/>
      <color theme="1"/>
      <sz val="11"/>
      <scheme val="minor"/>
    </font>
    <font>
      <name val="Calibri"/>
      <b val="1"/>
      <color rgb="0013294B"/>
      <sz val="14"/>
    </font>
    <font>
      <name val="Calibri"/>
      <i val="1"/>
      <color rgb="006B7A8D"/>
      <sz val="9"/>
    </font>
    <font>
      <name val="Calibri"/>
      <b val="1"/>
      <color rgb="00FFFFFF"/>
      <sz val="10"/>
    </font>
    <font>
      <name val="Calibri"/>
      <b val="1"/>
      <color rgb="002E7D46"/>
      <sz val="10"/>
    </font>
    <font>
      <name val="Calibri"/>
      <color rgb="002A3746"/>
      <sz val="10"/>
    </font>
    <font>
      <name val="Calibri"/>
      <b val="1"/>
      <color rgb="001F4E79"/>
      <sz val="10"/>
    </font>
    <font>
      <name val="Calibri"/>
      <b val="1"/>
      <color rgb="002A3746"/>
      <sz val="10"/>
    </font>
    <font>
      <name val="Calibri"/>
      <b val="1"/>
      <color rgb="0013294B"/>
      <sz val="15"/>
    </font>
    <font>
      <name val="Calibri"/>
      <i val="1"/>
      <color rgb="00C4772F"/>
      <sz val="10"/>
    </font>
    <font>
      <b val="1"/>
      <color rgb="001F4E79"/>
      <sz val="11"/>
    </font>
    <font>
      <i val="1"/>
      <color rgb="006B7A8D"/>
      <sz val="9"/>
    </font>
    <font>
      <name val="Calibri"/>
      <b val="1"/>
      <color rgb="002F6690"/>
      <sz val="9"/>
    </font>
    <font>
      <b val="1"/>
      <color rgb="001F4E79"/>
    </font>
    <font>
      <name val="Calibri"/>
      <b val="1"/>
      <color rgb="002E7D46"/>
      <sz val="9"/>
    </font>
    <font>
      <b val="1"/>
      <color rgb="00FFFFFF"/>
      <sz val="10"/>
    </font>
    <font>
      <b val="1"/>
      <color rgb="0013294B"/>
    </font>
    <font>
      <b val="1"/>
      <color rgb="00C4772F"/>
    </font>
    <font>
      <b val="1"/>
      <color rgb="002E7D46"/>
      <sz val="11"/>
    </font>
  </fonts>
  <fills count="8">
    <fill>
      <patternFill/>
    </fill>
    <fill>
      <patternFill patternType="gray125"/>
    </fill>
    <fill>
      <patternFill patternType="solid">
        <fgColor rgb="002F6690"/>
      </patternFill>
    </fill>
    <fill>
      <patternFill patternType="solid">
        <fgColor rgb="0013294B"/>
      </patternFill>
    </fill>
    <fill>
      <patternFill patternType="solid">
        <fgColor rgb="00FFF3C4"/>
      </patternFill>
    </fill>
    <fill>
      <patternFill patternType="solid">
        <fgColor rgb="00E8F3EC"/>
      </patternFill>
    </fill>
    <fill>
      <patternFill patternType="solid">
        <fgColor rgb="00F1F5F9"/>
      </patternFill>
    </fill>
    <fill>
      <patternFill patternType="solid">
        <fgColor rgb="00FFFFFF"/>
      </patternFill>
    </fill>
  </fills>
  <borders count="2">
    <border>
      <left/>
      <right/>
      <top/>
      <bottom/>
      <diagonal/>
    </border>
    <border>
      <left style="thin">
        <color rgb="00C9D3DE"/>
      </left>
      <right style="thin">
        <color rgb="00C9D3DE"/>
      </right>
      <top style="thin">
        <color rgb="00C9D3DE"/>
      </top>
      <bottom style="thin">
        <color rgb="00C9D3DE"/>
      </bottom>
    </border>
  </borders>
  <cellStyleXfs count="1">
    <xf numFmtId="0" fontId="0" fillId="0" borderId="0"/>
  </cellStyleXfs>
  <cellXfs count="42">
    <xf numFmtId="0" fontId="0" fillId="0" borderId="0" pivotButton="0" quotePrefix="0" xfId="0"/>
    <xf numFmtId="0" fontId="8" fillId="0" borderId="0" pivotButton="0" quotePrefix="0" xfId="0"/>
    <xf numFmtId="0" fontId="9" fillId="0" borderId="0" pivotButton="0" quotePrefix="0" xfId="0"/>
    <xf numFmtId="0" fontId="7" fillId="0" borderId="0" pivotButton="0" quotePrefix="0" xfId="0"/>
    <xf numFmtId="2" fontId="10" fillId="4" borderId="1" applyAlignment="1" pivotButton="0" quotePrefix="0" xfId="0">
      <alignment horizontal="center" vertical="center" wrapText="1"/>
    </xf>
    <xf numFmtId="0" fontId="11" fillId="0" borderId="0" pivotButton="0" quotePrefix="0" xfId="0"/>
    <xf numFmtId="0" fontId="3"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12" fillId="6" borderId="1" applyAlignment="1" pivotButton="0" quotePrefix="0" xfId="0">
      <alignment horizontal="center" vertical="center" wrapText="1"/>
    </xf>
    <xf numFmtId="3" fontId="5" fillId="6" borderId="1" applyAlignment="1" pivotButton="0" quotePrefix="0" xfId="0">
      <alignment horizontal="right" vertical="center"/>
    </xf>
    <xf numFmtId="9" fontId="4" fillId="0" borderId="1" applyAlignment="1" pivotButton="0" quotePrefix="0" xfId="0">
      <alignment horizontal="center" vertical="center" wrapText="1"/>
    </xf>
    <xf numFmtId="164" fontId="13" fillId="4" borderId="1" applyAlignment="1" pivotButton="0" quotePrefix="0" xfId="0">
      <alignment horizontal="center" vertical="center" wrapText="1"/>
    </xf>
    <xf numFmtId="3" fontId="7" fillId="6" borderId="1" applyAlignment="1" pivotButton="0" quotePrefix="0" xfId="0">
      <alignment horizontal="right" vertical="center"/>
    </xf>
    <xf numFmtId="165" fontId="5" fillId="6" borderId="1" applyAlignment="1" pivotButton="0" quotePrefix="0" xfId="0">
      <alignment horizontal="right" vertical="center"/>
    </xf>
    <xf numFmtId="0" fontId="5" fillId="7" borderId="1" applyAlignment="1" pivotButton="0" quotePrefix="0" xfId="0">
      <alignment horizontal="center" vertical="center" wrapText="1"/>
    </xf>
    <xf numFmtId="0" fontId="5" fillId="7" borderId="1" applyAlignment="1" pivotButton="0" quotePrefix="0" xfId="0">
      <alignment horizontal="left" vertical="center" wrapText="1"/>
    </xf>
    <xf numFmtId="0" fontId="14" fillId="7" borderId="1" applyAlignment="1" pivotButton="0" quotePrefix="0" xfId="0">
      <alignment horizontal="center" vertical="center" wrapText="1"/>
    </xf>
    <xf numFmtId="3" fontId="5" fillId="7" borderId="1" applyAlignment="1" pivotButton="0" quotePrefix="0" xfId="0">
      <alignment horizontal="right" vertical="center"/>
    </xf>
    <xf numFmtId="3" fontId="7" fillId="7" borderId="1" applyAlignment="1" pivotButton="0" quotePrefix="0" xfId="0">
      <alignment horizontal="right" vertical="center"/>
    </xf>
    <xf numFmtId="165" fontId="5" fillId="7" borderId="1" applyAlignment="1" pivotButton="0" quotePrefix="0" xfId="0">
      <alignment horizontal="right" vertical="center"/>
    </xf>
    <xf numFmtId="0" fontId="14" fillId="6" borderId="1" applyAlignment="1" pivotButton="0" quotePrefix="0" xfId="0">
      <alignment horizontal="center" vertical="center" wrapText="1"/>
    </xf>
    <xf numFmtId="0" fontId="12" fillId="7" borderId="1" applyAlignment="1" pivotButton="0" quotePrefix="0" xfId="0">
      <alignment horizontal="center" vertical="center" wrapText="1"/>
    </xf>
    <xf numFmtId="0" fontId="15" fillId="2" borderId="1" applyAlignment="1" pivotButton="0" quotePrefix="0" xfId="0">
      <alignment horizontal="center" vertical="center" wrapText="1"/>
    </xf>
    <xf numFmtId="3" fontId="15" fillId="2" borderId="1" applyAlignment="1" pivotButton="0" quotePrefix="0" xfId="0">
      <alignment horizontal="right" vertical="center"/>
    </xf>
    <xf numFmtId="3" fontId="16" fillId="0" borderId="0" applyAlignment="1" pivotButton="0" quotePrefix="0" xfId="0">
      <alignment horizontal="right" vertical="center"/>
    </xf>
    <xf numFmtId="3" fontId="17" fillId="0" borderId="0" applyAlignment="1" pivotButton="0" quotePrefix="0" xfId="0">
      <alignment horizontal="right" vertical="center"/>
    </xf>
    <xf numFmtId="3" fontId="18" fillId="0" borderId="0" applyAlignment="1" pivotButton="0" quotePrefix="0" xfId="0">
      <alignment horizontal="right" vertical="center"/>
    </xf>
    <xf numFmtId="0" fontId="1" fillId="0" borderId="0" pivotButton="0" quotePrefix="0" xfId="0"/>
    <xf numFmtId="0" fontId="2" fillId="0" borderId="0" pivotButton="0" quotePrefix="0" xfId="0"/>
    <xf numFmtId="0" fontId="3" fillId="2" borderId="1" pivotButton="0" quotePrefix="0" xfId="0"/>
    <xf numFmtId="0" fontId="0" fillId="3" borderId="1" applyAlignment="1" pivotButton="0" quotePrefix="0" xfId="0">
      <alignment horizontal="center" vertical="center" wrapText="1"/>
    </xf>
    <xf numFmtId="0" fontId="0" fillId="0" borderId="1" pivotButton="0" quotePrefix="0" xfId="0"/>
    <xf numFmtId="0" fontId="4" fillId="5" borderId="1" applyAlignment="1" pivotButton="0" quotePrefix="0" xfId="0">
      <alignment horizontal="left" vertical="center" wrapText="1"/>
    </xf>
    <xf numFmtId="9" fontId="5" fillId="5" borderId="1" applyAlignment="1" pivotButton="0" quotePrefix="0" xfId="0">
      <alignment horizontal="center" vertical="center" wrapText="1"/>
    </xf>
    <xf numFmtId="9" fontId="6" fillId="4" borderId="1" applyAlignment="1" pivotButton="0" quotePrefix="0" xfId="0">
      <alignment horizontal="center" vertical="center" wrapText="1"/>
    </xf>
    <xf numFmtId="0" fontId="5" fillId="0" borderId="1" applyAlignment="1" pivotButton="0" quotePrefix="0" xfId="0">
      <alignment horizontal="left" vertical="center" wrapText="1"/>
    </xf>
    <xf numFmtId="9" fontId="5" fillId="0" borderId="1" applyAlignment="1" pivotButton="0" quotePrefix="0" xfId="0">
      <alignment horizontal="center" vertical="center" wrapText="1"/>
    </xf>
    <xf numFmtId="0" fontId="0" fillId="6" borderId="1" pivotButton="0" quotePrefix="0" xfId="0"/>
    <xf numFmtId="0" fontId="7" fillId="6" borderId="1" pivotButton="0" quotePrefix="0" xfId="0"/>
    <xf numFmtId="9" fontId="7" fillId="6" borderId="1" applyAlignment="1" pivotButton="0" quotePrefix="0" xfId="0">
      <alignment horizontal="center" vertical="center" wrapText="1"/>
    </xf>
    <xf numFmtId="9"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8"/>
  <sheetViews>
    <sheetView showGridLines="0" workbookViewId="0">
      <pane ySplit="6" topLeftCell="A7" activePane="bottomLeft" state="frozen"/>
      <selection pane="bottomLeft" activeCell="A1" sqref="A1"/>
    </sheetView>
  </sheetViews>
  <sheetFormatPr baseColWidth="8" defaultRowHeight="15"/>
  <cols>
    <col width="4" customWidth="1" min="1" max="1"/>
    <col width="24" customWidth="1" min="2" max="2"/>
    <col width="27" customWidth="1" min="3" max="3"/>
    <col width="8" customWidth="1" min="4" max="4"/>
    <col width="14" customWidth="1" min="5" max="5"/>
    <col width="14" customWidth="1" min="6" max="6"/>
    <col width="16" customWidth="1" min="7" max="7"/>
    <col width="10" customWidth="1" min="8" max="8"/>
    <col width="9" customWidth="1" min="9" max="9"/>
    <col width="16" customWidth="1" min="10" max="10"/>
    <col width="16" customWidth="1" min="11" max="11"/>
    <col width="15" customWidth="1" min="12" max="12"/>
  </cols>
  <sheetData>
    <row r="1">
      <c r="A1" s="1" t="inlineStr">
        <is>
          <t>Waystar Group · Расчёт оплаты 75/25 по показателям</t>
        </is>
      </c>
    </row>
    <row r="2">
      <c r="A2" s="2" t="inlineStr">
        <is>
          <t>Итого = 75%×Оклад + (25%×Оклад)×Выполнение×Коэффициент компании×Стоп-фактор   (переменная — предел 150%)</t>
        </is>
      </c>
    </row>
    <row r="4">
      <c r="A4" s="3" t="inlineStr">
        <is>
          <t>Коэффициент компании (по чистой прибыли, 0,7–1,3):</t>
        </is>
      </c>
      <c r="F4" s="4" t="n">
        <v>1</v>
      </c>
      <c r="G4" s="5" t="inlineStr">
        <is>
          <t>← 100% плана прибыли = 1,00</t>
        </is>
      </c>
    </row>
    <row r="6">
      <c r="A6" s="6" t="inlineStr">
        <is>
          <t>№</t>
        </is>
      </c>
      <c r="B6" s="6" t="inlineStr">
        <is>
          <t>Сотрудник</t>
        </is>
      </c>
      <c r="C6" s="6" t="inlineStr">
        <is>
          <t>Должность</t>
        </is>
      </c>
      <c r="D6" s="6" t="inlineStr">
        <is>
          <t>Линия</t>
        </is>
      </c>
      <c r="E6" s="6" t="inlineStr">
        <is>
          <t>Оклад (100%), ₸</t>
        </is>
      </c>
      <c r="F6" s="6" t="inlineStr">
        <is>
          <t>Постоянная 75%, ₸</t>
        </is>
      </c>
      <c r="G6" s="6" t="inlineStr">
        <is>
          <t>Переменная целевая 25%, ₸</t>
        </is>
      </c>
      <c r="H6" s="6" t="inlineStr">
        <is>
          <t>Выполнение</t>
        </is>
      </c>
      <c r="I6" s="6" t="inlineStr">
        <is>
          <t>Стоп-фактор</t>
        </is>
      </c>
      <c r="J6" s="6" t="inlineStr">
        <is>
          <t>Переменная к выплате, ₸</t>
        </is>
      </c>
      <c r="K6" s="6" t="inlineStr">
        <is>
          <t>ИТОГО к выплате, ₸</t>
        </is>
      </c>
      <c r="L6" s="6" t="inlineStr">
        <is>
          <t>Разница к текущему, ₸</t>
        </is>
      </c>
    </row>
    <row r="7">
      <c r="A7" s="7" t="n">
        <v>1</v>
      </c>
      <c r="B7" s="8" t="inlineStr">
        <is>
          <t>Аманбекова Айгуль</t>
        </is>
      </c>
      <c r="C7" s="8" t="inlineStr">
        <is>
          <t>Отдел персонала (руководитель)</t>
        </is>
      </c>
      <c r="D7" s="9" t="inlineStr">
        <is>
          <t>Поддержка</t>
        </is>
      </c>
      <c r="E7" s="10" t="n">
        <v>1246243</v>
      </c>
      <c r="F7" s="10">
        <f>E7*0.75</f>
        <v/>
      </c>
      <c r="G7" s="10">
        <f>E7*0.25</f>
        <v/>
      </c>
      <c r="H7" s="11">
        <f>Показатели!E11</f>
        <v/>
      </c>
      <c r="I7" s="12" t="n">
        <v>1</v>
      </c>
      <c r="J7" s="13">
        <f>G7*MIN(1.5,H7*$F$4*I7)</f>
        <v/>
      </c>
      <c r="K7" s="13">
        <f>F7+J7</f>
        <v/>
      </c>
      <c r="L7" s="14">
        <f>K7-E7</f>
        <v/>
      </c>
    </row>
    <row r="8">
      <c r="A8" s="15" t="n">
        <v>2</v>
      </c>
      <c r="B8" s="16" t="inlineStr">
        <is>
          <t>Аубакиров Алимбек</t>
        </is>
      </c>
      <c r="C8" s="16" t="inlineStr">
        <is>
          <t>Финансовый директор</t>
        </is>
      </c>
      <c r="D8" s="17" t="inlineStr">
        <is>
          <t>Передовая</t>
        </is>
      </c>
      <c r="E8" s="18" t="n">
        <v>4347889</v>
      </c>
      <c r="F8" s="18">
        <f>E8*0.75</f>
        <v/>
      </c>
      <c r="G8" s="18">
        <f>E8*0.25</f>
        <v/>
      </c>
      <c r="H8" s="11">
        <f>Показатели!E20</f>
        <v/>
      </c>
      <c r="I8" s="12" t="n">
        <v>1</v>
      </c>
      <c r="J8" s="19">
        <f>G8*MIN(1.5,H8*$F$4*I8)</f>
        <v/>
      </c>
      <c r="K8" s="19">
        <f>F8+J8</f>
        <v/>
      </c>
      <c r="L8" s="20">
        <f>K8-E8</f>
        <v/>
      </c>
    </row>
    <row r="9">
      <c r="A9" s="7" t="n">
        <v>3</v>
      </c>
      <c r="B9" s="8" t="inlineStr">
        <is>
          <t>Байльденова Шолпан</t>
        </is>
      </c>
      <c r="C9" s="8" t="inlineStr">
        <is>
          <t>Менеджер по персоналу</t>
        </is>
      </c>
      <c r="D9" s="9" t="inlineStr">
        <is>
          <t>Поддержка</t>
        </is>
      </c>
      <c r="E9" s="10" t="n">
        <v>614931</v>
      </c>
      <c r="F9" s="10">
        <f>E9*0.75</f>
        <v/>
      </c>
      <c r="G9" s="10">
        <f>E9*0.25</f>
        <v/>
      </c>
      <c r="H9" s="11">
        <f>Показатели!E29</f>
        <v/>
      </c>
      <c r="I9" s="12" t="n">
        <v>1</v>
      </c>
      <c r="J9" s="13">
        <f>G9*MIN(1.5,H9*$F$4*I9)</f>
        <v/>
      </c>
      <c r="K9" s="13">
        <f>F9+J9</f>
        <v/>
      </c>
      <c r="L9" s="14">
        <f>K9-E9</f>
        <v/>
      </c>
    </row>
    <row r="10">
      <c r="A10" s="15" t="n">
        <v>4</v>
      </c>
      <c r="B10" s="16" t="inlineStr">
        <is>
          <t>Данияр Алим</t>
        </is>
      </c>
      <c r="C10" s="16" t="inlineStr">
        <is>
          <t>Генеральный директор</t>
        </is>
      </c>
      <c r="D10" s="17" t="inlineStr">
        <is>
          <t>Передовая</t>
        </is>
      </c>
      <c r="E10" s="18" t="n">
        <v>1246243</v>
      </c>
      <c r="F10" s="18">
        <f>E10*0.75</f>
        <v/>
      </c>
      <c r="G10" s="18">
        <f>E10*0.25</f>
        <v/>
      </c>
      <c r="H10" s="11">
        <f>Показатели!E38</f>
        <v/>
      </c>
      <c r="I10" s="12" t="n">
        <v>1</v>
      </c>
      <c r="J10" s="19">
        <f>G10*MIN(1.5,H10*$F$4*I10)</f>
        <v/>
      </c>
      <c r="K10" s="19">
        <f>F10+J10</f>
        <v/>
      </c>
      <c r="L10" s="20">
        <f>K10-E10</f>
        <v/>
      </c>
    </row>
    <row r="11">
      <c r="A11" s="7" t="n">
        <v>5</v>
      </c>
      <c r="B11" s="8" t="inlineStr">
        <is>
          <t>Доолоткулов Данияр</t>
        </is>
      </c>
      <c r="C11" s="8" t="inlineStr">
        <is>
          <t>Начальник отдела логистики</t>
        </is>
      </c>
      <c r="D11" s="21" t="inlineStr">
        <is>
          <t>Передовая</t>
        </is>
      </c>
      <c r="E11" s="10" t="n">
        <v>1246243</v>
      </c>
      <c r="F11" s="10">
        <f>E11*0.75</f>
        <v/>
      </c>
      <c r="G11" s="10">
        <f>E11*0.25</f>
        <v/>
      </c>
      <c r="H11" s="11">
        <f>Показатели!E47</f>
        <v/>
      </c>
      <c r="I11" s="12" t="n">
        <v>1</v>
      </c>
      <c r="J11" s="13">
        <f>G11*MIN(1.5,H11*$F$4*I11)</f>
        <v/>
      </c>
      <c r="K11" s="13">
        <f>F11+J11</f>
        <v/>
      </c>
      <c r="L11" s="14">
        <f>K11-E11</f>
        <v/>
      </c>
    </row>
    <row r="12">
      <c r="A12" s="15" t="n">
        <v>6</v>
      </c>
      <c r="B12" s="16" t="inlineStr">
        <is>
          <t>Жунусова Камила</t>
        </is>
      </c>
      <c r="C12" s="16" t="inlineStr">
        <is>
          <t>Менеджер по логистике</t>
        </is>
      </c>
      <c r="D12" s="17" t="inlineStr">
        <is>
          <t>Передовая</t>
        </is>
      </c>
      <c r="E12" s="18" t="n">
        <v>230896</v>
      </c>
      <c r="F12" s="18">
        <f>E12*0.75</f>
        <v/>
      </c>
      <c r="G12" s="18">
        <f>E12*0.25</f>
        <v/>
      </c>
      <c r="H12" s="11">
        <f>Показатели!E56</f>
        <v/>
      </c>
      <c r="I12" s="12" t="n">
        <v>1</v>
      </c>
      <c r="J12" s="19">
        <f>G12*MIN(1.5,H12*$F$4*I12)</f>
        <v/>
      </c>
      <c r="K12" s="19">
        <f>F12+J12</f>
        <v/>
      </c>
      <c r="L12" s="20">
        <f>K12-E12</f>
        <v/>
      </c>
    </row>
    <row r="13">
      <c r="A13" s="7" t="n">
        <v>7</v>
      </c>
      <c r="B13" s="8" t="inlineStr">
        <is>
          <t>Сейтқадыр Дарын</t>
        </is>
      </c>
      <c r="C13" s="8" t="inlineStr">
        <is>
          <t>Менеджер по логистике</t>
        </is>
      </c>
      <c r="D13" s="21" t="inlineStr">
        <is>
          <t>Передовая</t>
        </is>
      </c>
      <c r="E13" s="10" t="n">
        <v>236143</v>
      </c>
      <c r="F13" s="10">
        <f>E13*0.75</f>
        <v/>
      </c>
      <c r="G13" s="10">
        <f>E13*0.25</f>
        <v/>
      </c>
      <c r="H13" s="11">
        <f>Показатели!E65</f>
        <v/>
      </c>
      <c r="I13" s="12" t="n">
        <v>1</v>
      </c>
      <c r="J13" s="13">
        <f>G13*MIN(1.5,H13*$F$4*I13)</f>
        <v/>
      </c>
      <c r="K13" s="13">
        <f>F13+J13</f>
        <v/>
      </c>
      <c r="L13" s="14">
        <f>K13-E13</f>
        <v/>
      </c>
    </row>
    <row r="14">
      <c r="A14" s="15" t="n">
        <v>8</v>
      </c>
      <c r="B14" s="16" t="inlineStr">
        <is>
          <t>Серикбаев Адиль</t>
        </is>
      </c>
      <c r="C14" s="16" t="inlineStr">
        <is>
          <t>Президент</t>
        </is>
      </c>
      <c r="D14" s="17" t="inlineStr">
        <is>
          <t>Передовая</t>
        </is>
      </c>
      <c r="E14" s="18" t="n">
        <v>6000139</v>
      </c>
      <c r="F14" s="18">
        <f>E14*0.75</f>
        <v/>
      </c>
      <c r="G14" s="18">
        <f>E14*0.25</f>
        <v/>
      </c>
      <c r="H14" s="11">
        <f>Показатели!E74</f>
        <v/>
      </c>
      <c r="I14" s="12" t="n">
        <v>1</v>
      </c>
      <c r="J14" s="19">
        <f>G14*MIN(1.5,H14*$F$4*I14)</f>
        <v/>
      </c>
      <c r="K14" s="19">
        <f>F14+J14</f>
        <v/>
      </c>
      <c r="L14" s="20">
        <f>K14-E14</f>
        <v/>
      </c>
    </row>
    <row r="15">
      <c r="A15" s="7" t="n">
        <v>9</v>
      </c>
      <c r="B15" s="8" t="inlineStr">
        <is>
          <t>Таджимурадова Асем</t>
        </is>
      </c>
      <c r="C15" s="8" t="inlineStr">
        <is>
          <t>Менеджер по закрытию</t>
        </is>
      </c>
      <c r="D15" s="21" t="inlineStr">
        <is>
          <t>Передовая</t>
        </is>
      </c>
      <c r="E15" s="10" t="n">
        <v>378788</v>
      </c>
      <c r="F15" s="10">
        <f>E15*0.75</f>
        <v/>
      </c>
      <c r="G15" s="10">
        <f>E15*0.25</f>
        <v/>
      </c>
      <c r="H15" s="11">
        <f>Показатели!E82</f>
        <v/>
      </c>
      <c r="I15" s="12" t="n">
        <v>1</v>
      </c>
      <c r="J15" s="13">
        <f>G15*MIN(1.5,H15*$F$4*I15)</f>
        <v/>
      </c>
      <c r="K15" s="13">
        <f>F15+J15</f>
        <v/>
      </c>
      <c r="L15" s="14">
        <f>K15-E15</f>
        <v/>
      </c>
    </row>
    <row r="16">
      <c r="A16" s="15" t="n">
        <v>10</v>
      </c>
      <c r="B16" s="16" t="inlineStr">
        <is>
          <t>Ташметов Сакен</t>
        </is>
      </c>
      <c r="C16" s="16" t="inlineStr">
        <is>
          <t>Юрист</t>
        </is>
      </c>
      <c r="D16" s="22" t="inlineStr">
        <is>
          <t>Поддержка</t>
        </is>
      </c>
      <c r="E16" s="18" t="n">
        <v>1246243</v>
      </c>
      <c r="F16" s="18">
        <f>E16*0.75</f>
        <v/>
      </c>
      <c r="G16" s="18">
        <f>E16*0.25</f>
        <v/>
      </c>
      <c r="H16" s="11">
        <f>Показатели!E91</f>
        <v/>
      </c>
      <c r="I16" s="12" t="n">
        <v>1</v>
      </c>
      <c r="J16" s="19">
        <f>G16*MIN(1.5,H16*$F$4*I16)</f>
        <v/>
      </c>
      <c r="K16" s="19">
        <f>F16+J16</f>
        <v/>
      </c>
      <c r="L16" s="20">
        <f>K16-E16</f>
        <v/>
      </c>
    </row>
    <row r="17">
      <c r="A17" s="7" t="n">
        <v>11</v>
      </c>
      <c r="B17" s="8" t="inlineStr">
        <is>
          <t>Унбетпаев Ернар</t>
        </is>
      </c>
      <c r="C17" s="8" t="inlineStr">
        <is>
          <t>Операционный директор</t>
        </is>
      </c>
      <c r="D17" s="21" t="inlineStr">
        <is>
          <t>Передовая</t>
        </is>
      </c>
      <c r="E17" s="10" t="n">
        <v>1873611</v>
      </c>
      <c r="F17" s="10">
        <f>E17*0.75</f>
        <v/>
      </c>
      <c r="G17" s="10">
        <f>E17*0.25</f>
        <v/>
      </c>
      <c r="H17" s="11">
        <f>Показатели!E100</f>
        <v/>
      </c>
      <c r="I17" s="12" t="n">
        <v>1</v>
      </c>
      <c r="J17" s="13">
        <f>G17*MIN(1.5,H17*$F$4*I17)</f>
        <v/>
      </c>
      <c r="K17" s="13">
        <f>F17+J17</f>
        <v/>
      </c>
      <c r="L17" s="14">
        <f>K17-E17</f>
        <v/>
      </c>
    </row>
    <row r="18">
      <c r="A18" s="15" t="n">
        <v>12</v>
      </c>
      <c r="B18" s="16" t="inlineStr">
        <is>
          <t>Белова Полина</t>
        </is>
      </c>
      <c r="C18" s="16" t="inlineStr">
        <is>
          <t>Менеджер по логистике (младший)</t>
        </is>
      </c>
      <c r="D18" s="17" t="inlineStr">
        <is>
          <t>Передовая</t>
        </is>
      </c>
      <c r="E18" s="18" t="n">
        <v>173011</v>
      </c>
      <c r="F18" s="18">
        <f>E18*0.75</f>
        <v/>
      </c>
      <c r="G18" s="18">
        <f>E18*0.25</f>
        <v/>
      </c>
      <c r="H18" s="11">
        <f>Показатели!E109</f>
        <v/>
      </c>
      <c r="I18" s="12" t="n">
        <v>1</v>
      </c>
      <c r="J18" s="19">
        <f>G18*MIN(1.5,H18*$F$4*I18)</f>
        <v/>
      </c>
      <c r="K18" s="19">
        <f>F18+J18</f>
        <v/>
      </c>
      <c r="L18" s="20">
        <f>K18-E18</f>
        <v/>
      </c>
    </row>
    <row r="19">
      <c r="A19" s="7" t="n">
        <v>13</v>
      </c>
      <c r="B19" s="8" t="inlineStr">
        <is>
          <t>Сибагатов Хамардин</t>
        </is>
      </c>
      <c r="C19" s="8" t="inlineStr">
        <is>
          <t>Менеджер по логистике (старший)</t>
        </is>
      </c>
      <c r="D19" s="21" t="inlineStr">
        <is>
          <t>Передовая</t>
        </is>
      </c>
      <c r="E19" s="10" t="n">
        <v>993718</v>
      </c>
      <c r="F19" s="10">
        <f>E19*0.75</f>
        <v/>
      </c>
      <c r="G19" s="10">
        <f>E19*0.25</f>
        <v/>
      </c>
      <c r="H19" s="11">
        <f>Показатели!E118</f>
        <v/>
      </c>
      <c r="I19" s="12" t="n">
        <v>1</v>
      </c>
      <c r="J19" s="13">
        <f>G19*MIN(1.5,H19*$F$4*I19)</f>
        <v/>
      </c>
      <c r="K19" s="13">
        <f>F19+J19</f>
        <v/>
      </c>
      <c r="L19" s="14">
        <f>K19-E19</f>
        <v/>
      </c>
    </row>
    <row r="20">
      <c r="A20" s="23" t="n"/>
      <c r="B20" s="23" t="inlineStr">
        <is>
          <t>ИТОГО</t>
        </is>
      </c>
      <c r="C20" s="23" t="n"/>
      <c r="D20" s="23" t="n"/>
      <c r="E20" s="24">
        <f>SUM(E7:E19)</f>
        <v/>
      </c>
      <c r="F20" s="24">
        <f>SUM(F7:F19)</f>
        <v/>
      </c>
      <c r="G20" s="24">
        <f>SUM(G7:G19)</f>
        <v/>
      </c>
      <c r="H20" s="23" t="n"/>
      <c r="I20" s="23" t="n"/>
      <c r="J20" s="24">
        <f>SUM(J7:J19)</f>
        <v/>
      </c>
      <c r="K20" s="24">
        <f>SUM(K7:K19)</f>
        <v/>
      </c>
      <c r="L20" s="24">
        <f>SUM(L7:L19)</f>
        <v/>
      </c>
    </row>
    <row r="22">
      <c r="B22" s="3" t="inlineStr">
        <is>
          <t>Фонд (оклады) в год, ₸:</t>
        </is>
      </c>
      <c r="E22" s="25">
        <f>E20*12</f>
        <v/>
      </c>
      <c r="J22" s="3" t="inlineStr">
        <is>
          <t>Под результатом (25%) в год:</t>
        </is>
      </c>
      <c r="K22" s="26">
        <f>G20*12</f>
        <v/>
      </c>
    </row>
    <row r="23">
      <c r="B23" s="3" t="inlineStr">
        <is>
          <t>Итого к выплате в год, ₸:</t>
        </is>
      </c>
      <c r="K23" s="27">
        <f>K20*12</f>
        <v/>
      </c>
    </row>
    <row r="25">
      <c r="B25" s="5" t="inlineStr">
        <is>
          <t>• Жёлтые ячейки — вводимые: Коэффициент компании (F4), Стоп-фактор по строке, выполнение показателей на листе «Показатели».</t>
        </is>
      </c>
    </row>
    <row r="26">
      <c r="B26" s="5" t="inlineStr">
        <is>
          <t>• Передовая линия — есть личная/командная цель по прибыли (валовая/чистая); Поддержка — доля переменной на чистой прибыли компании.</t>
        </is>
      </c>
    </row>
    <row r="27">
      <c r="B27" s="5" t="inlineStr">
        <is>
          <t>• Переменная = (25%×оклад) × выполнение × коэффициент компании × стоп-фактор, предел 150% целевой. При 100% и коэффициенте 1,0 «Итого» = текущему окладу.</t>
        </is>
      </c>
    </row>
    <row r="28">
      <c r="B28" s="5" t="inlineStr">
        <is>
          <t>• Оклад — начисленный (база деления 75/25). Пороги и коэффициент K целей по прибыли настраиваются по управленческой отчётности.</t>
        </is>
      </c>
    </row>
  </sheetData>
  <mergeCells count="4">
    <mergeCell ref="B26:L26"/>
    <mergeCell ref="B28:L28"/>
    <mergeCell ref="B25:L25"/>
    <mergeCell ref="B27:L27"/>
  </mergeCells>
  <dataValidations count="2">
    <dataValidation sqref="F4" showDropDown="0" showInputMessage="0" showErrorMessage="0" allowBlank="0" type="decimal" operator="between">
      <formula1>0</formula1>
      <formula2>1.3</formula2>
    </dataValidation>
    <dataValidation sqref="I7 I8 I9 I10 I11 I12 I13 I14 I15 I16 I17 I18 I19" showDropDown="0" showInputMessage="0" showErrorMessage="0" allowBlank="0" type="list">
      <formula1>"1,0.5,0"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8"/>
  <sheetViews>
    <sheetView showGridLines="0" workbookViewId="0">
      <pane ySplit="3" topLeftCell="A4" activePane="bottomLeft" state="frozen"/>
      <selection pane="bottomLeft" activeCell="A1" sqref="A1"/>
    </sheetView>
  </sheetViews>
  <sheetFormatPr baseColWidth="8" defaultRowHeight="15"/>
  <cols>
    <col width="4" customWidth="1" min="1" max="1"/>
    <col width="48" customWidth="1" min="2" max="2"/>
    <col width="10" customWidth="1" min="3" max="3"/>
    <col width="16" customWidth="1" min="4" max="4"/>
    <col width="16" customWidth="1" min="5" max="5"/>
    <col width="4" customWidth="1" min="6" max="6"/>
  </cols>
  <sheetData>
    <row r="1">
      <c r="A1" s="28" t="inlineStr">
        <is>
          <t>Waystar Group · Показатели эффективности (модель 75/25)</t>
        </is>
      </c>
    </row>
    <row r="2">
      <c r="A2" s="29" t="inlineStr">
        <is>
          <t>Введите фактическое выполнение по каждому показателю (жёлтые ячейки, 0–150%). Зелёные строки — цель по прибыли (валовая/чистая). Итоговый процент выполнения = сумма(вес×выполнение) переносится в лист «Расчёт».</t>
        </is>
      </c>
    </row>
    <row r="4">
      <c r="A4" s="30" t="n"/>
      <c r="B4" s="30" t="inlineStr">
        <is>
          <t>1. Аманбекова Айгуль — Отдел персонала (руководитель)  [ПОДДЕРЖКА]</t>
        </is>
      </c>
      <c r="C4" s="30" t="n"/>
      <c r="D4" s="30" t="n"/>
      <c r="E4" s="30" t="n"/>
      <c r="F4" s="30" t="n"/>
    </row>
    <row r="5">
      <c r="A5" s="31" t="n"/>
      <c r="B5" s="6" t="inlineStr">
        <is>
          <t>Показатель</t>
        </is>
      </c>
      <c r="C5" s="6" t="inlineStr">
        <is>
          <t>Вес</t>
        </is>
      </c>
      <c r="D5" s="6" t="inlineStr">
        <is>
          <t>Выполнение, %</t>
        </is>
      </c>
      <c r="E5" s="6" t="inlineStr">
        <is>
          <t>Вклад</t>
        </is>
      </c>
      <c r="F5" s="31" t="n"/>
    </row>
    <row r="6">
      <c r="A6" s="32" t="n"/>
      <c r="B6" s="33" t="inlineStr">
        <is>
          <t>Чистая прибыль компании (общий)</t>
        </is>
      </c>
      <c r="C6" s="34" t="n">
        <v>0.25</v>
      </c>
      <c r="D6" s="35" t="n">
        <v>1</v>
      </c>
      <c r="E6" s="34">
        <f>C6*D6</f>
        <v/>
      </c>
      <c r="F6" s="32" t="n"/>
    </row>
    <row r="7">
      <c r="A7" s="32" t="n"/>
      <c r="B7" s="36" t="inlineStr">
        <is>
          <t>Удержание персонала / текучесть</t>
        </is>
      </c>
      <c r="C7" s="37" t="n">
        <v>0.25</v>
      </c>
      <c r="D7" s="35" t="n">
        <v>1</v>
      </c>
      <c r="E7" s="37">
        <f>C7*D7</f>
        <v/>
      </c>
      <c r="F7" s="32" t="n"/>
    </row>
    <row r="8">
      <c r="A8" s="32" t="n"/>
      <c r="B8" s="36" t="inlineStr">
        <is>
          <t>Срок закрытия ключевых вакансий</t>
        </is>
      </c>
      <c r="C8" s="37" t="n">
        <v>0.2</v>
      </c>
      <c r="D8" s="35" t="n">
        <v>1</v>
      </c>
      <c r="E8" s="37">
        <f>C8*D8</f>
        <v/>
      </c>
      <c r="F8" s="32" t="n"/>
    </row>
    <row r="9">
      <c r="A9" s="32" t="n"/>
      <c r="B9" s="36" t="inlineStr">
        <is>
          <t>Вовлечённость персонала (опрос)</t>
        </is>
      </c>
      <c r="C9" s="37" t="n">
        <v>0.15</v>
      </c>
      <c r="D9" s="35" t="n">
        <v>1</v>
      </c>
      <c r="E9" s="37">
        <f>C9*D9</f>
        <v/>
      </c>
      <c r="F9" s="32" t="n"/>
    </row>
    <row r="10">
      <c r="A10" s="32" t="n"/>
      <c r="B10" s="36" t="inlineStr">
        <is>
          <t>Внедрение мотивации / бюджет фонда</t>
        </is>
      </c>
      <c r="C10" s="37" t="n">
        <v>0.15</v>
      </c>
      <c r="D10" s="35" t="n">
        <v>1</v>
      </c>
      <c r="E10" s="37">
        <f>C10*D10</f>
        <v/>
      </c>
      <c r="F10" s="32" t="n"/>
    </row>
    <row r="11">
      <c r="A11" s="38" t="n"/>
      <c r="B11" s="39" t="inlineStr">
        <is>
          <t>Итоговое выполнение</t>
        </is>
      </c>
      <c r="C11" s="40">
        <f>SUM(C6:C10)</f>
        <v/>
      </c>
      <c r="D11" s="38" t="n"/>
      <c r="E11" s="41">
        <f>SUM(E6:E10)</f>
        <v/>
      </c>
      <c r="F11" s="38" t="n"/>
    </row>
    <row r="13">
      <c r="A13" s="30" t="n"/>
      <c r="B13" s="30" t="inlineStr">
        <is>
          <t>2. Аубакиров Алимбек — Финансовый директор  [ПЕРЕДОВАЯ ЛИНИЯ]</t>
        </is>
      </c>
      <c r="C13" s="30" t="n"/>
      <c r="D13" s="30" t="n"/>
      <c r="E13" s="30" t="n"/>
      <c r="F13" s="30" t="n"/>
    </row>
    <row r="14">
      <c r="A14" s="31" t="n"/>
      <c r="B14" s="6" t="inlineStr">
        <is>
          <t>Показатель</t>
        </is>
      </c>
      <c r="C14" s="6" t="inlineStr">
        <is>
          <t>Вес</t>
        </is>
      </c>
      <c r="D14" s="6" t="inlineStr">
        <is>
          <t>Выполнение, %</t>
        </is>
      </c>
      <c r="E14" s="6" t="inlineStr">
        <is>
          <t>Вклад</t>
        </is>
      </c>
      <c r="F14" s="31" t="n"/>
    </row>
    <row r="15">
      <c r="A15" s="32" t="n"/>
      <c r="B15" s="33" t="inlineStr">
        <is>
          <t>Чистая прибыль компании к плану</t>
        </is>
      </c>
      <c r="C15" s="34" t="n">
        <v>0.35</v>
      </c>
      <c r="D15" s="35" t="n">
        <v>1</v>
      </c>
      <c r="E15" s="34">
        <f>C15*D15</f>
        <v/>
      </c>
      <c r="F15" s="32" t="n"/>
    </row>
    <row r="16">
      <c r="A16" s="32" t="n"/>
      <c r="B16" s="36" t="inlineStr">
        <is>
          <t>Запас денежных средств</t>
        </is>
      </c>
      <c r="C16" s="37" t="n">
        <v>0.2</v>
      </c>
      <c r="D16" s="35" t="n">
        <v>1</v>
      </c>
      <c r="E16" s="37">
        <f>C16*D16</f>
        <v/>
      </c>
      <c r="F16" s="32" t="n"/>
    </row>
    <row r="17">
      <c r="A17" s="32" t="n"/>
      <c r="B17" s="36" t="inlineStr">
        <is>
          <t>Оборот дебиторской задолженности</t>
        </is>
      </c>
      <c r="C17" s="37" t="n">
        <v>0.15</v>
      </c>
      <c r="D17" s="35" t="n">
        <v>1</v>
      </c>
      <c r="E17" s="37">
        <f>C17*D17</f>
        <v/>
      </c>
      <c r="F17" s="32" t="n"/>
    </row>
    <row r="18">
      <c r="A18" s="32" t="n"/>
      <c r="B18" s="36" t="inlineStr">
        <is>
          <t>Точность бюджета</t>
        </is>
      </c>
      <c r="C18" s="37" t="n">
        <v>0.15</v>
      </c>
      <c r="D18" s="35" t="n">
        <v>1</v>
      </c>
      <c r="E18" s="37">
        <f>C18*D18</f>
        <v/>
      </c>
      <c r="F18" s="32" t="n"/>
    </row>
    <row r="19">
      <c r="A19" s="32" t="n"/>
      <c r="B19" s="36" t="inlineStr">
        <is>
          <t>Привлечение финансирования</t>
        </is>
      </c>
      <c r="C19" s="37" t="n">
        <v>0.15</v>
      </c>
      <c r="D19" s="35" t="n">
        <v>1</v>
      </c>
      <c r="E19" s="37">
        <f>C19*D19</f>
        <v/>
      </c>
      <c r="F19" s="32" t="n"/>
    </row>
    <row r="20">
      <c r="A20" s="38" t="n"/>
      <c r="B20" s="39" t="inlineStr">
        <is>
          <t>Итоговое выполнение</t>
        </is>
      </c>
      <c r="C20" s="40">
        <f>SUM(C15:C19)</f>
        <v/>
      </c>
      <c r="D20" s="38" t="n"/>
      <c r="E20" s="41">
        <f>SUM(E15:E19)</f>
        <v/>
      </c>
      <c r="F20" s="38" t="n"/>
    </row>
    <row r="22">
      <c r="A22" s="30" t="n"/>
      <c r="B22" s="30" t="inlineStr">
        <is>
          <t>3. Байльденова Шолпан — Менеджер по персоналу  [ПОДДЕРЖКА]</t>
        </is>
      </c>
      <c r="C22" s="30" t="n"/>
      <c r="D22" s="30" t="n"/>
      <c r="E22" s="30" t="n"/>
      <c r="F22" s="30" t="n"/>
    </row>
    <row r="23">
      <c r="A23" s="31" t="n"/>
      <c r="B23" s="6" t="inlineStr">
        <is>
          <t>Показатель</t>
        </is>
      </c>
      <c r="C23" s="6" t="inlineStr">
        <is>
          <t>Вес</t>
        </is>
      </c>
      <c r="D23" s="6" t="inlineStr">
        <is>
          <t>Выполнение, %</t>
        </is>
      </c>
      <c r="E23" s="6" t="inlineStr">
        <is>
          <t>Вклад</t>
        </is>
      </c>
      <c r="F23" s="31" t="n"/>
    </row>
    <row r="24">
      <c r="A24" s="32" t="n"/>
      <c r="B24" s="33" t="inlineStr">
        <is>
          <t>Чистая прибыль компании (общий)</t>
        </is>
      </c>
      <c r="C24" s="34" t="n">
        <v>0.25</v>
      </c>
      <c r="D24" s="35" t="n">
        <v>1</v>
      </c>
      <c r="E24" s="34">
        <f>C24*D24</f>
        <v/>
      </c>
      <c r="F24" s="32" t="n"/>
    </row>
    <row r="25">
      <c r="A25" s="32" t="n"/>
      <c r="B25" s="36" t="inlineStr">
        <is>
          <t>Срок закрытия вакансий</t>
        </is>
      </c>
      <c r="C25" s="37" t="n">
        <v>0.2</v>
      </c>
      <c r="D25" s="35" t="n">
        <v>1</v>
      </c>
      <c r="E25" s="37">
        <f>C25*D25</f>
        <v/>
      </c>
      <c r="F25" s="32" t="n"/>
    </row>
    <row r="26">
      <c r="A26" s="32" t="n"/>
      <c r="B26" s="36" t="inlineStr">
        <is>
          <t>Кадровый учёт без нарушений</t>
        </is>
      </c>
      <c r="C26" s="37" t="n">
        <v>0.2</v>
      </c>
      <c r="D26" s="35" t="n">
        <v>1</v>
      </c>
      <c r="E26" s="37">
        <f>C26*D26</f>
        <v/>
      </c>
      <c r="F26" s="32" t="n"/>
    </row>
    <row r="27">
      <c r="A27" s="32" t="n"/>
      <c r="B27" s="36" t="inlineStr">
        <is>
          <t>Точность расчёта зарплаты</t>
        </is>
      </c>
      <c r="C27" s="37" t="n">
        <v>0.2</v>
      </c>
      <c r="D27" s="35" t="n">
        <v>1</v>
      </c>
      <c r="E27" s="37">
        <f>C27*D27</f>
        <v/>
      </c>
      <c r="F27" s="32" t="n"/>
    </row>
    <row r="28">
      <c r="A28" s="32" t="n"/>
      <c r="B28" s="36" t="inlineStr">
        <is>
          <t>Адаптация новых сотрудников</t>
        </is>
      </c>
      <c r="C28" s="37" t="n">
        <v>0.15</v>
      </c>
      <c r="D28" s="35" t="n">
        <v>1</v>
      </c>
      <c r="E28" s="37">
        <f>C28*D28</f>
        <v/>
      </c>
      <c r="F28" s="32" t="n"/>
    </row>
    <row r="29">
      <c r="A29" s="38" t="n"/>
      <c r="B29" s="39" t="inlineStr">
        <is>
          <t>Итоговое выполнение</t>
        </is>
      </c>
      <c r="C29" s="40">
        <f>SUM(C24:C28)</f>
        <v/>
      </c>
      <c r="D29" s="38" t="n"/>
      <c r="E29" s="41">
        <f>SUM(E24:E28)</f>
        <v/>
      </c>
      <c r="F29" s="38" t="n"/>
    </row>
    <row r="31">
      <c r="A31" s="30" t="n"/>
      <c r="B31" s="30" t="inlineStr">
        <is>
          <t>4. Данияр Алим — Генеральный директор  [ПЕРЕДОВАЯ ЛИНИЯ]</t>
        </is>
      </c>
      <c r="C31" s="30" t="n"/>
      <c r="D31" s="30" t="n"/>
      <c r="E31" s="30" t="n"/>
      <c r="F31" s="30" t="n"/>
    </row>
    <row r="32">
      <c r="A32" s="31" t="n"/>
      <c r="B32" s="6" t="inlineStr">
        <is>
          <t>Показатель</t>
        </is>
      </c>
      <c r="C32" s="6" t="inlineStr">
        <is>
          <t>Вес</t>
        </is>
      </c>
      <c r="D32" s="6" t="inlineStr">
        <is>
          <t>Выполнение, %</t>
        </is>
      </c>
      <c r="E32" s="6" t="inlineStr">
        <is>
          <t>Вклад</t>
        </is>
      </c>
      <c r="F32" s="31" t="n"/>
    </row>
    <row r="33">
      <c r="A33" s="32" t="n"/>
      <c r="B33" s="33" t="inlineStr">
        <is>
          <t>Чистая прибыль компании к плану</t>
        </is>
      </c>
      <c r="C33" s="34" t="n">
        <v>0.4</v>
      </c>
      <c r="D33" s="35" t="n">
        <v>1</v>
      </c>
      <c r="E33" s="34">
        <f>C33*D33</f>
        <v/>
      </c>
      <c r="F33" s="32" t="n"/>
    </row>
    <row r="34">
      <c r="A34" s="32" t="n"/>
      <c r="B34" s="33" t="inlineStr">
        <is>
          <t>Валовая прибыль / рентабельность</t>
        </is>
      </c>
      <c r="C34" s="34" t="n">
        <v>0.2</v>
      </c>
      <c r="D34" s="35" t="n">
        <v>1</v>
      </c>
      <c r="E34" s="34">
        <f>C34*D34</f>
        <v/>
      </c>
      <c r="F34" s="32" t="n"/>
    </row>
    <row r="35">
      <c r="A35" s="32" t="n"/>
      <c r="B35" s="36" t="inlineStr">
        <is>
          <t>Выручка к плану</t>
        </is>
      </c>
      <c r="C35" s="37" t="n">
        <v>0.2</v>
      </c>
      <c r="D35" s="35" t="n">
        <v>1</v>
      </c>
      <c r="E35" s="37">
        <f>C35*D35</f>
        <v/>
      </c>
      <c r="F35" s="32" t="n"/>
    </row>
    <row r="36">
      <c r="A36" s="32" t="n"/>
      <c r="B36" s="36" t="inlineStr">
        <is>
          <t>Выполнение годового плана</t>
        </is>
      </c>
      <c r="C36" s="37" t="n">
        <v>0.15</v>
      </c>
      <c r="D36" s="35" t="n">
        <v>1</v>
      </c>
      <c r="E36" s="37">
        <f>C36*D36</f>
        <v/>
      </c>
      <c r="F36" s="32" t="n"/>
    </row>
    <row r="37">
      <c r="A37" s="32" t="n"/>
      <c r="B37" s="36" t="inlineStr">
        <is>
          <t>Удержание клиентов</t>
        </is>
      </c>
      <c r="C37" s="37" t="n">
        <v>0.05</v>
      </c>
      <c r="D37" s="35" t="n">
        <v>1</v>
      </c>
      <c r="E37" s="37">
        <f>C37*D37</f>
        <v/>
      </c>
      <c r="F37" s="32" t="n"/>
    </row>
    <row r="38">
      <c r="A38" s="38" t="n"/>
      <c r="B38" s="39" t="inlineStr">
        <is>
          <t>Итоговое выполнение</t>
        </is>
      </c>
      <c r="C38" s="40">
        <f>SUM(C33:C37)</f>
        <v/>
      </c>
      <c r="D38" s="38" t="n"/>
      <c r="E38" s="41">
        <f>SUM(E33:E37)</f>
        <v/>
      </c>
      <c r="F38" s="38" t="n"/>
    </row>
    <row r="40">
      <c r="A40" s="30" t="n"/>
      <c r="B40" s="30" t="inlineStr">
        <is>
          <t>5. Доолоткулов Данияр — Начальник отдела логистики  [ПЕРЕДОВАЯ ЛИНИЯ]</t>
        </is>
      </c>
      <c r="C40" s="30" t="n"/>
      <c r="D40" s="30" t="n"/>
      <c r="E40" s="30" t="n"/>
      <c r="F40" s="30" t="n"/>
    </row>
    <row r="41">
      <c r="A41" s="31" t="n"/>
      <c r="B41" s="6" t="inlineStr">
        <is>
          <t>Показатель</t>
        </is>
      </c>
      <c r="C41" s="6" t="inlineStr">
        <is>
          <t>Вес</t>
        </is>
      </c>
      <c r="D41" s="6" t="inlineStr">
        <is>
          <t>Выполнение, %</t>
        </is>
      </c>
      <c r="E41" s="6" t="inlineStr">
        <is>
          <t>Вклад</t>
        </is>
      </c>
      <c r="F41" s="31" t="n"/>
    </row>
    <row r="42">
      <c r="A42" s="32" t="n"/>
      <c r="B42" s="33" t="inlineStr">
        <is>
          <t>Валовая прибыль отдела перевозок к плану</t>
        </is>
      </c>
      <c r="C42" s="34" t="n">
        <v>0.4</v>
      </c>
      <c r="D42" s="35" t="n">
        <v>1</v>
      </c>
      <c r="E42" s="34">
        <f>C42*D42</f>
        <v/>
      </c>
      <c r="F42" s="32" t="n"/>
    </row>
    <row r="43">
      <c r="A43" s="32" t="n"/>
      <c r="B43" s="36" t="inlineStr">
        <is>
          <t>Соблюдение сроков доставки</t>
        </is>
      </c>
      <c r="C43" s="37" t="n">
        <v>0.2</v>
      </c>
      <c r="D43" s="35" t="n">
        <v>1</v>
      </c>
      <c r="E43" s="37">
        <f>C43*D43</f>
        <v/>
      </c>
      <c r="F43" s="32" t="n"/>
    </row>
    <row r="44">
      <c r="A44" s="32" t="n"/>
      <c r="B44" s="36" t="inlineStr">
        <is>
          <t>Себестоимость перевозки на рейс/тонну</t>
        </is>
      </c>
      <c r="C44" s="37" t="n">
        <v>0.2</v>
      </c>
      <c r="D44" s="35" t="n">
        <v>1</v>
      </c>
      <c r="E44" s="37">
        <f>C44*D44</f>
        <v/>
      </c>
      <c r="F44" s="32" t="n"/>
    </row>
    <row r="45">
      <c r="A45" s="32" t="n"/>
      <c r="B45" s="36" t="inlineStr">
        <is>
          <t>Загрузка транспорта / порожний пробег</t>
        </is>
      </c>
      <c r="C45" s="37" t="n">
        <v>0.1</v>
      </c>
      <c r="D45" s="35" t="n">
        <v>1</v>
      </c>
      <c r="E45" s="37">
        <f>C45*D45</f>
        <v/>
      </c>
      <c r="F45" s="32" t="n"/>
    </row>
    <row r="46">
      <c r="A46" s="32" t="n"/>
      <c r="B46" s="36" t="inlineStr">
        <is>
          <t>Сохранность груза / претензии</t>
        </is>
      </c>
      <c r="C46" s="37" t="n">
        <v>0.1</v>
      </c>
      <c r="D46" s="35" t="n">
        <v>1</v>
      </c>
      <c r="E46" s="37">
        <f>C46*D46</f>
        <v/>
      </c>
      <c r="F46" s="32" t="n"/>
    </row>
    <row r="47">
      <c r="A47" s="38" t="n"/>
      <c r="B47" s="39" t="inlineStr">
        <is>
          <t>Итоговое выполнение</t>
        </is>
      </c>
      <c r="C47" s="40">
        <f>SUM(C42:C46)</f>
        <v/>
      </c>
      <c r="D47" s="38" t="n"/>
      <c r="E47" s="41">
        <f>SUM(E42:E46)</f>
        <v/>
      </c>
      <c r="F47" s="38" t="n"/>
    </row>
    <row r="49">
      <c r="A49" s="30" t="n"/>
      <c r="B49" s="30" t="inlineStr">
        <is>
          <t>6. Жунусова Камила — Менеджер по логистике  [ПЕРЕДОВАЯ ЛИНИЯ]</t>
        </is>
      </c>
      <c r="C49" s="30" t="n"/>
      <c r="D49" s="30" t="n"/>
      <c r="E49" s="30" t="n"/>
      <c r="F49" s="30" t="n"/>
    </row>
    <row r="50">
      <c r="A50" s="31" t="n"/>
      <c r="B50" s="6" t="inlineStr">
        <is>
          <t>Показатель</t>
        </is>
      </c>
      <c r="C50" s="6" t="inlineStr">
        <is>
          <t>Вес</t>
        </is>
      </c>
      <c r="D50" s="6" t="inlineStr">
        <is>
          <t>Выполнение, %</t>
        </is>
      </c>
      <c r="E50" s="6" t="inlineStr">
        <is>
          <t>Вклад</t>
        </is>
      </c>
      <c r="F50" s="31" t="n"/>
    </row>
    <row r="51">
      <c r="A51" s="32" t="n"/>
      <c r="B51" s="33" t="inlineStr">
        <is>
          <t>Валовая маржа по своим перевозкам (≥K×стоимости)</t>
        </is>
      </c>
      <c r="C51" s="34" t="n">
        <v>0.45</v>
      </c>
      <c r="D51" s="35" t="n">
        <v>1</v>
      </c>
      <c r="E51" s="34">
        <f>C51*D51</f>
        <v/>
      </c>
      <c r="F51" s="32" t="n"/>
    </row>
    <row r="52">
      <c r="A52" s="32" t="n"/>
      <c r="B52" s="36" t="inlineStr">
        <is>
          <t>Объём перевозок к норме</t>
        </is>
      </c>
      <c r="C52" s="37" t="n">
        <v>0.15</v>
      </c>
      <c r="D52" s="35" t="n">
        <v>1</v>
      </c>
      <c r="E52" s="37">
        <f>C52*D52</f>
        <v/>
      </c>
      <c r="F52" s="32" t="n"/>
    </row>
    <row r="53">
      <c r="A53" s="32" t="n"/>
      <c r="B53" s="36" t="inlineStr">
        <is>
          <t>Соблюдение сроков доставки</t>
        </is>
      </c>
      <c r="C53" s="37" t="n">
        <v>0.15</v>
      </c>
      <c r="D53" s="35" t="n">
        <v>1</v>
      </c>
      <c r="E53" s="37">
        <f>C53*D53</f>
        <v/>
      </c>
      <c r="F53" s="32" t="n"/>
    </row>
    <row r="54">
      <c r="A54" s="32" t="n"/>
      <c r="B54" s="36" t="inlineStr">
        <is>
          <t>Загрузка / порожний пробег</t>
        </is>
      </c>
      <c r="C54" s="37" t="n">
        <v>0.15</v>
      </c>
      <c r="D54" s="35" t="n">
        <v>1</v>
      </c>
      <c r="E54" s="37">
        <f>C54*D54</f>
        <v/>
      </c>
      <c r="F54" s="32" t="n"/>
    </row>
    <row r="55">
      <c r="A55" s="32" t="n"/>
      <c r="B55" s="36" t="inlineStr">
        <is>
          <t>Точность документов / сохранность</t>
        </is>
      </c>
      <c r="C55" s="37" t="n">
        <v>0.1</v>
      </c>
      <c r="D55" s="35" t="n">
        <v>1</v>
      </c>
      <c r="E55" s="37">
        <f>C55*D55</f>
        <v/>
      </c>
      <c r="F55" s="32" t="n"/>
    </row>
    <row r="56">
      <c r="A56" s="38" t="n"/>
      <c r="B56" s="39" t="inlineStr">
        <is>
          <t>Итоговое выполнение</t>
        </is>
      </c>
      <c r="C56" s="40">
        <f>SUM(C51:C55)</f>
        <v/>
      </c>
      <c r="D56" s="38" t="n"/>
      <c r="E56" s="41">
        <f>SUM(E51:E55)</f>
        <v/>
      </c>
      <c r="F56" s="38" t="n"/>
    </row>
    <row r="58">
      <c r="A58" s="30" t="n"/>
      <c r="B58" s="30" t="inlineStr">
        <is>
          <t>7. Сейтқадыр Дарын — Менеджер по логистике  [ПЕРЕДОВАЯ ЛИНИЯ]</t>
        </is>
      </c>
      <c r="C58" s="30" t="n"/>
      <c r="D58" s="30" t="n"/>
      <c r="E58" s="30" t="n"/>
      <c r="F58" s="30" t="n"/>
    </row>
    <row r="59">
      <c r="A59" s="31" t="n"/>
      <c r="B59" s="6" t="inlineStr">
        <is>
          <t>Показатель</t>
        </is>
      </c>
      <c r="C59" s="6" t="inlineStr">
        <is>
          <t>Вес</t>
        </is>
      </c>
      <c r="D59" s="6" t="inlineStr">
        <is>
          <t>Выполнение, %</t>
        </is>
      </c>
      <c r="E59" s="6" t="inlineStr">
        <is>
          <t>Вклад</t>
        </is>
      </c>
      <c r="F59" s="31" t="n"/>
    </row>
    <row r="60">
      <c r="A60" s="32" t="n"/>
      <c r="B60" s="33" t="inlineStr">
        <is>
          <t>Валовая маржа по своим перевозкам (≥K×стоимости)</t>
        </is>
      </c>
      <c r="C60" s="34" t="n">
        <v>0.45</v>
      </c>
      <c r="D60" s="35" t="n">
        <v>1</v>
      </c>
      <c r="E60" s="34">
        <f>C60*D60</f>
        <v/>
      </c>
      <c r="F60" s="32" t="n"/>
    </row>
    <row r="61">
      <c r="A61" s="32" t="n"/>
      <c r="B61" s="36" t="inlineStr">
        <is>
          <t>Объём перевозок к норме</t>
        </is>
      </c>
      <c r="C61" s="37" t="n">
        <v>0.15</v>
      </c>
      <c r="D61" s="35" t="n">
        <v>1</v>
      </c>
      <c r="E61" s="37">
        <f>C61*D61</f>
        <v/>
      </c>
      <c r="F61" s="32" t="n"/>
    </row>
    <row r="62">
      <c r="A62" s="32" t="n"/>
      <c r="B62" s="36" t="inlineStr">
        <is>
          <t>Соблюдение сроков доставки</t>
        </is>
      </c>
      <c r="C62" s="37" t="n">
        <v>0.15</v>
      </c>
      <c r="D62" s="35" t="n">
        <v>1</v>
      </c>
      <c r="E62" s="37">
        <f>C62*D62</f>
        <v/>
      </c>
      <c r="F62" s="32" t="n"/>
    </row>
    <row r="63">
      <c r="A63" s="32" t="n"/>
      <c r="B63" s="36" t="inlineStr">
        <is>
          <t>Загрузка / порожний пробег</t>
        </is>
      </c>
      <c r="C63" s="37" t="n">
        <v>0.15</v>
      </c>
      <c r="D63" s="35" t="n">
        <v>1</v>
      </c>
      <c r="E63" s="37">
        <f>C63*D63</f>
        <v/>
      </c>
      <c r="F63" s="32" t="n"/>
    </row>
    <row r="64">
      <c r="A64" s="32" t="n"/>
      <c r="B64" s="36" t="inlineStr">
        <is>
          <t>Точность документов / сохранность</t>
        </is>
      </c>
      <c r="C64" s="37" t="n">
        <v>0.1</v>
      </c>
      <c r="D64" s="35" t="n">
        <v>1</v>
      </c>
      <c r="E64" s="37">
        <f>C64*D64</f>
        <v/>
      </c>
      <c r="F64" s="32" t="n"/>
    </row>
    <row r="65">
      <c r="A65" s="38" t="n"/>
      <c r="B65" s="39" t="inlineStr">
        <is>
          <t>Итоговое выполнение</t>
        </is>
      </c>
      <c r="C65" s="40">
        <f>SUM(C60:C64)</f>
        <v/>
      </c>
      <c r="D65" s="38" t="n"/>
      <c r="E65" s="41">
        <f>SUM(E60:E64)</f>
        <v/>
      </c>
      <c r="F65" s="38" t="n"/>
    </row>
    <row r="67">
      <c r="A67" s="30" t="n"/>
      <c r="B67" s="30" t="inlineStr">
        <is>
          <t>8. Серикбаев Адиль — Президент  [ПЕРЕДОВАЯ ЛИНИЯ]</t>
        </is>
      </c>
      <c r="C67" s="30" t="n"/>
      <c r="D67" s="30" t="n"/>
      <c r="E67" s="30" t="n"/>
      <c r="F67" s="30" t="n"/>
    </row>
    <row r="68">
      <c r="A68" s="31" t="n"/>
      <c r="B68" s="6" t="inlineStr">
        <is>
          <t>Показатель</t>
        </is>
      </c>
      <c r="C68" s="6" t="inlineStr">
        <is>
          <t>Вес</t>
        </is>
      </c>
      <c r="D68" s="6" t="inlineStr">
        <is>
          <t>Выполнение, %</t>
        </is>
      </c>
      <c r="E68" s="6" t="inlineStr">
        <is>
          <t>Вклад</t>
        </is>
      </c>
      <c r="F68" s="31" t="n"/>
    </row>
    <row r="69">
      <c r="A69" s="32" t="n"/>
      <c r="B69" s="33" t="inlineStr">
        <is>
          <t>Чистая прибыль компании к плану</t>
        </is>
      </c>
      <c r="C69" s="34" t="n">
        <v>0.5</v>
      </c>
      <c r="D69" s="35" t="n">
        <v>1</v>
      </c>
      <c r="E69" s="34">
        <f>C69*D69</f>
        <v/>
      </c>
      <c r="F69" s="32" t="n"/>
    </row>
    <row r="70">
      <c r="A70" s="32" t="n"/>
      <c r="B70" s="36" t="inlineStr">
        <is>
          <t>Выручка к плану</t>
        </is>
      </c>
      <c r="C70" s="37" t="n">
        <v>0.15</v>
      </c>
      <c r="D70" s="35" t="n">
        <v>1</v>
      </c>
      <c r="E70" s="37">
        <f>C70*D70</f>
        <v/>
      </c>
      <c r="F70" s="32" t="n"/>
    </row>
    <row r="71">
      <c r="A71" s="32" t="n"/>
      <c r="B71" s="36" t="inlineStr">
        <is>
          <t>Развитие: направления/клиенты/география</t>
        </is>
      </c>
      <c r="C71" s="37" t="n">
        <v>0.2</v>
      </c>
      <c r="D71" s="35" t="n">
        <v>1</v>
      </c>
      <c r="E71" s="37">
        <f>C71*D71</f>
        <v/>
      </c>
      <c r="F71" s="32" t="n"/>
    </row>
    <row r="72">
      <c r="A72" s="32" t="n"/>
      <c r="B72" s="36" t="inlineStr">
        <is>
          <t>Денежный поток / финансирование</t>
        </is>
      </c>
      <c r="C72" s="37" t="n">
        <v>0.1</v>
      </c>
      <c r="D72" s="35" t="n">
        <v>1</v>
      </c>
      <c r="E72" s="37">
        <f>C72*D72</f>
        <v/>
      </c>
      <c r="F72" s="32" t="n"/>
    </row>
    <row r="73">
      <c r="A73" s="32" t="n"/>
      <c r="B73" s="36" t="inlineStr">
        <is>
          <t>Удержание ключевой команды</t>
        </is>
      </c>
      <c r="C73" s="37" t="n">
        <v>0.05</v>
      </c>
      <c r="D73" s="35" t="n">
        <v>1</v>
      </c>
      <c r="E73" s="37">
        <f>C73*D73</f>
        <v/>
      </c>
      <c r="F73" s="32" t="n"/>
    </row>
    <row r="74">
      <c r="A74" s="38" t="n"/>
      <c r="B74" s="39" t="inlineStr">
        <is>
          <t>Итоговое выполнение</t>
        </is>
      </c>
      <c r="C74" s="40">
        <f>SUM(C69:C73)</f>
        <v/>
      </c>
      <c r="D74" s="38" t="n"/>
      <c r="E74" s="41">
        <f>SUM(E69:E73)</f>
        <v/>
      </c>
      <c r="F74" s="38" t="n"/>
    </row>
    <row r="76">
      <c r="A76" s="30" t="n"/>
      <c r="B76" s="30" t="inlineStr">
        <is>
          <t>9. Таджимурадова Асем — Менеджер по закрытию  [ПЕРЕДОВАЯ ЛИНИЯ]</t>
        </is>
      </c>
      <c r="C76" s="30" t="n"/>
      <c r="D76" s="30" t="n"/>
      <c r="E76" s="30" t="n"/>
      <c r="F76" s="30" t="n"/>
    </row>
    <row r="77">
      <c r="A77" s="31" t="n"/>
      <c r="B77" s="6" t="inlineStr">
        <is>
          <t>Показатель</t>
        </is>
      </c>
      <c r="C77" s="6" t="inlineStr">
        <is>
          <t>Вес</t>
        </is>
      </c>
      <c r="D77" s="6" t="inlineStr">
        <is>
          <t>Выполнение, %</t>
        </is>
      </c>
      <c r="E77" s="6" t="inlineStr">
        <is>
          <t>Вклад</t>
        </is>
      </c>
      <c r="F77" s="31" t="n"/>
    </row>
    <row r="78">
      <c r="A78" s="32" t="n"/>
      <c r="B78" s="33" t="inlineStr">
        <is>
          <t>Валовая прибыль по закрытым перевозкам к плану</t>
        </is>
      </c>
      <c r="C78" s="34" t="n">
        <v>0.45</v>
      </c>
      <c r="D78" s="35" t="n">
        <v>1</v>
      </c>
      <c r="E78" s="34">
        <f>C78*D78</f>
        <v/>
      </c>
      <c r="F78" s="32" t="n"/>
    </row>
    <row r="79">
      <c r="A79" s="32" t="n"/>
      <c r="B79" s="36" t="inlineStr">
        <is>
          <t>Собираемость оплаты в срок</t>
        </is>
      </c>
      <c r="C79" s="37" t="n">
        <v>0.3</v>
      </c>
      <c r="D79" s="35" t="n">
        <v>1</v>
      </c>
      <c r="E79" s="37">
        <f>C79*D79</f>
        <v/>
      </c>
      <c r="F79" s="32" t="n"/>
    </row>
    <row r="80">
      <c r="A80" s="32" t="n"/>
      <c r="B80" s="36" t="inlineStr">
        <is>
          <t>Срок закрытия документов</t>
        </is>
      </c>
      <c r="C80" s="37" t="n">
        <v>0.15</v>
      </c>
      <c r="D80" s="35" t="n">
        <v>1</v>
      </c>
      <c r="E80" s="37">
        <f>C80*D80</f>
        <v/>
      </c>
      <c r="F80" s="32" t="n"/>
    </row>
    <row r="81">
      <c r="A81" s="32" t="n"/>
      <c r="B81" s="36" t="inlineStr">
        <is>
          <t>Точность / отсутствие расхождений</t>
        </is>
      </c>
      <c r="C81" s="37" t="n">
        <v>0.1</v>
      </c>
      <c r="D81" s="35" t="n">
        <v>1</v>
      </c>
      <c r="E81" s="37">
        <f>C81*D81</f>
        <v/>
      </c>
      <c r="F81" s="32" t="n"/>
    </row>
    <row r="82">
      <c r="A82" s="38" t="n"/>
      <c r="B82" s="39" t="inlineStr">
        <is>
          <t>Итоговое выполнение</t>
        </is>
      </c>
      <c r="C82" s="40">
        <f>SUM(C78:C81)</f>
        <v/>
      </c>
      <c r="D82" s="38" t="n"/>
      <c r="E82" s="41">
        <f>SUM(E78:E81)</f>
        <v/>
      </c>
      <c r="F82" s="38" t="n"/>
    </row>
    <row r="84">
      <c r="A84" s="30" t="n"/>
      <c r="B84" s="30" t="inlineStr">
        <is>
          <t>10. Ташметов Сакен — Юрист  [ПОДДЕРЖКА]</t>
        </is>
      </c>
      <c r="C84" s="30" t="n"/>
      <c r="D84" s="30" t="n"/>
      <c r="E84" s="30" t="n"/>
      <c r="F84" s="30" t="n"/>
    </row>
    <row r="85">
      <c r="A85" s="31" t="n"/>
      <c r="B85" s="6" t="inlineStr">
        <is>
          <t>Показатель</t>
        </is>
      </c>
      <c r="C85" s="6" t="inlineStr">
        <is>
          <t>Вес</t>
        </is>
      </c>
      <c r="D85" s="6" t="inlineStr">
        <is>
          <t>Выполнение, %</t>
        </is>
      </c>
      <c r="E85" s="6" t="inlineStr">
        <is>
          <t>Вклад</t>
        </is>
      </c>
      <c r="F85" s="31" t="n"/>
    </row>
    <row r="86">
      <c r="A86" s="32" t="n"/>
      <c r="B86" s="33" t="inlineStr">
        <is>
          <t>Чистая прибыль компании (общий)</t>
        </is>
      </c>
      <c r="C86" s="34" t="n">
        <v>0.25</v>
      </c>
      <c r="D86" s="35" t="n">
        <v>1</v>
      </c>
      <c r="E86" s="34">
        <f>C86*D86</f>
        <v/>
      </c>
      <c r="F86" s="32" t="n"/>
    </row>
    <row r="87">
      <c r="A87" s="32" t="n"/>
      <c r="B87" s="36" t="inlineStr">
        <is>
          <t>Взысканная дебиторка / споры</t>
        </is>
      </c>
      <c r="C87" s="37" t="n">
        <v>0.25</v>
      </c>
      <c r="D87" s="35" t="n">
        <v>1</v>
      </c>
      <c r="E87" s="37">
        <f>C87*D87</f>
        <v/>
      </c>
      <c r="F87" s="32" t="n"/>
    </row>
    <row r="88">
      <c r="A88" s="32" t="n"/>
      <c r="B88" s="36" t="inlineStr">
        <is>
          <t>Согласование договоров в срок</t>
        </is>
      </c>
      <c r="C88" s="37" t="n">
        <v>0.2</v>
      </c>
      <c r="D88" s="35" t="n">
        <v>1</v>
      </c>
      <c r="E88" s="37">
        <f>C88*D88</f>
        <v/>
      </c>
      <c r="F88" s="32" t="n"/>
    </row>
    <row r="89">
      <c r="A89" s="32" t="n"/>
      <c r="B89" s="36" t="inlineStr">
        <is>
          <t>Юридические риски: штрафы</t>
        </is>
      </c>
      <c r="C89" s="37" t="n">
        <v>0.15</v>
      </c>
      <c r="D89" s="35" t="n">
        <v>1</v>
      </c>
      <c r="E89" s="37">
        <f>C89*D89</f>
        <v/>
      </c>
      <c r="F89" s="32" t="n"/>
    </row>
    <row r="90">
      <c r="A90" s="32" t="n"/>
      <c r="B90" s="36" t="inlineStr">
        <is>
          <t>Сопровождение сделок и перевозок</t>
        </is>
      </c>
      <c r="C90" s="37" t="n">
        <v>0.15</v>
      </c>
      <c r="D90" s="35" t="n">
        <v>1</v>
      </c>
      <c r="E90" s="37">
        <f>C90*D90</f>
        <v/>
      </c>
      <c r="F90" s="32" t="n"/>
    </row>
    <row r="91">
      <c r="A91" s="38" t="n"/>
      <c r="B91" s="39" t="inlineStr">
        <is>
          <t>Итоговое выполнение</t>
        </is>
      </c>
      <c r="C91" s="40">
        <f>SUM(C86:C90)</f>
        <v/>
      </c>
      <c r="D91" s="38" t="n"/>
      <c r="E91" s="41">
        <f>SUM(E86:E90)</f>
        <v/>
      </c>
      <c r="F91" s="38" t="n"/>
    </row>
    <row r="93">
      <c r="A93" s="30" t="n"/>
      <c r="B93" s="30" t="inlineStr">
        <is>
          <t>11. Унбетпаев Ернар — Операционный директор  [ПЕРЕДОВАЯ ЛИНИЯ]</t>
        </is>
      </c>
      <c r="C93" s="30" t="n"/>
      <c r="D93" s="30" t="n"/>
      <c r="E93" s="30" t="n"/>
      <c r="F93" s="30" t="n"/>
    </row>
    <row r="94">
      <c r="A94" s="31" t="n"/>
      <c r="B94" s="6" t="inlineStr">
        <is>
          <t>Показатель</t>
        </is>
      </c>
      <c r="C94" s="6" t="inlineStr">
        <is>
          <t>Вес</t>
        </is>
      </c>
      <c r="D94" s="6" t="inlineStr">
        <is>
          <t>Выполнение, %</t>
        </is>
      </c>
      <c r="E94" s="6" t="inlineStr">
        <is>
          <t>Вклад</t>
        </is>
      </c>
      <c r="F94" s="31" t="n"/>
    </row>
    <row r="95">
      <c r="A95" s="32" t="n"/>
      <c r="B95" s="33" t="inlineStr">
        <is>
          <t>Валовая прибыль по операциям к плану</t>
        </is>
      </c>
      <c r="C95" s="34" t="n">
        <v>0.4</v>
      </c>
      <c r="D95" s="35" t="n">
        <v>1</v>
      </c>
      <c r="E95" s="34">
        <f>C95*D95</f>
        <v/>
      </c>
      <c r="F95" s="32" t="n"/>
    </row>
    <row r="96">
      <c r="A96" s="32" t="n"/>
      <c r="B96" s="36" t="inlineStr">
        <is>
          <t>Соблюдение сроков (в срок и полностью)</t>
        </is>
      </c>
      <c r="C96" s="37" t="n">
        <v>0.2</v>
      </c>
      <c r="D96" s="35" t="n">
        <v>1</v>
      </c>
      <c r="E96" s="37">
        <f>C96*D96</f>
        <v/>
      </c>
      <c r="F96" s="32" t="n"/>
    </row>
    <row r="97">
      <c r="A97" s="32" t="n"/>
      <c r="B97" s="36" t="inlineStr">
        <is>
          <t>Себестоимость операций на тонну/км</t>
        </is>
      </c>
      <c r="C97" s="37" t="n">
        <v>0.2</v>
      </c>
      <c r="D97" s="35" t="n">
        <v>1</v>
      </c>
      <c r="E97" s="37">
        <f>C97*D97</f>
        <v/>
      </c>
      <c r="F97" s="32" t="n"/>
    </row>
    <row r="98">
      <c r="A98" s="32" t="n"/>
      <c r="B98" s="36" t="inlineStr">
        <is>
          <t>Безопасность / охрана труда</t>
        </is>
      </c>
      <c r="C98" s="37" t="n">
        <v>0.1</v>
      </c>
      <c r="D98" s="35" t="n">
        <v>1</v>
      </c>
      <c r="E98" s="37">
        <f>C98*D98</f>
        <v/>
      </c>
      <c r="F98" s="32" t="n"/>
    </row>
    <row r="99">
      <c r="A99" s="32" t="n"/>
      <c r="B99" s="36" t="inlineStr">
        <is>
          <t>Загрузка / порожний пробег</t>
        </is>
      </c>
      <c r="C99" s="37" t="n">
        <v>0.1</v>
      </c>
      <c r="D99" s="35" t="n">
        <v>1</v>
      </c>
      <c r="E99" s="37">
        <f>C99*D99</f>
        <v/>
      </c>
      <c r="F99" s="32" t="n"/>
    </row>
    <row r="100">
      <c r="A100" s="38" t="n"/>
      <c r="B100" s="39" t="inlineStr">
        <is>
          <t>Итоговое выполнение</t>
        </is>
      </c>
      <c r="C100" s="40">
        <f>SUM(C95:C99)</f>
        <v/>
      </c>
      <c r="D100" s="38" t="n"/>
      <c r="E100" s="41">
        <f>SUM(E95:E99)</f>
        <v/>
      </c>
      <c r="F100" s="38" t="n"/>
    </row>
    <row r="102">
      <c r="A102" s="30" t="n"/>
      <c r="B102" s="30" t="inlineStr">
        <is>
          <t>12. Белова Полина — Менеджер по логистике (младший)  [ПЕРЕДОВАЯ ЛИНИЯ]</t>
        </is>
      </c>
      <c r="C102" s="30" t="n"/>
      <c r="D102" s="30" t="n"/>
      <c r="E102" s="30" t="n"/>
      <c r="F102" s="30" t="n"/>
    </row>
    <row r="103">
      <c r="A103" s="31" t="n"/>
      <c r="B103" s="6" t="inlineStr">
        <is>
          <t>Показатель</t>
        </is>
      </c>
      <c r="C103" s="6" t="inlineStr">
        <is>
          <t>Вес</t>
        </is>
      </c>
      <c r="D103" s="6" t="inlineStr">
        <is>
          <t>Выполнение, %</t>
        </is>
      </c>
      <c r="E103" s="6" t="inlineStr">
        <is>
          <t>Вклад</t>
        </is>
      </c>
      <c r="F103" s="31" t="n"/>
    </row>
    <row r="104">
      <c r="A104" s="32" t="n"/>
      <c r="B104" s="33" t="inlineStr">
        <is>
          <t>Валовая маржа по своим перевозкам (≥K×стоимости)</t>
        </is>
      </c>
      <c r="C104" s="34" t="n">
        <v>0.45</v>
      </c>
      <c r="D104" s="35" t="n">
        <v>1</v>
      </c>
      <c r="E104" s="34">
        <f>C104*D104</f>
        <v/>
      </c>
      <c r="F104" s="32" t="n"/>
    </row>
    <row r="105">
      <c r="A105" s="32" t="n"/>
      <c r="B105" s="36" t="inlineStr">
        <is>
          <t>Объём перевозок к норме</t>
        </is>
      </c>
      <c r="C105" s="37" t="n">
        <v>0.15</v>
      </c>
      <c r="D105" s="35" t="n">
        <v>1</v>
      </c>
      <c r="E105" s="37">
        <f>C105*D105</f>
        <v/>
      </c>
      <c r="F105" s="32" t="n"/>
    </row>
    <row r="106">
      <c r="A106" s="32" t="n"/>
      <c r="B106" s="36" t="inlineStr">
        <is>
          <t>Соблюдение сроков доставки</t>
        </is>
      </c>
      <c r="C106" s="37" t="n">
        <v>0.15</v>
      </c>
      <c r="D106" s="35" t="n">
        <v>1</v>
      </c>
      <c r="E106" s="37">
        <f>C106*D106</f>
        <v/>
      </c>
      <c r="F106" s="32" t="n"/>
    </row>
    <row r="107">
      <c r="A107" s="32" t="n"/>
      <c r="B107" s="36" t="inlineStr">
        <is>
          <t>Загрузка / порожний пробег</t>
        </is>
      </c>
      <c r="C107" s="37" t="n">
        <v>0.15</v>
      </c>
      <c r="D107" s="35" t="n">
        <v>1</v>
      </c>
      <c r="E107" s="37">
        <f>C107*D107</f>
        <v/>
      </c>
      <c r="F107" s="32" t="n"/>
    </row>
    <row r="108">
      <c r="A108" s="32" t="n"/>
      <c r="B108" s="36" t="inlineStr">
        <is>
          <t>Точность документов / сохранность</t>
        </is>
      </c>
      <c r="C108" s="37" t="n">
        <v>0.1</v>
      </c>
      <c r="D108" s="35" t="n">
        <v>1</v>
      </c>
      <c r="E108" s="37">
        <f>C108*D108</f>
        <v/>
      </c>
      <c r="F108" s="32" t="n"/>
    </row>
    <row r="109">
      <c r="A109" s="38" t="n"/>
      <c r="B109" s="39" t="inlineStr">
        <is>
          <t>Итоговое выполнение</t>
        </is>
      </c>
      <c r="C109" s="40">
        <f>SUM(C104:C108)</f>
        <v/>
      </c>
      <c r="D109" s="38" t="n"/>
      <c r="E109" s="41">
        <f>SUM(E104:E108)</f>
        <v/>
      </c>
      <c r="F109" s="38" t="n"/>
    </row>
    <row r="111">
      <c r="A111" s="30" t="n"/>
      <c r="B111" s="30" t="inlineStr">
        <is>
          <t>13. Сибагатов Хамардин — Менеджер по логистике (старший)  [ПЕРЕДОВАЯ ЛИНИЯ]</t>
        </is>
      </c>
      <c r="C111" s="30" t="n"/>
      <c r="D111" s="30" t="n"/>
      <c r="E111" s="30" t="n"/>
      <c r="F111" s="30" t="n"/>
    </row>
    <row r="112">
      <c r="A112" s="31" t="n"/>
      <c r="B112" s="6" t="inlineStr">
        <is>
          <t>Показатель</t>
        </is>
      </c>
      <c r="C112" s="6" t="inlineStr">
        <is>
          <t>Вес</t>
        </is>
      </c>
      <c r="D112" s="6" t="inlineStr">
        <is>
          <t>Выполнение, %</t>
        </is>
      </c>
      <c r="E112" s="6" t="inlineStr">
        <is>
          <t>Вклад</t>
        </is>
      </c>
      <c r="F112" s="31" t="n"/>
    </row>
    <row r="113">
      <c r="A113" s="32" t="n"/>
      <c r="B113" s="33" t="inlineStr">
        <is>
          <t>Валовая маржа по своим перевозкам (≥K×стоимости)</t>
        </is>
      </c>
      <c r="C113" s="34" t="n">
        <v>0.45</v>
      </c>
      <c r="D113" s="35" t="n">
        <v>1</v>
      </c>
      <c r="E113" s="34">
        <f>C113*D113</f>
        <v/>
      </c>
      <c r="F113" s="32" t="n"/>
    </row>
    <row r="114">
      <c r="A114" s="32" t="n"/>
      <c r="B114" s="36" t="inlineStr">
        <is>
          <t>Объём перевозок к норме</t>
        </is>
      </c>
      <c r="C114" s="37" t="n">
        <v>0.15</v>
      </c>
      <c r="D114" s="35" t="n">
        <v>1</v>
      </c>
      <c r="E114" s="37">
        <f>C114*D114</f>
        <v/>
      </c>
      <c r="F114" s="32" t="n"/>
    </row>
    <row r="115">
      <c r="A115" s="32" t="n"/>
      <c r="B115" s="36" t="inlineStr">
        <is>
          <t>Соблюдение сроков доставки</t>
        </is>
      </c>
      <c r="C115" s="37" t="n">
        <v>0.15</v>
      </c>
      <c r="D115" s="35" t="n">
        <v>1</v>
      </c>
      <c r="E115" s="37">
        <f>C115*D115</f>
        <v/>
      </c>
      <c r="F115" s="32" t="n"/>
    </row>
    <row r="116">
      <c r="A116" s="32" t="n"/>
      <c r="B116" s="36" t="inlineStr">
        <is>
          <t>Загрузка / порожний пробег</t>
        </is>
      </c>
      <c r="C116" s="37" t="n">
        <v>0.15</v>
      </c>
      <c r="D116" s="35" t="n">
        <v>1</v>
      </c>
      <c r="E116" s="37">
        <f>C116*D116</f>
        <v/>
      </c>
      <c r="F116" s="32" t="n"/>
    </row>
    <row r="117">
      <c r="A117" s="32" t="n"/>
      <c r="B117" s="36" t="inlineStr">
        <is>
          <t>Точность документов / сохранность</t>
        </is>
      </c>
      <c r="C117" s="37" t="n">
        <v>0.1</v>
      </c>
      <c r="D117" s="35" t="n">
        <v>1</v>
      </c>
      <c r="E117" s="37">
        <f>C117*D117</f>
        <v/>
      </c>
      <c r="F117" s="32" t="n"/>
    </row>
    <row r="118">
      <c r="A118" s="38" t="n"/>
      <c r="B118" s="39" t="inlineStr">
        <is>
          <t>Итоговое выполнение</t>
        </is>
      </c>
      <c r="C118" s="40">
        <f>SUM(C113:C117)</f>
        <v/>
      </c>
      <c r="D118" s="38" t="n"/>
      <c r="E118" s="41">
        <f>SUM(E113:E117)</f>
        <v/>
      </c>
      <c r="F118" s="38" t="n"/>
    </row>
  </sheetData>
  <mergeCells count="1">
    <mergeCell ref="A2:F2"/>
  </mergeCells>
  <dataValidations count="1">
    <dataValidation sqref="D6 D7 D8 D9 D10 D15 D16 D17 D18 D19 D24 D25 D26 D27 D28 D33 D34 D35 D36 D37 D42 D43 D44 D45 D46 D51 D52 D53 D54 D55 D60 D61 D62 D63 D64 D69 D70 D71 D72 D73 D78 D79 D80 D81 D86 D87 D88 D89 D90 D95 D96 D97 D98 D99 D104 D105 D106 D107 D108 D113 D114 D115 D116 D117" showDropDown="0" showInputMessage="0" showErrorMessage="0" allowBlank="1" errorTitle="Диапазон" error="Выполнение 0–150%" type="decimal" operator="between">
      <formula1>0</formula1>
      <formula2>1.5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2026-08-04T11:30:19Z</dcterms:created>
  <dcterms:modified xmlns:dcterms="http://purl.org/dc/terms/" xmlns:xsi="http://www.w3.org/2001/XMLSchema-instance" xsi:type="dcterms:W3CDTF">2026-08-04T11:30:19Z</dcterms:modified>
</cp:coreProperties>
</file>