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Оборудование_секции" sheetId="2" state="visible" r:id="rId2"/>
    <sheet xmlns:r="http://schemas.openxmlformats.org/officeDocument/2006/relationships" name="Топ_оборудование" sheetId="3" state="visible" r:id="rId3"/>
    <sheet xmlns:r="http://schemas.openxmlformats.org/officeDocument/2006/relationships" name="КИПиА" sheetId="4" state="visible" r:id="rId4"/>
    <sheet xmlns:r="http://schemas.openxmlformats.org/officeDocument/2006/relationships" name="Клапаны" sheetId="5" state="visible" r:id="rId5"/>
    <sheet xmlns:r="http://schemas.openxmlformats.org/officeDocument/2006/relationships" name="Электромонтаж" sheetId="6" state="visible" r:id="rId6"/>
    <sheet xmlns:r="http://schemas.openxmlformats.org/officeDocument/2006/relationships" name="CAPEX_2024" sheetId="7" state="visible" r:id="rId7"/>
    <sheet xmlns:r="http://schemas.openxmlformats.org/officeDocument/2006/relationships" name="Сравнение_2024_202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#,##0&quot; €&quot;"/>
    <numFmt numFmtId="166" formatCode="+0%;-0%"/>
  </numFmts>
  <fonts count="10">
    <font>
      <name val="Calibri"/>
      <family val="2"/>
      <color theme="1"/>
      <sz val="11"/>
      <scheme val="minor"/>
    </font>
    <font>
      <name val="Cambria"/>
      <b val="1"/>
      <color rgb="002C5F2D"/>
      <sz val="14"/>
    </font>
    <font>
      <name val="Calibri"/>
      <i val="1"/>
      <color rgb="005B6B5C"/>
      <sz val="10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  <font>
      <name val="Cambria"/>
      <b val="1"/>
      <color rgb="002C5F2D"/>
      <sz val="13"/>
    </font>
    <font>
      <name val="Cambria"/>
      <b val="1"/>
      <color rgb="00B57B00"/>
      <sz val="13"/>
    </font>
    <font>
      <name val="Calibri"/>
      <i val="1"/>
      <color rgb="00B57B00"/>
      <sz val="10"/>
    </font>
    <font>
      <name val="Calibri"/>
      <b val="1"/>
      <color rgb="00B57B00"/>
      <sz val="11"/>
    </font>
  </fonts>
  <fills count="6">
    <fill>
      <patternFill/>
    </fill>
    <fill>
      <patternFill patternType="gray125"/>
    </fill>
    <fill>
      <patternFill patternType="solid">
        <fgColor rgb="002C5F2D"/>
      </patternFill>
    </fill>
    <fill>
      <patternFill patternType="solid">
        <fgColor rgb="00FBF1DD"/>
      </patternFill>
    </fill>
    <fill>
      <patternFill patternType="solid">
        <fgColor rgb="00C9DDB0"/>
      </patternFill>
    </fill>
    <fill>
      <patternFill patternType="solid">
        <fgColor rgb="00EEF3E6"/>
      </patternFill>
    </fill>
  </fills>
  <borders count="2">
    <border>
      <left/>
      <right/>
      <top/>
      <bottom/>
      <diagonal/>
    </border>
    <border>
      <left style="thin">
        <color rgb="00D3DBC7"/>
      </left>
      <right style="thin">
        <color rgb="00D3DBC7"/>
      </right>
      <top style="thin">
        <color rgb="00D3DBC7"/>
      </top>
      <bottom style="thin">
        <color rgb="00D3DBC7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2" fontId="5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164" fontId="5" fillId="5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right" vertical="center"/>
    </xf>
    <xf numFmtId="166" fontId="9" fillId="5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0" customWidth="1" min="4" max="4"/>
    <col width="16" customWidth="1" min="5" max="5"/>
  </cols>
  <sheetData>
    <row r="1" ht="26" customHeight="1">
      <c r="A1" s="1" t="inlineStr">
        <is>
          <t>KAZBIOFERT — СВОДНЫЙ БЮДЖЕТ ОБОРУДОВАНИЯ (Sairam Biogas &amp; Fertilizers Factory)</t>
        </is>
      </c>
    </row>
    <row r="2">
      <c r="A2" s="2" t="inlineStr">
        <is>
          <t>Для подачи в ФРП, БРК и БВУ · сметы от 31.07.2026 · поставщик Altaca (Турция) · цены net, без НДС, ex-works</t>
        </is>
      </c>
    </row>
    <row r="4">
      <c r="A4" s="3" t="inlineStr">
        <is>
          <t>Раздел</t>
        </is>
      </c>
      <c r="B4" s="3" t="inlineStr">
        <is>
          <t>Позиций</t>
        </is>
      </c>
      <c r="C4" s="3" t="inlineStr">
        <is>
          <t>Сумма (смета)</t>
        </is>
      </c>
      <c r="D4" s="3" t="inlineStr">
        <is>
          <t>Валюта</t>
        </is>
      </c>
      <c r="E4" s="3" t="inlineStr">
        <is>
          <t>≈ USD</t>
        </is>
      </c>
    </row>
    <row r="5">
      <c r="A5" s="4" t="inlineStr">
        <is>
          <t>Технологическое оборудование</t>
        </is>
      </c>
      <c r="B5" s="5" t="n">
        <v>453</v>
      </c>
      <c r="C5" s="5" t="n">
        <v>12160982</v>
      </c>
      <c r="D5" s="6" t="inlineStr">
        <is>
          <t>USD</t>
        </is>
      </c>
      <c r="E5" s="7">
        <f>C5</f>
        <v/>
      </c>
    </row>
    <row r="6">
      <c r="A6" s="4" t="inlineStr">
        <is>
          <t>КИПиА (приборы)</t>
        </is>
      </c>
      <c r="B6" s="5" t="n">
        <v>509</v>
      </c>
      <c r="C6" s="5" t="n">
        <v>520097</v>
      </c>
      <c r="D6" s="6" t="inlineStr">
        <is>
          <t>EUR</t>
        </is>
      </c>
      <c r="E6" s="7">
        <f>C6*B14</f>
        <v/>
      </c>
    </row>
    <row r="7">
      <c r="A7" s="4" t="inlineStr">
        <is>
          <t>Клапаны и арматура</t>
        </is>
      </c>
      <c r="B7" s="5" t="n">
        <v>1700</v>
      </c>
      <c r="C7" s="5" t="n">
        <v>287133</v>
      </c>
      <c r="D7" s="6" t="inlineStr">
        <is>
          <t>EUR</t>
        </is>
      </c>
      <c r="E7" s="7">
        <f>C7*B14</f>
        <v/>
      </c>
    </row>
    <row r="8">
      <c r="A8" s="8" t="inlineStr">
        <is>
          <t>Электромонтажные работы (BOQ)</t>
        </is>
      </c>
      <c r="B8" s="9" t="n">
        <v>409</v>
      </c>
      <c r="C8" s="10" t="inlineStr">
        <is>
          <t>не расценён</t>
        </is>
      </c>
      <c r="D8" s="11" t="inlineStr">
        <is>
          <t>—</t>
        </is>
      </c>
      <c r="E8" s="10" t="inlineStr">
        <is>
          <t>—</t>
        </is>
      </c>
    </row>
    <row r="9">
      <c r="A9" s="12" t="inlineStr">
        <is>
          <t>ИТОГО ОЦЕНЁННАЯ ПОСТАВКА</t>
        </is>
      </c>
      <c r="B9" s="13" t="n">
        <v>2662</v>
      </c>
      <c r="C9" s="14" t="inlineStr">
        <is>
          <t>—</t>
        </is>
      </c>
      <c r="D9" s="15" t="inlineStr"/>
      <c r="E9" s="16">
        <f>SUM(E5:E7)</f>
        <v/>
      </c>
    </row>
    <row r="11">
      <c r="A11" s="2" t="inlineStr">
        <is>
          <t>Пересчёт EUR→USD по курсу 1 EUR = 1,08 USD (иллюстративно, требует актуализации). Электромонтаж не расценён и НЕ входит в итог.</t>
        </is>
      </c>
    </row>
    <row r="12">
      <c r="A12" s="2" t="inlineStr">
        <is>
          <t>НЕ входит в сумму: электромонтаж, СМР/строительство, монтаж и ПНР, логистика и таможня, НДС, инжиниринг, земля, резерв. Это поставка ex-works, а не полный CAPEX.</t>
        </is>
      </c>
    </row>
    <row r="14">
      <c r="A14" s="17" t="inlineStr">
        <is>
          <t>Курс EUR/USD</t>
        </is>
      </c>
      <c r="B14" s="18" t="n">
        <v>1.08</v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1" customWidth="1" min="3" max="3"/>
    <col width="16" customWidth="1" min="4" max="4"/>
  </cols>
  <sheetData>
    <row r="1">
      <c r="A1" s="19" t="inlineStr">
        <is>
          <t>Оборудование по технологическим секциям (PFD)</t>
        </is>
      </c>
    </row>
    <row r="3">
      <c r="A3" s="3" t="inlineStr">
        <is>
          <t>Секция (PFD)</t>
        </is>
      </c>
      <c r="B3" s="3" t="inlineStr">
        <is>
          <t>Наименование</t>
        </is>
      </c>
      <c r="C3" s="3" t="inlineStr">
        <is>
          <t>Позиций</t>
        </is>
      </c>
      <c r="D3" s="3" t="inlineStr">
        <is>
          <t>USD</t>
        </is>
      </c>
    </row>
    <row r="4">
      <c r="A4" s="20" t="inlineStr">
        <is>
          <t>PFD-200</t>
        </is>
      </c>
      <c r="B4" s="21" t="inlineStr">
        <is>
          <t>Реакторный узел (биогаз)</t>
        </is>
      </c>
      <c r="C4" s="22" t="n">
        <v>80</v>
      </c>
      <c r="D4" s="23" t="n">
        <v>3149765</v>
      </c>
    </row>
    <row r="5">
      <c r="A5" s="6" t="inlineStr">
        <is>
          <t>PFD-400</t>
        </is>
      </c>
      <c r="B5" s="4" t="inlineStr">
        <is>
          <t>Когенерация / энергоблок</t>
        </is>
      </c>
      <c r="C5" s="5" t="n">
        <v>48</v>
      </c>
      <c r="D5" s="7" t="n">
        <v>2781265</v>
      </c>
    </row>
    <row r="6">
      <c r="A6" s="20" t="inlineStr">
        <is>
          <t>PFD-500</t>
        </is>
      </c>
      <c r="B6" s="21" t="inlineStr">
        <is>
          <t>Утилизация тепла / теплообмен</t>
        </is>
      </c>
      <c r="C6" s="22" t="n">
        <v>48</v>
      </c>
      <c r="D6" s="23" t="n">
        <v>2686647</v>
      </c>
    </row>
    <row r="7">
      <c r="A7" s="6" t="inlineStr">
        <is>
          <t>PFD-800</t>
        </is>
      </c>
      <c r="B7" s="4" t="inlineStr">
        <is>
          <t>Производство удобрений</t>
        </is>
      </c>
      <c r="C7" s="5" t="n">
        <v>139</v>
      </c>
      <c r="D7" s="7" t="n">
        <v>1374363</v>
      </c>
    </row>
    <row r="8">
      <c r="A8" s="20" t="inlineStr">
        <is>
          <t>PFD-300</t>
        </is>
      </c>
      <c r="B8" s="21" t="inlineStr">
        <is>
          <t>Обработка биогаза</t>
        </is>
      </c>
      <c r="C8" s="22" t="n">
        <v>34</v>
      </c>
      <c r="D8" s="23" t="n">
        <v>606102</v>
      </c>
    </row>
    <row r="9">
      <c r="A9" s="6" t="inlineStr">
        <is>
          <t>PFD-100</t>
        </is>
      </c>
      <c r="B9" s="4" t="inlineStr">
        <is>
          <t>Подготовка сырья</t>
        </is>
      </c>
      <c r="C9" s="5" t="n">
        <v>32</v>
      </c>
      <c r="D9" s="7" t="n">
        <v>530135</v>
      </c>
    </row>
    <row r="10">
      <c r="A10" s="20" t="inlineStr">
        <is>
          <t>PFD-1000</t>
        </is>
      </c>
      <c r="B10" s="21" t="inlineStr">
        <is>
          <t>Вспомогательные системы</t>
        </is>
      </c>
      <c r="C10" s="22" t="n">
        <v>20</v>
      </c>
      <c r="D10" s="23" t="n">
        <v>270817</v>
      </c>
    </row>
    <row r="11">
      <c r="A11" s="6" t="inlineStr">
        <is>
          <t>PFD-1100</t>
        </is>
      </c>
      <c r="B11" s="4" t="inlineStr">
        <is>
          <t>Водоросли / водоочистка</t>
        </is>
      </c>
      <c r="C11" s="5" t="n">
        <v>38</v>
      </c>
      <c r="D11" s="7" t="n">
        <v>239100</v>
      </c>
    </row>
    <row r="12">
      <c r="A12" s="20" t="inlineStr">
        <is>
          <t>PFD-700</t>
        </is>
      </c>
      <c r="B12" s="21" t="inlineStr">
        <is>
          <t>Обработка дигестата</t>
        </is>
      </c>
      <c r="C12" s="22" t="n">
        <v>10</v>
      </c>
      <c r="D12" s="23" t="n">
        <v>230120</v>
      </c>
    </row>
    <row r="13">
      <c r="A13" s="6" t="inlineStr">
        <is>
          <t>—</t>
        </is>
      </c>
      <c r="B13" s="4" t="inlineStr">
        <is>
          <t>Прочее (дизель-ген. и др.)</t>
        </is>
      </c>
      <c r="C13" s="5" t="n">
        <v>4</v>
      </c>
      <c r="D13" s="7" t="n">
        <v>292669</v>
      </c>
    </row>
    <row r="14">
      <c r="A14" s="20" t="inlineStr">
        <is>
          <t>PFD-600</t>
        </is>
      </c>
      <c r="B14" s="21" t="inlineStr">
        <is>
          <t>Вспомогательное</t>
        </is>
      </c>
      <c r="C14" s="22" t="n">
        <v>2</v>
      </c>
      <c r="D14" s="23" t="n">
        <v>4815</v>
      </c>
    </row>
    <row r="15">
      <c r="A15" s="15" t="inlineStr">
        <is>
          <t>ИТОГО</t>
        </is>
      </c>
      <c r="B15" s="12" t="inlineStr">
        <is>
          <t>Технологическое оборудование</t>
        </is>
      </c>
      <c r="C15" s="13">
        <f>SUM(C4:C14)</f>
        <v/>
      </c>
      <c r="D15" s="16">
        <f>SUM(D4:D14)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</cols>
  <sheetData>
    <row r="1">
      <c r="A1" s="19" t="inlineStr">
        <is>
          <t>Топ-12 позиций оборудования по стоимости</t>
        </is>
      </c>
    </row>
    <row r="3">
      <c r="A3" s="3" t="inlineStr">
        <is>
          <t>Код</t>
        </is>
      </c>
      <c r="B3" s="3" t="inlineStr">
        <is>
          <t>Наименование</t>
        </is>
      </c>
      <c r="C3" s="3" t="inlineStr">
        <is>
          <t>USD</t>
        </is>
      </c>
    </row>
    <row r="4">
      <c r="A4" s="20" t="inlineStr">
        <is>
          <t>HE-504</t>
        </is>
      </c>
      <c r="B4" s="21" t="inlineStr">
        <is>
          <t>Теплообменник (Heat Exchanger)</t>
        </is>
      </c>
      <c r="C4" s="23" t="n">
        <v>904512</v>
      </c>
    </row>
    <row r="5">
      <c r="A5" s="6" t="inlineStr">
        <is>
          <t>BE-401</t>
        </is>
      </c>
      <c r="B5" s="4" t="inlineStr">
        <is>
          <t>Биогазовый двигатель</t>
        </is>
      </c>
      <c r="C5" s="7" t="n">
        <v>638643</v>
      </c>
    </row>
    <row r="6">
      <c r="A6" s="20" t="inlineStr">
        <is>
          <t>BE-402</t>
        </is>
      </c>
      <c r="B6" s="21" t="inlineStr">
        <is>
          <t>Биогазовый двигатель</t>
        </is>
      </c>
      <c r="C6" s="23" t="n">
        <v>638643</v>
      </c>
    </row>
    <row r="7">
      <c r="A7" s="6" t="inlineStr">
        <is>
          <t>BE-403</t>
        </is>
      </c>
      <c r="B7" s="4" t="inlineStr">
        <is>
          <t>Биогазовый двигатель</t>
        </is>
      </c>
      <c r="C7" s="7" t="n">
        <v>638643</v>
      </c>
    </row>
    <row r="8">
      <c r="A8" s="20" t="inlineStr">
        <is>
          <t>BE-404</t>
        </is>
      </c>
      <c r="B8" s="21" t="inlineStr">
        <is>
          <t>Биогазовый двигатель</t>
        </is>
      </c>
      <c r="C8" s="23" t="n">
        <v>638643</v>
      </c>
    </row>
    <row r="9">
      <c r="A9" s="6" t="inlineStr">
        <is>
          <t>HE-502</t>
        </is>
      </c>
      <c r="B9" s="4" t="inlineStr">
        <is>
          <t>Теплообменник (Heat Exchanger)</t>
        </is>
      </c>
      <c r="C9" s="7" t="n">
        <v>499748</v>
      </c>
    </row>
    <row r="10">
      <c r="A10" s="20" t="inlineStr">
        <is>
          <t>R-201</t>
        </is>
      </c>
      <c r="B10" s="21" t="inlineStr">
        <is>
          <t>Реактор 11 050 м³ (стеклокомпозит)</t>
        </is>
      </c>
      <c r="C10" s="23" t="n">
        <v>357647</v>
      </c>
    </row>
    <row r="11">
      <c r="A11" s="6" t="inlineStr">
        <is>
          <t>R-202</t>
        </is>
      </c>
      <c r="B11" s="4" t="inlineStr">
        <is>
          <t>Реактор 11 050 м³ (стеклокомпозит)</t>
        </is>
      </c>
      <c r="C11" s="7" t="n">
        <v>357647</v>
      </c>
    </row>
    <row r="12">
      <c r="A12" s="20" t="inlineStr">
        <is>
          <t>R-203</t>
        </is>
      </c>
      <c r="B12" s="21" t="inlineStr">
        <is>
          <t>Реактор 11 050 м³ (стеклокомпозит)</t>
        </is>
      </c>
      <c r="C12" s="23" t="n">
        <v>357647</v>
      </c>
    </row>
    <row r="13">
      <c r="A13" s="6" t="inlineStr">
        <is>
          <t>R-204</t>
        </is>
      </c>
      <c r="B13" s="4" t="inlineStr">
        <is>
          <t>Реактор 11 050 м³ (стеклокомпозит)</t>
        </is>
      </c>
      <c r="C13" s="7" t="n">
        <v>357647</v>
      </c>
    </row>
    <row r="14">
      <c r="A14" s="20" t="inlineStr">
        <is>
          <t>R-205</t>
        </is>
      </c>
      <c r="B14" s="21" t="inlineStr">
        <is>
          <t>Реактор 11 050 м³ (стеклокомпозит)</t>
        </is>
      </c>
      <c r="C14" s="23" t="n">
        <v>357647</v>
      </c>
    </row>
    <row r="15">
      <c r="A15" s="6" t="inlineStr">
        <is>
          <t>HE-803</t>
        </is>
      </c>
      <c r="B15" s="4" t="inlineStr">
        <is>
          <t>Теплообменник (Heat Exchanger)</t>
        </is>
      </c>
      <c r="C15" s="7" t="n">
        <v>258156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</cols>
  <sheetData>
    <row r="1">
      <c r="A1" s="19" t="inlineStr">
        <is>
          <t>КИПиА (приборы) — детализация</t>
        </is>
      </c>
    </row>
    <row r="3">
      <c r="A3" s="3" t="inlineStr">
        <is>
          <t>Категория</t>
        </is>
      </c>
      <c r="B3" s="3" t="inlineStr">
        <is>
          <t>Позиций</t>
        </is>
      </c>
      <c r="C3" s="3" t="inlineStr">
        <is>
          <t>Сумма, €</t>
        </is>
      </c>
    </row>
    <row r="4">
      <c r="A4" s="21" t="inlineStr">
        <is>
          <t>Transmitters (датчики, расходомеры)</t>
        </is>
      </c>
      <c r="B4" s="22" t="n">
        <v>301</v>
      </c>
      <c r="C4" s="24" t="n">
        <v>426643</v>
      </c>
    </row>
    <row r="5">
      <c r="A5" s="4" t="inlineStr">
        <is>
          <t>Indicators (индик. давл./темп.)</t>
        </is>
      </c>
      <c r="B5" s="5" t="n">
        <v>208</v>
      </c>
      <c r="C5" s="25" t="n">
        <v>93454</v>
      </c>
    </row>
    <row r="6">
      <c r="A6" s="21" t="inlineStr">
        <is>
          <t>To be supplied by manufacturer</t>
        </is>
      </c>
      <c r="B6" s="22" t="n">
        <v>94</v>
      </c>
      <c r="C6" s="26" t="inlineStr">
        <is>
          <t>поставка изготовителем</t>
        </is>
      </c>
    </row>
    <row r="7">
      <c r="A7" s="12" t="inlineStr">
        <is>
          <t>ИТОГО КИПиА</t>
        </is>
      </c>
      <c r="B7" s="14" t="inlineStr">
        <is>
          <t>509 (+94)</t>
        </is>
      </c>
      <c r="C7" s="27" t="n">
        <v>520097</v>
      </c>
    </row>
    <row r="9">
      <c r="A9" s="2" t="inlineStr">
        <is>
          <t>Валюта в исходном файле не указана — принята как EUR (тот же пакет и дата поставщика). Требует подтверждения.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6" customWidth="1" min="2" max="2"/>
  </cols>
  <sheetData>
    <row r="1">
      <c r="A1" s="19" t="inlineStr">
        <is>
          <t>Клапаны и арматура</t>
        </is>
      </c>
    </row>
    <row r="3">
      <c r="A3" s="3" t="inlineStr">
        <is>
          <t>Показатель</t>
        </is>
      </c>
      <c r="B3" s="3" t="inlineStr">
        <is>
          <t>Значение</t>
        </is>
      </c>
    </row>
    <row r="4">
      <c r="A4" s="21" t="inlineStr">
        <is>
          <t>Итог по предложению (Muhtelif Vanalar)</t>
        </is>
      </c>
      <c r="B4" s="21" t="inlineStr">
        <is>
          <t>€287 133</t>
        </is>
      </c>
    </row>
    <row r="5">
      <c r="A5" s="4" t="inlineStr">
        <is>
          <t>Строк в детализации</t>
        </is>
      </c>
      <c r="B5" s="4" t="inlineStr">
        <is>
          <t>~1 694 (с альтернативами)</t>
        </is>
      </c>
    </row>
    <row r="6">
      <c r="A6" s="21" t="inlineStr">
        <is>
          <t>Поставщик</t>
        </is>
      </c>
      <c r="B6" s="21" t="inlineStr">
        <is>
          <t>Proval / Doruk Endüstri (Турция)</t>
        </is>
      </c>
    </row>
    <row r="7">
      <c r="A7" s="4" t="inlineStr">
        <is>
          <t>Условия</t>
        </is>
      </c>
      <c r="B7" s="4" t="inlineStr">
        <is>
          <t>net, без НДС, франко-завод</t>
        </is>
      </c>
    </row>
    <row r="8">
      <c r="A8" s="21" t="inlineStr">
        <is>
          <t>Срок поставки</t>
        </is>
      </c>
      <c r="B8" s="21" t="inlineStr">
        <is>
          <t>6–16 недель, партиями</t>
        </is>
      </c>
    </row>
    <row r="9">
      <c r="A9" s="4" t="inlineStr">
        <is>
          <t>Срок действия предложения</t>
        </is>
      </c>
      <c r="B9" s="4" t="inlineStr">
        <is>
          <t>1 месяц (истёк — актуализировать)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1" customWidth="1" min="3" max="3"/>
    <col width="14" customWidth="1" min="4" max="4"/>
  </cols>
  <sheetData>
    <row r="1">
      <c r="A1" s="28" t="inlineStr">
        <is>
          <t>Электромонтажные работы (BOQ) — НЕ РАСЦЕНЁН</t>
        </is>
      </c>
    </row>
    <row r="3">
      <c r="A3" s="3" t="inlineStr">
        <is>
          <t>Фаза</t>
        </is>
      </c>
      <c r="B3" s="3" t="inlineStr">
        <is>
          <t>Описание</t>
        </is>
      </c>
      <c r="C3" s="3" t="inlineStr">
        <is>
          <t>Позиций</t>
        </is>
      </c>
      <c r="D3" s="3" t="inlineStr">
        <is>
          <t>Цена</t>
        </is>
      </c>
    </row>
    <row r="4">
      <c r="A4" s="11" t="inlineStr">
        <is>
          <t>PHASE-1</t>
        </is>
      </c>
      <c r="B4" s="8" t="inlineStr">
        <is>
          <t>Низковольтная система питания (LV)</t>
        </is>
      </c>
      <c r="C4" s="10" t="inlineStr">
        <is>
          <t>~98</t>
        </is>
      </c>
      <c r="D4" s="10" t="inlineStr">
        <is>
          <t>0</t>
        </is>
      </c>
    </row>
    <row r="5">
      <c r="A5" s="11" t="inlineStr">
        <is>
          <t>PHASE-2</t>
        </is>
      </c>
      <c r="B5" s="8" t="inlineStr">
        <is>
          <t>КИПиА и автоматизация / SCADA</t>
        </is>
      </c>
      <c r="C5" s="10" t="inlineStr">
        <is>
          <t>~60</t>
        </is>
      </c>
      <c r="D5" s="10" t="inlineStr">
        <is>
          <t>0</t>
        </is>
      </c>
    </row>
    <row r="6">
      <c r="A6" s="11" t="inlineStr">
        <is>
          <t>PHASE-3</t>
        </is>
      </c>
      <c r="B6" s="8" t="inlineStr">
        <is>
          <t>Высоковольтная система и генератор</t>
        </is>
      </c>
      <c r="C6" s="10" t="inlineStr">
        <is>
          <t>~28</t>
        </is>
      </c>
      <c r="D6" s="10" t="inlineStr">
        <is>
          <t>0</t>
        </is>
      </c>
    </row>
    <row r="7">
      <c r="A7" s="11" t="inlineStr">
        <is>
          <t>PHASE-4</t>
        </is>
      </c>
      <c r="B7" s="8" t="inlineStr">
        <is>
          <t>LV-распределение, освещение, ELV</t>
        </is>
      </c>
      <c r="C7" s="10" t="inlineStr">
        <is>
          <t>~115</t>
        </is>
      </c>
      <c r="D7" s="10" t="inlineStr">
        <is>
          <t>0</t>
        </is>
      </c>
    </row>
    <row r="8">
      <c r="A8" s="11" t="inlineStr">
        <is>
          <t>PHASE-5</t>
        </is>
      </c>
      <c r="B8" s="8" t="inlineStr">
        <is>
          <t>Пожарная сигнализация и оповещение</t>
        </is>
      </c>
      <c r="C8" s="10" t="inlineStr">
        <is>
          <t>~50</t>
        </is>
      </c>
      <c r="D8" s="10" t="inlineStr">
        <is>
          <t>0</t>
        </is>
      </c>
    </row>
    <row r="9">
      <c r="A9" s="11" t="inlineStr">
        <is>
          <t>PHASE-6</t>
        </is>
      </c>
      <c r="B9" s="8" t="inlineStr">
        <is>
          <t>Внутр. электросети админ. здания</t>
        </is>
      </c>
      <c r="C9" s="10" t="inlineStr">
        <is>
          <t>~58</t>
        </is>
      </c>
      <c r="D9" s="10" t="inlineStr">
        <is>
          <t>0</t>
        </is>
      </c>
    </row>
    <row r="10">
      <c r="A10" s="15" t="inlineStr">
        <is>
          <t>ИТОГО</t>
        </is>
      </c>
      <c r="B10" s="12" t="inlineStr">
        <is>
          <t>Электромонтажные работы</t>
        </is>
      </c>
      <c r="C10" s="14" t="inlineStr">
        <is>
          <t>~409</t>
        </is>
      </c>
      <c r="D10" s="14" t="inlineStr">
        <is>
          <t>не расценён</t>
        </is>
      </c>
    </row>
    <row r="12">
      <c r="A12" s="29" t="inlineStr">
        <is>
          <t>⚠ Во всём файле цены = 0 (только формулы-шаблоны). Раздел необходимо расценить до подачи заявки.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9" t="inlineStr">
        <is>
          <t>Полный CAPEX по ТЭО (Kusto Chimkent, 23.07.2024) — USD, без НДС</t>
        </is>
      </c>
    </row>
    <row r="2">
      <c r="A2" s="2" t="inlineStr">
        <is>
          <t>Тот же проект (Sairam / Kazbiofert). Файлы 2026 обновляют только оборудование внутри этого CAPEX.</t>
        </is>
      </c>
    </row>
    <row r="4">
      <c r="A4" s="3" t="inlineStr">
        <is>
          <t>Статья</t>
        </is>
      </c>
      <c r="B4" s="3" t="inlineStr">
        <is>
          <t>USD</t>
        </is>
      </c>
    </row>
    <row r="5">
      <c r="A5" s="4" t="inlineStr">
        <is>
          <t>Проектные работы (Design)</t>
        </is>
      </c>
      <c r="B5" s="7" t="n">
        <v>1124000</v>
      </c>
    </row>
    <row r="6">
      <c r="A6" s="4" t="inlineStr">
        <is>
          <t>Биогазовый завод</t>
        </is>
      </c>
      <c r="B6" s="7" t="n">
        <v>15124611.8</v>
      </c>
    </row>
    <row r="7">
      <c r="A7" s="4" t="inlineStr">
        <is>
          <t>Завод твёрдых удобрений</t>
        </is>
      </c>
      <c r="B7" s="7" t="n">
        <v>11821211.71</v>
      </c>
    </row>
    <row r="8">
      <c r="A8" s="4" t="inlineStr">
        <is>
          <t>Preliminaries (мобилизация, персонал, техника)</t>
        </is>
      </c>
      <c r="B8" s="7" t="n">
        <v>2358200</v>
      </c>
    </row>
    <row r="9">
      <c r="A9" s="17" t="inlineStr">
        <is>
          <t>— Подытог (основные разделы)</t>
        </is>
      </c>
      <c r="B9" s="30" t="n">
        <v>30428023.52</v>
      </c>
    </row>
    <row r="10">
      <c r="A10" s="4" t="inlineStr">
        <is>
          <t>Прочие объекты (офис, охрана, общежитие, лагуна, ОСВ, склад, благоустройство)</t>
        </is>
      </c>
      <c r="B10" s="7" t="n">
        <v>6052005.93</v>
      </c>
    </row>
    <row r="11">
      <c r="A11" s="17" t="inlineStr">
        <is>
          <t>— Подытог</t>
        </is>
      </c>
      <c r="B11" s="30" t="n">
        <v>36480029.45</v>
      </c>
    </row>
    <row r="12">
      <c r="A12" s="4" t="inlineStr">
        <is>
          <t>Накладные и прибыль ГенПодрядчика (~11,6%)</t>
        </is>
      </c>
      <c r="B12" s="7" t="n">
        <v>4242723.53</v>
      </c>
    </row>
    <row r="13">
      <c r="A13" s="12" t="inlineStr">
        <is>
          <t>ГРАНД-ИТОГО (без НДС)</t>
        </is>
      </c>
      <c r="B13" s="16" t="n">
        <v>40722752.98</v>
      </c>
    </row>
    <row r="15">
      <c r="A15" s="31" t="inlineStr">
        <is>
          <t>в т.ч. строительная часть (Civil Works)</t>
        </is>
      </c>
      <c r="B15" s="32" t="n">
        <v>16568625.51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9" customWidth="1" min="5" max="5"/>
  </cols>
  <sheetData>
    <row r="1">
      <c r="A1" s="19" t="inlineStr">
        <is>
          <t>Сравнение: ТЭО 2024 → прайсы 2026 (пакет «железа», ≈USD)</t>
        </is>
      </c>
    </row>
    <row r="3">
      <c r="A3" s="3" t="inlineStr">
        <is>
          <t>Пакет</t>
        </is>
      </c>
      <c r="B3" s="3" t="inlineStr">
        <is>
          <t>2024, USD</t>
        </is>
      </c>
      <c r="C3" s="3" t="inlineStr">
        <is>
          <t>2026, ≈USD</t>
        </is>
      </c>
      <c r="D3" s="3" t="inlineStr">
        <is>
          <t>Δ, USD</t>
        </is>
      </c>
      <c r="E3" s="3" t="inlineStr">
        <is>
          <t>Δ, %</t>
        </is>
      </c>
    </row>
    <row r="4">
      <c r="A4" s="21" t="inlineStr">
        <is>
          <t>Технологическое оборудование</t>
        </is>
      </c>
      <c r="B4" s="23" t="n">
        <v>10450000</v>
      </c>
      <c r="C4" s="23" t="n">
        <v>12160982</v>
      </c>
      <c r="D4" s="23">
        <f>C4-B4</f>
        <v/>
      </c>
      <c r="E4" s="33">
        <f>C4/B4-1</f>
        <v/>
      </c>
    </row>
    <row r="5">
      <c r="A5" s="4" t="inlineStr">
        <is>
          <t>Клапаны / арматура</t>
        </is>
      </c>
      <c r="B5" s="7" t="n">
        <v>174120</v>
      </c>
      <c r="C5" s="7" t="n">
        <v>310104</v>
      </c>
      <c r="D5" s="7">
        <f>C5-B5</f>
        <v/>
      </c>
      <c r="E5" s="34">
        <f>C5/B5-1</f>
        <v/>
      </c>
    </row>
    <row r="6">
      <c r="A6" s="21" t="inlineStr">
        <is>
          <t>КИПиА (приборы)</t>
        </is>
      </c>
      <c r="B6" s="23" t="n">
        <v>66342</v>
      </c>
      <c r="C6" s="23" t="n">
        <v>561705</v>
      </c>
      <c r="D6" s="23">
        <f>C6-B6</f>
        <v/>
      </c>
      <c r="E6" s="33">
        <f>C6/B6-1</f>
        <v/>
      </c>
    </row>
    <row r="7">
      <c r="A7" s="4" t="inlineStr">
        <is>
          <t>Трубопроводы, трафо, СН/ВН (нет в 2026)</t>
        </is>
      </c>
      <c r="B7" s="7" t="n">
        <v>1360000</v>
      </c>
      <c r="C7" s="35" t="inlineStr">
        <is>
          <t>—</t>
        </is>
      </c>
      <c r="D7" s="35" t="inlineStr">
        <is>
          <t>—</t>
        </is>
      </c>
      <c r="E7" s="35" t="inlineStr">
        <is>
          <t>—</t>
        </is>
      </c>
    </row>
    <row r="8">
      <c r="A8" s="12" t="inlineStr">
        <is>
          <t>Сравнимый пакет (обор.+клапаны+КИП)</t>
        </is>
      </c>
      <c r="B8" s="16">
        <f>SUM(B4:B6)</f>
        <v/>
      </c>
      <c r="C8" s="16">
        <f>SUM(C4:C6)</f>
        <v/>
      </c>
      <c r="D8" s="16">
        <f>C8-B8</f>
        <v/>
      </c>
      <c r="E8" s="36">
        <f>C8/B8-1</f>
        <v/>
      </c>
    </row>
    <row r="10">
      <c r="A10" s="2" t="inlineStr">
        <is>
          <t>Оборудование +16% — базовая инфляция по «железу».</t>
        </is>
      </c>
    </row>
    <row r="11">
      <c r="A11" s="2" t="inlineStr">
        <is>
          <t>КИПиА выросли кратно — не цена, а резко расширенный объём (509 приборов против укрупнённых категорий 2024).</t>
        </is>
      </c>
    </row>
    <row r="12">
      <c r="A12" s="2" t="inlineStr">
        <is>
          <t>Рекомендация: «CAPEX-2026» = структура ТЭО-2024 + цены 2026 + расценка электрики → итог заметно выше $40,7 млн.</t>
        </is>
      </c>
    </row>
  </sheetData>
  <mergeCells count="3">
    <mergeCell ref="A11:E11"/>
    <mergeCell ref="A10:E10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2026-08-04T11:49:07Z</dcterms:created>
  <dcterms:modified xmlns:dcterms="http://purl.org/dc/terms/" xmlns:xsi="http://www.w3.org/2001/XMLSchema-instance" xsi:type="dcterms:W3CDTF">2026-08-04T11:49:07Z</dcterms:modified>
</cp:coreProperties>
</file>