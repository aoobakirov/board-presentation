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" sheetId="1" state="visible" r:id="rId1"/>
    <sheet name="ОПиУ" sheetId="2" state="visible" r:id="rId2"/>
    <sheet name="ОДДС" sheetId="3" state="visible" r:id="rId3"/>
    <sheet name="Структура затрат" sheetId="4" state="visible" r:id="rId4"/>
    <sheet name="Клиенты" sheetId="5" state="visible" r:id="rId5"/>
    <sheet name="Поставщики" sheetId="6" state="visible" r:id="rId6"/>
    <sheet name="Денежные средства" sheetId="7" state="visible" r:id="rId7"/>
    <sheet name="Реестр операций" sheetId="8" state="visible" r:id="rId8"/>
  </sheets>
  <definedNames>
    <definedName name="_xlnm._FilterDatabase" localSheetId="7" hidden="1">'Реестр операций'!$A$4:$Q$442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—&quot;"/>
    <numFmt numFmtId="165" formatCode="0.0%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9"/>
    </font>
    <font>
      <name val="Arial"/>
      <b val="1"/>
      <color rgb="00FFFFFF"/>
      <sz val="9"/>
    </font>
    <font>
      <name val="Arial"/>
      <b val="1"/>
      <color rgb="0016324F"/>
      <sz val="10.5"/>
    </font>
    <font>
      <name val="Arial"/>
      <b val="1"/>
      <color rgb="0014202B"/>
      <sz val="10"/>
    </font>
    <font>
      <name val="Arial"/>
      <color rgb="007B8794"/>
      <sz val="9"/>
    </font>
    <font>
      <name val="Arial"/>
      <color rgb="0014202B"/>
      <sz val="10"/>
    </font>
    <font>
      <name val="Arial"/>
      <i val="1"/>
      <color rgb="007B8794"/>
      <sz val="8"/>
    </font>
    <font>
      <name val="Arial"/>
      <b val="1"/>
      <color rgb="0016324F"/>
      <sz val="10"/>
    </font>
    <font>
      <name val="Arial"/>
      <b val="1"/>
      <color rgb="007B8794"/>
      <sz val="10"/>
    </font>
    <font>
      <name val="Arial"/>
      <color rgb="0014202B"/>
      <sz val="9.5"/>
    </font>
    <font>
      <name val="Arial"/>
      <b val="1"/>
      <color rgb="00FFFFFF"/>
      <sz val="10.5"/>
    </font>
    <font>
      <name val="Arial"/>
      <b val="1"/>
      <color rgb="00FFFFFF"/>
      <sz val="10"/>
    </font>
    <font>
      <name val="Arial"/>
      <b val="1"/>
      <color rgb="0014202B"/>
      <sz val="9.5"/>
    </font>
    <font>
      <name val="Arial"/>
      <color rgb="0014202B"/>
      <sz val="9"/>
    </font>
    <font>
      <name val="Arial"/>
      <color rgb="0014202B"/>
      <sz val="8.5"/>
    </font>
    <font>
      <name val="Arial"/>
      <color rgb="007B8794"/>
      <sz val="8.5"/>
    </font>
    <font>
      <name val="Arial"/>
      <color rgb="006C5CE7"/>
      <sz val="8.5"/>
    </font>
    <font>
      <name val="Arial"/>
      <b val="1"/>
      <color rgb="0016324F"/>
      <sz val="11"/>
    </font>
    <font>
      <name val="Arial"/>
      <b val="1"/>
      <color rgb="007B8794"/>
      <sz val="8.5"/>
    </font>
    <font>
      <name val="Arial"/>
      <b val="1"/>
      <color rgb="002A78D6"/>
      <sz val="15"/>
    </font>
    <font>
      <name val="Arial"/>
      <color rgb="007B8794"/>
      <sz val="8"/>
    </font>
    <font>
      <name val="Arial"/>
      <b val="1"/>
      <color rgb="001E8449"/>
      <sz val="15"/>
    </font>
    <font>
      <name val="Arial"/>
      <b val="1"/>
      <color rgb="007B8794"/>
      <sz val="15"/>
    </font>
    <font>
      <name val="Arial"/>
      <b val="1"/>
      <color rgb="00C0392B"/>
      <sz val="11"/>
    </font>
  </fonts>
  <fills count="7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1F4E79"/>
      </patternFill>
    </fill>
    <fill>
      <patternFill patternType="solid">
        <fgColor rgb="002A78D6"/>
      </patternFill>
    </fill>
    <fill>
      <patternFill patternType="solid">
        <fgColor rgb="00DCE6F1"/>
      </patternFill>
    </fill>
    <fill>
      <patternFill patternType="solid">
        <fgColor rgb="00F4F7FB"/>
      </patternFill>
    </fill>
  </fills>
  <borders count="1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  <border>
      <top style="medium">
        <color rgb="0016324F"/>
      </top>
      <bottom style="thin">
        <color rgb="00C9D3DF"/>
      </bottom>
    </border>
    <border>
      <top style="thin">
        <color rgb="00C9D3DF"/>
      </top>
      <bottom style="thin">
        <color rgb="00C9D3DF"/>
      </bottom>
    </border>
    <border>
      <left style="thin">
        <color rgb="00C9D3DF"/>
      </left>
      <right style="thin">
        <color rgb="00C9D3DF"/>
      </right>
      <bottom style="thin">
        <color rgb="00C9D3DF"/>
      </bottom>
    </border>
    <border>
      <top style="medium">
        <color rgb="0016324F"/>
      </top>
      <bottom style="medium">
        <color rgb="0016324F"/>
      </bottom>
    </border>
    <border>
      <left style="thin">
        <color rgb="00C9D3DF"/>
      </left>
      <top style="thin">
        <color rgb="00C9D3DF"/>
      </top>
    </border>
    <border>
      <right style="thin">
        <color rgb="00C9D3DF"/>
      </right>
      <top style="thin">
        <color rgb="00C9D3DF"/>
      </top>
    </border>
    <border>
      <left style="thin">
        <color rgb="00C9D3DF"/>
      </left>
    </border>
    <border>
      <right style="thin">
        <color rgb="00C9D3DF"/>
      </right>
    </border>
    <border>
      <left style="thin">
        <color rgb="00C9D3DF"/>
      </left>
      <bottom style="thin">
        <color rgb="00C9D3DF"/>
      </bottom>
    </border>
    <border>
      <right style="thin">
        <color rgb="00C9D3DF"/>
      </right>
      <bottom style="thin">
        <color rgb="00C9D3D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19" fillId="0" borderId="0" pivotButton="0" quotePrefix="0" xfId="0"/>
    <xf numFmtId="0" fontId="20" fillId="6" borderId="6" applyAlignment="1" pivotButton="0" quotePrefix="0" xfId="0">
      <alignment horizontal="left"/>
    </xf>
    <xf numFmtId="0" fontId="0" fillId="6" borderId="7" pivotButton="0" quotePrefix="0" xfId="0"/>
    <xf numFmtId="164" fontId="21" fillId="6" borderId="8" applyAlignment="1" pivotButton="0" quotePrefix="0" xfId="0">
      <alignment horizontal="left"/>
    </xf>
    <xf numFmtId="0" fontId="0" fillId="6" borderId="9" pivotButton="0" quotePrefix="0" xfId="0"/>
    <xf numFmtId="164" fontId="23" fillId="6" borderId="8" applyAlignment="1" pivotButton="0" quotePrefix="0" xfId="0">
      <alignment horizontal="left"/>
    </xf>
    <xf numFmtId="0" fontId="22" fillId="6" borderId="10" applyAlignment="1" pivotButton="0" quotePrefix="0" xfId="0">
      <alignment horizontal="left"/>
    </xf>
    <xf numFmtId="0" fontId="0" fillId="6" borderId="11" pivotButton="0" quotePrefix="0" xfId="0"/>
    <xf numFmtId="164" fontId="24" fillId="6" borderId="8" applyAlignment="1" pivotButton="0" quotePrefix="0" xfId="0">
      <alignment horizontal="lef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9" fillId="5" borderId="3" pivotButton="0" quotePrefix="0" xfId="0"/>
    <xf numFmtId="0" fontId="0" fillId="5" borderId="3" pivotButton="0" quotePrefix="0" xfId="0"/>
    <xf numFmtId="164" fontId="5" fillId="5" borderId="3" applyAlignment="1" pivotButton="0" quotePrefix="0" xfId="0">
      <alignment horizontal="right"/>
    </xf>
    <xf numFmtId="0" fontId="25" fillId="0" borderId="0" pivotButton="0" quotePrefix="0" xfId="0"/>
    <xf numFmtId="0" fontId="11" fillId="0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vertical="center" indent="1"/>
    </xf>
    <xf numFmtId="0" fontId="4" fillId="5" borderId="2" applyAlignment="1" pivotButton="0" quotePrefix="0" xfId="0">
      <alignment vertical="center"/>
    </xf>
    <xf numFmtId="0" fontId="0" fillId="5" borderId="2" pivotButton="0" quotePrefix="0" xfId="0"/>
    <xf numFmtId="164" fontId="5" fillId="5" borderId="2" applyAlignment="1" pivotButton="0" quotePrefix="0" xfId="0">
      <alignment horizontal="right"/>
    </xf>
    <xf numFmtId="165" fontId="6" fillId="5" borderId="2" applyAlignment="1" pivotButton="0" quotePrefix="0" xfId="0">
      <alignment horizontal="right"/>
    </xf>
    <xf numFmtId="0" fontId="7" fillId="0" borderId="0" applyAlignment="1" pivotButton="0" quotePrefix="0" xfId="0">
      <alignment vertical="center" indent="2"/>
    </xf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/>
    </xf>
    <xf numFmtId="0" fontId="4" fillId="6" borderId="3" applyAlignment="1" pivotButton="0" quotePrefix="0" xfId="0">
      <alignment vertical="center"/>
    </xf>
    <xf numFmtId="0" fontId="0" fillId="6" borderId="3" pivotButton="0" quotePrefix="0" xfId="0"/>
    <xf numFmtId="0" fontId="9" fillId="5" borderId="2" applyAlignment="1" pivotButton="0" quotePrefix="0" xfId="0">
      <alignment vertical="center"/>
    </xf>
    <xf numFmtId="0" fontId="4" fillId="5" borderId="3" pivotButton="0" quotePrefix="0" xfId="0"/>
    <xf numFmtId="165" fontId="5" fillId="5" borderId="3" applyAlignment="1" pivotButton="0" quotePrefix="0" xfId="0">
      <alignment horizontal="right"/>
    </xf>
    <xf numFmtId="165" fontId="10" fillId="5" borderId="3" applyAlignment="1" pivotButton="0" quotePrefix="0" xfId="0">
      <alignment horizontal="right"/>
    </xf>
    <xf numFmtId="0" fontId="11" fillId="0" borderId="4" applyAlignment="1" pivotButton="0" quotePrefix="0" xfId="0">
      <alignment indent="1"/>
    </xf>
    <xf numFmtId="0" fontId="0" fillId="0" borderId="4" pivotButton="0" quotePrefix="0" xfId="0"/>
    <xf numFmtId="164" fontId="7" fillId="0" borderId="4" applyAlignment="1" pivotButton="0" quotePrefix="0" xfId="0">
      <alignment horizontal="right"/>
    </xf>
    <xf numFmtId="165" fontId="6" fillId="0" borderId="4" applyAlignment="1" pivotButton="0" quotePrefix="0" xfId="0">
      <alignment horizontal="right"/>
    </xf>
    <xf numFmtId="0" fontId="12" fillId="2" borderId="5" pivotButton="0" quotePrefix="0" xfId="0"/>
    <xf numFmtId="0" fontId="0" fillId="2" borderId="5" pivotButton="0" quotePrefix="0" xfId="0"/>
    <xf numFmtId="164" fontId="13" fillId="2" borderId="5" applyAlignment="1" pivotButton="0" quotePrefix="0" xfId="0">
      <alignment horizontal="right"/>
    </xf>
    <xf numFmtId="165" fontId="13" fillId="2" borderId="5" applyAlignment="1" pivotButton="0" quotePrefix="0" xfId="0">
      <alignment horizontal="right"/>
    </xf>
    <xf numFmtId="0" fontId="0" fillId="0" borderId="4" applyAlignment="1" pivotButton="0" quotePrefix="0" xfId="0">
      <alignment horizontal="center" vertical="center" wrapText="1"/>
    </xf>
    <xf numFmtId="0" fontId="11" fillId="0" borderId="4" pivotButton="0" quotePrefix="0" xfId="0"/>
    <xf numFmtId="0" fontId="5" fillId="5" borderId="2" pivotButton="0" quotePrefix="0" xfId="0"/>
    <xf numFmtId="165" fontId="5" fillId="5" borderId="2" applyAlignment="1" pivotButton="0" quotePrefix="0" xfId="0">
      <alignment horizontal="right"/>
    </xf>
    <xf numFmtId="0" fontId="14" fillId="0" borderId="4" pivotButton="0" quotePrefix="0" xfId="0"/>
    <xf numFmtId="0" fontId="15" fillId="0" borderId="4" pivotButton="0" quotePrefix="0" xfId="0"/>
    <xf numFmtId="0" fontId="13" fillId="2" borderId="5" pivotButton="0" quotePrefix="0" xfId="0"/>
    <xf numFmtId="0" fontId="13" fillId="2" borderId="5" applyAlignment="1" pivotButton="0" quotePrefix="0" xfId="0">
      <alignment horizontal="center" vertical="center" wrapText="1"/>
    </xf>
    <xf numFmtId="0" fontId="9" fillId="0" borderId="0" pivotButton="0" quotePrefix="0" xfId="0"/>
    <xf numFmtId="0" fontId="11" fillId="0" borderId="0" pivotButton="0" quotePrefix="0" xfId="0"/>
    <xf numFmtId="0" fontId="16" fillId="0" borderId="4" applyAlignment="1" pivotButton="0" quotePrefix="0" xfId="0">
      <alignment vertical="top"/>
    </xf>
    <xf numFmtId="0" fontId="16" fillId="0" borderId="4" applyAlignment="1" pivotButton="0" quotePrefix="0" xfId="0">
      <alignment vertical="top" wrapText="1"/>
    </xf>
    <xf numFmtId="164" fontId="16" fillId="0" borderId="4" applyAlignment="1" pivotButton="0" quotePrefix="0" xfId="0">
      <alignment vertical="top"/>
    </xf>
    <xf numFmtId="2" fontId="16" fillId="0" borderId="4" applyAlignment="1" pivotButton="0" quotePrefix="0" xfId="0">
      <alignment vertical="top"/>
    </xf>
    <xf numFmtId="0" fontId="17" fillId="0" borderId="4" applyAlignment="1" pivotButton="0" quotePrefix="0" xfId="0">
      <alignment vertical="top"/>
    </xf>
    <xf numFmtId="0" fontId="18" fillId="0" borderId="4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" customWidth="1" min="2" max="2"/>
    <col width="18" customWidth="1" min="3" max="3"/>
    <col width="3" customWidth="1" min="4" max="4"/>
    <col width="18" customWidth="1" min="5" max="5"/>
    <col width="3" customWidth="1" min="6" max="6"/>
    <col width="18" customWidth="1" min="7" max="7"/>
  </cols>
  <sheetData>
    <row r="1" ht="34" customHeight="1">
      <c r="A1" s="1" t="inlineStr">
        <is>
          <t>WAYSTAR GROUP · Управленческая отчётность</t>
        </is>
      </c>
    </row>
    <row r="2" ht="18" customHeight="1">
      <c r="A2" s="2" t="inlineStr">
        <is>
          <t>ТОО «WayStar Group» · БИН 240340014287 · транспортно-экспедиторские услуги (ж/д цистерны и вагоны) · июль 2026 · все суммы в тенге</t>
        </is>
      </c>
    </row>
    <row r="4">
      <c r="A4" s="3" t="inlineStr">
        <is>
          <t>КЛЮЧЕВЫЕ ПОКАЗАТЕЛИ ПЕРИОДА, ₸</t>
        </is>
      </c>
    </row>
    <row r="5">
      <c r="A5" s="4" t="inlineStr">
        <is>
          <t>Операционная выручка</t>
        </is>
      </c>
      <c r="B5" s="5" t="n"/>
      <c r="C5" s="4" t="inlineStr">
        <is>
          <t>Валовая прибыль</t>
        </is>
      </c>
      <c r="D5" s="5" t="n"/>
      <c r="E5" s="4" t="inlineStr">
        <is>
          <t>Операционная прибыль</t>
        </is>
      </c>
      <c r="F5" s="5" t="n"/>
    </row>
    <row r="6" ht="24" customHeight="1">
      <c r="A6" s="6">
        <f>'ОПиУ'!C5</f>
        <v/>
      </c>
      <c r="B6" s="7" t="n"/>
      <c r="C6" s="8">
        <f>'ОПиУ'!C13</f>
        <v/>
      </c>
      <c r="D6" s="7" t="n"/>
      <c r="E6" s="8">
        <f>'ОПиУ'!C26</f>
        <v/>
      </c>
      <c r="F6" s="7" t="n"/>
    </row>
    <row r="7">
      <c r="A7" s="9" t="inlineStr">
        <is>
          <t>выручка за услуги</t>
        </is>
      </c>
      <c r="B7" s="10" t="n"/>
      <c r="C7" s="9" t="inlineStr">
        <is>
          <t>маржа 23.0%</t>
        </is>
      </c>
      <c r="D7" s="10" t="n"/>
      <c r="E7" s="9" t="inlineStr">
        <is>
          <t>рентабельность 14.5%</t>
        </is>
      </c>
      <c r="F7" s="10" t="n"/>
    </row>
    <row r="9">
      <c r="A9" s="4" t="inlineStr">
        <is>
          <t>Операционный ден. поток</t>
        </is>
      </c>
      <c r="B9" s="5" t="n"/>
      <c r="C9" s="4" t="inlineStr">
        <is>
          <t>Чистый результат (кассовый)</t>
        </is>
      </c>
      <c r="D9" s="5" t="n"/>
      <c r="E9" s="4" t="inlineStr">
        <is>
          <t>Валовой оборот (5 счетов)</t>
        </is>
      </c>
      <c r="F9" s="5" t="n"/>
    </row>
    <row r="10" ht="24" customHeight="1">
      <c r="A10" s="6">
        <f>'ОДДС'!C12</f>
        <v/>
      </c>
      <c r="B10" s="7" t="n"/>
      <c r="C10" s="8">
        <f>'ОПиУ'!C33</f>
        <v/>
      </c>
      <c r="D10" s="7" t="n"/>
      <c r="E10" s="11">
        <f>'Денежные средства'!C13</f>
        <v/>
      </c>
      <c r="F10" s="7" t="n"/>
    </row>
    <row r="11">
      <c r="A11" s="9" t="inlineStr">
        <is>
          <t>от операц. деятельности</t>
        </is>
      </c>
      <c r="B11" s="10" t="n"/>
      <c r="C11" s="9" t="inlineStr">
        <is>
          <t>12.0% от выручки</t>
        </is>
      </c>
      <c r="D11" s="10" t="n"/>
      <c r="E11" s="9" t="inlineStr">
        <is>
          <t>438 операций · «шум» ≈79%</t>
        </is>
      </c>
      <c r="F11" s="10" t="n"/>
    </row>
    <row r="13">
      <c r="A13" s="3" t="inlineStr">
        <is>
          <t>ЭКСПРЕСС-P&amp;L, ₸</t>
        </is>
      </c>
    </row>
    <row r="14">
      <c r="A14" s="12" t="inlineStr">
        <is>
          <t>Выручка</t>
        </is>
      </c>
      <c r="C14" s="13">
        <f>'ОПиУ'!C5</f>
        <v/>
      </c>
    </row>
    <row r="15">
      <c r="A15" s="12" t="inlineStr">
        <is>
          <t>(−) Себестоимость</t>
        </is>
      </c>
      <c r="C15" s="13">
        <f>'ОПиУ'!C6</f>
        <v/>
      </c>
    </row>
    <row r="16">
      <c r="A16" s="14" t="inlineStr">
        <is>
          <t>Валовая прибыль</t>
        </is>
      </c>
      <c r="B16" s="15" t="n"/>
      <c r="C16" s="16">
        <f>'ОПиУ'!C13</f>
        <v/>
      </c>
    </row>
    <row r="17">
      <c r="A17" s="12" t="inlineStr">
        <is>
          <t>(−) Операционные расходы (ФОТ, админ, налоги)</t>
        </is>
      </c>
      <c r="C17" s="13">
        <f>'ОПиУ'!C15+'ОПиУ'!C18+'ОПиУ'!C25</f>
        <v/>
      </c>
    </row>
    <row r="18">
      <c r="A18" s="14" t="inlineStr">
        <is>
          <t>Операционная прибыль (EBITDA-прокси)</t>
        </is>
      </c>
      <c r="B18" s="15" t="n"/>
      <c r="C18" s="16">
        <f>'ОПиУ'!C26</f>
        <v/>
      </c>
    </row>
    <row r="19">
      <c r="A19" s="12" t="inlineStr">
        <is>
          <t>(−) Финансовые и прочие (нетто)</t>
        </is>
      </c>
      <c r="C19" s="13">
        <f>'ОПиУ'!C33-'ОПиУ'!C26</f>
        <v/>
      </c>
    </row>
    <row r="20">
      <c r="A20" s="14" t="inlineStr">
        <is>
          <t>Чистый результат периода (кассовый)</t>
        </is>
      </c>
      <c r="B20" s="15" t="n"/>
      <c r="C20" s="16">
        <f>'ОПиУ'!C33</f>
        <v/>
      </c>
    </row>
    <row r="22">
      <c r="A22" s="17" t="inlineStr">
        <is>
          <t>⚠ КЛЮЧЕВЫЕ РИСКИ</t>
        </is>
      </c>
    </row>
    <row r="23" ht="15" customHeight="1">
      <c r="A23" s="18" t="inlineStr">
        <is>
          <t>•  Концентрация клиентов: QAZAQ-ASTYQ ≈ 49% выручки, топ-2 ≈ 70% — потеря клиента критична.</t>
        </is>
      </c>
    </row>
    <row r="24" ht="15" customHeight="1">
      <c r="A24" s="18" t="inlineStr">
        <is>
          <t>•  Нулевой денежный буфер: остатки по всем счетам к концу месяца ≈ 0, подушки ликвидности нет.</t>
        </is>
      </c>
    </row>
    <row r="25" ht="15" customHeight="1">
      <c r="A25" s="18" t="inlineStr">
        <is>
          <t>•  Валютный риск: RUB — только расход; по USD расход превышает приток; выручка в тенге.</t>
        </is>
      </c>
    </row>
    <row r="26" ht="15" customHeight="1">
      <c r="A26" s="18" t="inlineStr">
        <is>
          <t>•  Займы связанным лицам: выдано 48 млн ₸ (Серикбаев А.Д.) при обслуживании кредита Bank RBK.</t>
        </is>
      </c>
    </row>
  </sheetData>
  <mergeCells count="24">
    <mergeCell ref="C6:D6"/>
    <mergeCell ref="A11:B11"/>
    <mergeCell ref="C5:D5"/>
    <mergeCell ref="E5:F5"/>
    <mergeCell ref="A6:B6"/>
    <mergeCell ref="C10:D10"/>
    <mergeCell ref="A7:B7"/>
    <mergeCell ref="E10:F10"/>
    <mergeCell ref="A24:G24"/>
    <mergeCell ref="C9:D9"/>
    <mergeCell ref="E9:F9"/>
    <mergeCell ref="E6:F6"/>
    <mergeCell ref="A1:G1"/>
    <mergeCell ref="C11:D11"/>
    <mergeCell ref="E11:F11"/>
    <mergeCell ref="A5:B5"/>
    <mergeCell ref="A25:G25"/>
    <mergeCell ref="C7:D7"/>
    <mergeCell ref="E7:F7"/>
    <mergeCell ref="A10:B10"/>
    <mergeCell ref="A26:G26"/>
    <mergeCell ref="A2:G2"/>
    <mergeCell ref="A9:B9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8" customWidth="1" min="1" max="1"/>
    <col width="2" customWidth="1" min="2" max="2"/>
    <col width="20" customWidth="1" min="3" max="3"/>
    <col width="12" customWidth="1" min="4" max="4"/>
  </cols>
  <sheetData>
    <row r="1" ht="34" customHeight="1">
      <c r="A1" s="1" t="inlineStr">
        <is>
          <t>Отчёт о прибылях и убытках (ОПиУ)</t>
        </is>
      </c>
    </row>
    <row r="2" ht="18" customHeight="1">
      <c r="A2" s="2" t="inlineStr">
        <is>
          <t>Управленческий P&amp;L · кассовый метод · тенге · ячейки связаны формулами с листом «Реестр операций»</t>
        </is>
      </c>
    </row>
    <row r="4" ht="26" customHeight="1">
      <c r="A4" s="19" t="inlineStr">
        <is>
          <t>Показатель</t>
        </is>
      </c>
      <c r="B4" s="19" t="inlineStr"/>
      <c r="C4" s="19" t="inlineStr">
        <is>
          <t>Сумма, ₸</t>
        </is>
      </c>
      <c r="D4" s="19" t="inlineStr">
        <is>
          <t>% выручки</t>
        </is>
      </c>
    </row>
    <row r="5">
      <c r="A5" s="20" t="inlineStr">
        <is>
          <t>ВЫРУЧКА от услуг (ТЭО, аренда вагонов/цистерн)</t>
        </is>
      </c>
      <c r="C5" s="21">
        <f>SUMIFS('Реестр операций'!$M$5:$M$442,'Реестр операций'!$O$5:$O$442,"Выручка")</f>
        <v/>
      </c>
      <c r="D5" s="22">
        <f>IF($C$5=0,0,C5/$C$5)</f>
        <v/>
      </c>
    </row>
    <row r="6">
      <c r="A6" s="20" t="inlineStr">
        <is>
          <t>СЕБЕСТОИМОСТЬ услуг</t>
        </is>
      </c>
      <c r="C6" s="21">
        <f>-SUMIFS('Реестр операций'!$L$5:$L$442,'Реестр операций'!$O$5:$O$442,"Себестоимость")</f>
        <v/>
      </c>
      <c r="D6" s="22">
        <f>IF($C$5=0,0,C6/$C$5)</f>
        <v/>
      </c>
    </row>
    <row r="7">
      <c r="A7" s="23" t="inlineStr">
        <is>
          <t xml:space="preserve">    Зарубежные перевозчики/экспедиторы</t>
        </is>
      </c>
      <c r="C7" s="13">
        <f>-SUMIFS('Реестр операций'!$L$5:$L$442,'Реестр операций'!$P$5:$P$442,"Зарубежные перевозчики/экспедиторы")</f>
        <v/>
      </c>
      <c r="D7" s="22">
        <f>IF($C$5=0,0,C7/$C$5)</f>
        <v/>
      </c>
    </row>
    <row r="8">
      <c r="A8" s="23" t="inlineStr">
        <is>
          <t xml:space="preserve">    Тариф КТЖ (ж/д перевозки)</t>
        </is>
      </c>
      <c r="C8" s="13">
        <f>-SUMIFS('Реестр операций'!$L$5:$L$442,'Реестр операций'!$P$5:$P$442,"Тариф КТЖ (ж/д перевозки)")</f>
        <v/>
      </c>
      <c r="D8" s="22">
        <f>IF($C$5=0,0,C8/$C$5)</f>
        <v/>
      </c>
    </row>
    <row r="9">
      <c r="A9" s="23" t="inlineStr">
        <is>
          <t xml:space="preserve">    Аренда/предоставление вагонов</t>
        </is>
      </c>
      <c r="C9" s="13">
        <f>-SUMIFS('Реестр операций'!$L$5:$L$442,'Реестр операций'!$P$5:$P$442,"Аренда/предоставление вагонов")</f>
        <v/>
      </c>
      <c r="D9" s="22">
        <f>IF($C$5=0,0,C9/$C$5)</f>
        <v/>
      </c>
    </row>
    <row r="10">
      <c r="A10" s="23" t="inlineStr">
        <is>
          <t xml:space="preserve">    Операторы вагонов (КТТ и др.)</t>
        </is>
      </c>
      <c r="C10" s="13">
        <f>-SUMIFS('Реестр операций'!$L$5:$L$442,'Реестр операций'!$P$5:$P$442,"Операторы вагонов (КТТ и др.)")</f>
        <v/>
      </c>
      <c r="D10" s="22">
        <f>IF($C$5=0,0,C10/$C$5)</f>
        <v/>
      </c>
    </row>
    <row r="11">
      <c r="A11" s="23" t="inlineStr">
        <is>
          <t xml:space="preserve">    Прочие ж/д и ТЭУ услуги</t>
        </is>
      </c>
      <c r="C11" s="13">
        <f>-SUMIFS('Реестр операций'!$L$5:$L$442,'Реестр операций'!$P$5:$P$442,"Прочие ж/д и ТЭУ услуги")</f>
        <v/>
      </c>
      <c r="D11" s="22">
        <f>IF($C$5=0,0,C11/$C$5)</f>
        <v/>
      </c>
    </row>
    <row r="12">
      <c r="A12" s="23" t="inlineStr">
        <is>
          <t xml:space="preserve">    Ремонт вагонов и узлов</t>
        </is>
      </c>
      <c r="C12" s="13">
        <f>-SUMIFS('Реестр операций'!$L$5:$L$442,'Реестр операций'!$P$5:$P$442,"Ремонт вагонов и узлов")</f>
        <v/>
      </c>
      <c r="D12" s="22">
        <f>IF($C$5=0,0,C12/$C$5)</f>
        <v/>
      </c>
    </row>
    <row r="13">
      <c r="A13" s="24" t="inlineStr">
        <is>
          <t>ВАЛОВАЯ ПРИБЫЛЬ</t>
        </is>
      </c>
      <c r="B13" s="25" t="n"/>
      <c r="C13" s="26">
        <f>C5+C6</f>
        <v/>
      </c>
      <c r="D13" s="27">
        <f>IF($C$5=0,0,C13/$C$5)</f>
        <v/>
      </c>
    </row>
    <row r="14">
      <c r="A14" s="20" t="inlineStr">
        <is>
          <t>ОПЕРАЦИОННЫЕ РАСХОДЫ</t>
        </is>
      </c>
    </row>
    <row r="15">
      <c r="A15" s="23" t="inlineStr">
        <is>
          <t xml:space="preserve">    Фонд оплаты труда</t>
        </is>
      </c>
      <c r="C15" s="13">
        <f>-SUMIFS('Реестр операций'!$L$5:$L$442,'Реестр операций'!$O$5:$O$442,"ФОТ")</f>
        <v/>
      </c>
      <c r="D15" s="22">
        <f>IF($C$5=0,0,C15/$C$5)</f>
        <v/>
      </c>
    </row>
    <row r="16">
      <c r="A16" s="28" t="inlineStr">
        <is>
          <t xml:space="preserve">        Зарплата</t>
        </is>
      </c>
      <c r="C16" s="13">
        <f>-SUMIFS('Реестр операций'!$L$5:$L$442,'Реестр операций'!$P$5:$P$442,"Зарплата")</f>
        <v/>
      </c>
      <c r="D16" s="22">
        <f>IF($C$5=0,0,C16/$C$5)</f>
        <v/>
      </c>
    </row>
    <row r="17">
      <c r="A17" s="28" t="inlineStr">
        <is>
          <t xml:space="preserve">        Командировки и подотчёт</t>
        </is>
      </c>
      <c r="C17" s="13">
        <f>-SUMIFS('Реестр операций'!$L$5:$L$442,'Реестр операций'!$P$5:$P$442,"Командировки и подотчёт")</f>
        <v/>
      </c>
      <c r="D17" s="22">
        <f>IF($C$5=0,0,C17/$C$5)</f>
        <v/>
      </c>
    </row>
    <row r="18">
      <c r="A18" s="23" t="inlineStr">
        <is>
          <t xml:space="preserve">    Административные и офисные</t>
        </is>
      </c>
      <c r="C18" s="13">
        <f>-SUMIFS('Реестр операций'!$L$5:$L$442,'Реестр операций'!$O$5:$O$442,"Админ/офис")</f>
        <v/>
      </c>
      <c r="D18" s="22">
        <f>IF($C$5=0,0,C18/$C$5)</f>
        <v/>
      </c>
    </row>
    <row r="19">
      <c r="A19" s="28" t="inlineStr">
        <is>
          <t xml:space="preserve">        Офис, аренда помещений, хоз.</t>
        </is>
      </c>
      <c r="C19" s="13">
        <f>-SUMIFS('Реестр операций'!$L$5:$L$442,'Реестр операций'!$P$5:$P$442,"Офис, аренда помещений, хоз.")</f>
        <v/>
      </c>
      <c r="D19" s="22">
        <f>IF($C$5=0,0,C19/$C$5)</f>
        <v/>
      </c>
    </row>
    <row r="20">
      <c r="A20" s="28" t="inlineStr">
        <is>
          <t xml:space="preserve">        Проф. услуги (бухг./юр./конс.)</t>
        </is>
      </c>
      <c r="C20" s="13">
        <f>-SUMIFS('Реестр операций'!$L$5:$L$442,'Реестр операций'!$P$5:$P$442,"Проф. услуги (бухг./юр./конс.)")</f>
        <v/>
      </c>
      <c r="D20" s="22">
        <f>IF($C$5=0,0,C20/$C$5)</f>
        <v/>
      </c>
    </row>
    <row r="21">
      <c r="A21" s="28" t="inlineStr">
        <is>
          <t xml:space="preserve">        Связь и ИТ</t>
        </is>
      </c>
      <c r="C21" s="13">
        <f>-SUMIFS('Реестр операций'!$L$5:$L$442,'Реестр операций'!$P$5:$P$442,"Связь и ИТ")</f>
        <v/>
      </c>
      <c r="D21" s="22">
        <f>IF($C$5=0,0,C21/$C$5)</f>
        <v/>
      </c>
    </row>
    <row r="22">
      <c r="A22" s="28" t="inlineStr">
        <is>
          <t xml:space="preserve">        Маркетинг и представит.</t>
        </is>
      </c>
      <c r="C22" s="13">
        <f>-SUMIFS('Реестр операций'!$L$5:$L$442,'Реестр операций'!$P$5:$P$442,"Маркетинг и представит.")</f>
        <v/>
      </c>
      <c r="D22" s="22">
        <f>IF($C$5=0,0,C22/$C$5)</f>
        <v/>
      </c>
    </row>
    <row r="23">
      <c r="A23" s="28" t="inlineStr">
        <is>
          <t xml:space="preserve">        Хоз. расходы и материалы</t>
        </is>
      </c>
      <c r="C23" s="13">
        <f>-SUMIFS('Реестр операций'!$L$5:$L$442,'Реестр операций'!$P$5:$P$442,"Хоз. расходы и материалы")</f>
        <v/>
      </c>
      <c r="D23" s="22">
        <f>IF($C$5=0,0,C23/$C$5)</f>
        <v/>
      </c>
    </row>
    <row r="24">
      <c r="A24" s="28" t="inlineStr">
        <is>
          <t xml:space="preserve">        Страхование</t>
        </is>
      </c>
      <c r="C24" s="13">
        <f>-SUMIFS('Реестр операций'!$L$5:$L$442,'Реестр операций'!$P$5:$P$442,"Страхование")</f>
        <v/>
      </c>
      <c r="D24" s="22">
        <f>IF($C$5=0,0,C24/$C$5)</f>
        <v/>
      </c>
    </row>
    <row r="25">
      <c r="A25" s="23" t="inlineStr">
        <is>
          <t xml:space="preserve">    Налоги и отчисления</t>
        </is>
      </c>
      <c r="C25" s="13">
        <f>-SUMIFS('Реестр операций'!$L$5:$L$442,'Реестр операций'!$O$5:$O$442,"Налоги")</f>
        <v/>
      </c>
      <c r="D25" s="22">
        <f>IF($C$5=0,0,C25/$C$5)</f>
        <v/>
      </c>
    </row>
    <row r="26">
      <c r="A26" s="24" t="inlineStr">
        <is>
          <t>ОПЕРАЦИОННАЯ ПРИБЫЛЬ (EBITDA-прокси)</t>
        </is>
      </c>
      <c r="B26" s="25" t="n"/>
      <c r="C26" s="26">
        <f>C13+C15+C18+C25</f>
        <v/>
      </c>
      <c r="D26" s="27">
        <f>IF($C$5=0,0,C26/$C$5)</f>
        <v/>
      </c>
    </row>
    <row r="27">
      <c r="A27" s="20" t="inlineStr">
        <is>
          <t>ФИНАНСОВЫЕ РАСХОДЫ</t>
        </is>
      </c>
    </row>
    <row r="28">
      <c r="A28" s="23" t="inlineStr">
        <is>
          <t xml:space="preserve">    Проценты по кредиту</t>
        </is>
      </c>
      <c r="C28" s="13">
        <f>-SUMIFS('Реестр операций'!$L$5:$L$442,'Реестр операций'!$P$5:$P$442,"Проценты по кредиту")</f>
        <v/>
      </c>
      <c r="D28" s="22">
        <f>IF($C$5=0,0,C28/$C$5)</f>
        <v/>
      </c>
    </row>
    <row r="29">
      <c r="A29" s="23" t="inlineStr">
        <is>
          <t xml:space="preserve">    Финансовый лизинг</t>
        </is>
      </c>
      <c r="C29" s="13">
        <f>-SUMIFS('Реестр операций'!$L$5:$L$442,'Реестр операций'!$P$5:$P$442,"Финансовый лизинг")</f>
        <v/>
      </c>
      <c r="D29" s="22">
        <f>IF($C$5=0,0,C29/$C$5)</f>
        <v/>
      </c>
    </row>
    <row r="30">
      <c r="A30" s="23" t="inlineStr">
        <is>
          <t xml:space="preserve">    Банковские комиссии</t>
        </is>
      </c>
      <c r="C30" s="13">
        <f>-SUMIFS('Реестр операций'!$L$5:$L$442,'Реестр операций'!$P$5:$P$442,"Банковские комиссии")</f>
        <v/>
      </c>
      <c r="D30" s="22">
        <f>IF($C$5=0,0,C30/$C$5)</f>
        <v/>
      </c>
    </row>
    <row r="31">
      <c r="A31" s="23" t="inlineStr">
        <is>
          <t xml:space="preserve">    Проценты по депозиту (доход)</t>
        </is>
      </c>
      <c r="C31" s="13">
        <f>SUMIFS('Реестр операций'!$M$5:$M$442,'Реестр операций'!$P$5:$P$442,"Проценты по депозиту")</f>
        <v/>
      </c>
      <c r="D31" s="22">
        <f>IF($C$5=0,0,C31/$C$5)</f>
        <v/>
      </c>
    </row>
    <row r="32">
      <c r="A32" s="20" t="inlineStr">
        <is>
          <t>ПРОЧИЕ / РАЗОВЫЕ (возвраты авансов, спонсорство)</t>
        </is>
      </c>
      <c r="C32" s="21">
        <f>-(SUMIFS('Реестр операций'!$L$5:$L$442,'Реестр операций'!$O$5:$O$442,"Прочее")-SUMIFS('Реестр операций'!$M$5:$M$442,'Реестр операций'!$O$5:$O$442,"Прочее"))</f>
        <v/>
      </c>
      <c r="D32" s="22">
        <f>IF($C$5=0,0,C32/$C$5)</f>
        <v/>
      </c>
    </row>
    <row r="33">
      <c r="A33" s="24" t="inlineStr">
        <is>
          <t>ЧИСТЫЙ РЕЗУЛЬТАТ ПЕРИОДА (кассовый)</t>
        </is>
      </c>
      <c r="B33" s="25" t="n"/>
      <c r="C33" s="26">
        <f>C26+C28+C29+C30+C31+C32</f>
        <v/>
      </c>
      <c r="D33" s="27">
        <f>IF($C$5=0,0,C33/$C$5)</f>
        <v/>
      </c>
    </row>
    <row r="35" ht="44" customHeight="1">
      <c r="A35" s="29" t="inlineStr">
        <is>
          <t>Кассовый метод по банковским выпискам. Тело кредита (66,7 млн ₸) и выданные займы (48,1 млн ₸) — движение денег, отражены в ОДДС, а не в ОПиУ; в прибыли учтены только проценты по кредиту. Не учитывает амортизацию, начисления и незакрытые взаиморасчёты. Все суммы — формулы SUMIFS по листу «Реестр операций».</t>
        </is>
      </c>
    </row>
    <row r="36"/>
    <row r="37"/>
  </sheetData>
  <mergeCells count="3">
    <mergeCell ref="A1:D1"/>
    <mergeCell ref="A35:D37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6" customWidth="1" min="1" max="1"/>
    <col width="2" customWidth="1" min="2" max="2"/>
    <col width="20" customWidth="1" min="3" max="3"/>
  </cols>
  <sheetData>
    <row r="1" ht="34" customHeight="1">
      <c r="A1" s="1" t="inlineStr">
        <is>
          <t>Отчёт о движении денежных средств (ОДДС)</t>
        </is>
      </c>
    </row>
    <row r="2" ht="18" customHeight="1">
      <c r="A2" s="2" t="inlineStr">
        <is>
          <t>Прямой метод · тенге · ячейки связаны с реестром · сверка остатка</t>
        </is>
      </c>
    </row>
    <row r="4" ht="26" customHeight="1">
      <c r="A4" s="19" t="inlineStr">
        <is>
          <t>Статья движения денежных средств</t>
        </is>
      </c>
      <c r="B4" s="19" t="inlineStr"/>
      <c r="C4" s="19" t="inlineStr">
        <is>
          <t>Сумма, ₸</t>
        </is>
      </c>
    </row>
    <row r="5">
      <c r="A5" s="30" t="inlineStr">
        <is>
          <t>Остаток денежных средств на начало периода</t>
        </is>
      </c>
      <c r="C5" s="21" t="n">
        <v>73255.64999999999</v>
      </c>
    </row>
    <row r="6">
      <c r="A6" s="31" t="inlineStr">
        <is>
          <t>ОПЕРАЦИОННАЯ ДЕЯТЕЛЬНОСТЬ</t>
        </is>
      </c>
      <c r="B6" s="32" t="n"/>
      <c r="C6" s="32" t="n"/>
    </row>
    <row r="7">
      <c r="A7" s="23" t="inlineStr">
        <is>
          <t>Поступления от клиентов за услуги</t>
        </is>
      </c>
      <c r="C7" s="13">
        <f>SUMIFS('Реестр операций'!$M$5:$M$442,'Реестр операций'!$O$5:$O$442,"Выручка")</f>
        <v/>
      </c>
    </row>
    <row r="8">
      <c r="A8" s="23" t="inlineStr">
        <is>
          <t>Оплата перевозчикам, КТЖ, аренда вагонов (себестоимость)</t>
        </is>
      </c>
      <c r="C8" s="13">
        <f>-SUMIFS('Реестр операций'!$L$5:$L$442,'Реестр операций'!$O$5:$O$442,"Себестоимость")</f>
        <v/>
      </c>
    </row>
    <row r="9">
      <c r="A9" s="23" t="inlineStr">
        <is>
          <t>Оплата труда и командировки</t>
        </is>
      </c>
      <c r="C9" s="13">
        <f>-SUMIFS('Реестр операций'!$L$5:$L$442,'Реестр операций'!$O$5:$O$442,"ФОТ")</f>
        <v/>
      </c>
    </row>
    <row r="10">
      <c r="A10" s="23" t="inlineStr">
        <is>
          <t>Административные и офисные расходы</t>
        </is>
      </c>
      <c r="C10" s="13">
        <f>-SUMIFS('Реестр операций'!$L$5:$L$442,'Реестр операций'!$O$5:$O$442,"Админ/офис")</f>
        <v/>
      </c>
    </row>
    <row r="11">
      <c r="A11" s="23" t="inlineStr">
        <is>
          <t>Налоги и отчисления</t>
        </is>
      </c>
      <c r="C11" s="13">
        <f>-SUMIFS('Реестр операций'!$L$5:$L$442,'Реестр операций'!$O$5:$O$442,"Налоги")</f>
        <v/>
      </c>
    </row>
    <row r="12">
      <c r="A12" s="33" t="inlineStr">
        <is>
          <t>Чистый поток от операционной деятельности</t>
        </is>
      </c>
      <c r="B12" s="25" t="n"/>
      <c r="C12" s="26">
        <f>SUM(C7:C11)</f>
        <v/>
      </c>
    </row>
    <row r="13">
      <c r="A13" s="31" t="inlineStr">
        <is>
          <t>ИНВЕСТИЦИОННАЯ ДЕЯТЕЛЬНОСТЬ</t>
        </is>
      </c>
      <c r="B13" s="32" t="n"/>
      <c r="C13" s="32" t="n"/>
    </row>
    <row r="14">
      <c r="A14" s="23" t="inlineStr">
        <is>
          <t>Выдача займов (связанным лицам)</t>
        </is>
      </c>
      <c r="C14" s="13">
        <f>-SUMIFS('Реестр операций'!$L$5:$L$442,'Реестр операций'!$P$5:$P$442,"Выданные займы (связ. лица)")</f>
        <v/>
      </c>
    </row>
    <row r="15">
      <c r="A15" s="23" t="inlineStr">
        <is>
          <t>Возврат ранее выданных займов</t>
        </is>
      </c>
      <c r="C15" s="13">
        <f>SUMIFS('Реестр операций'!$M$5:$M$442,'Реестр операций'!$P$5:$P$442,"Возврат выданных займов")</f>
        <v/>
      </c>
    </row>
    <row r="16">
      <c r="A16" s="33" t="inlineStr">
        <is>
          <t>Чистый поток от инвестиционной деятельности</t>
        </is>
      </c>
      <c r="B16" s="25" t="n"/>
      <c r="C16" s="26">
        <f>C14+C15</f>
        <v/>
      </c>
    </row>
    <row r="17">
      <c r="A17" s="31" t="inlineStr">
        <is>
          <t>ФИНАНСОВАЯ ДЕЯТЕЛЬНОСТЬ</t>
        </is>
      </c>
      <c r="B17" s="32" t="n"/>
      <c r="C17" s="32" t="n"/>
    </row>
    <row r="18">
      <c r="A18" s="23" t="inlineStr">
        <is>
          <t>Погашение тела кредита</t>
        </is>
      </c>
      <c r="C18" s="13">
        <f>-SUMIFS('Реестр операций'!$L$5:$L$442,'Реестр операций'!$P$5:$P$442,"Погашение кредита — тело")</f>
        <v/>
      </c>
    </row>
    <row r="19">
      <c r="A19" s="23" t="inlineStr">
        <is>
          <t>Проценты по кредиту</t>
        </is>
      </c>
      <c r="C19" s="13">
        <f>-SUMIFS('Реестр операций'!$L$5:$L$442,'Реестр операций'!$P$5:$P$442,"Проценты по кредиту")</f>
        <v/>
      </c>
    </row>
    <row r="20">
      <c r="A20" s="23" t="inlineStr">
        <is>
          <t>Финансовый лизинг</t>
        </is>
      </c>
      <c r="C20" s="13">
        <f>-SUMIFS('Реестр операций'!$L$5:$L$442,'Реестр операций'!$P$5:$P$442,"Финансовый лизинг")</f>
        <v/>
      </c>
    </row>
    <row r="21">
      <c r="A21" s="23" t="inlineStr">
        <is>
          <t>Банковские комиссии</t>
        </is>
      </c>
      <c r="C21" s="13">
        <f>-SUMIFS('Реестр операций'!$L$5:$L$442,'Реестр операций'!$P$5:$P$442,"Банковские комиссии")</f>
        <v/>
      </c>
    </row>
    <row r="22">
      <c r="A22" s="23" t="inlineStr">
        <is>
          <t>Проценты по депозиту (доход)</t>
        </is>
      </c>
      <c r="C22" s="13">
        <f>SUMIFS('Реестр операций'!$M$5:$M$442,'Реестр операций'!$P$5:$P$442,"Проценты по депозиту")</f>
        <v/>
      </c>
    </row>
    <row r="23">
      <c r="A23" s="33" t="inlineStr">
        <is>
          <t>Чистый поток от финансовой деятельности</t>
        </is>
      </c>
      <c r="B23" s="25" t="n"/>
      <c r="C23" s="26">
        <f>SUM(C18:C22)</f>
        <v/>
      </c>
    </row>
    <row r="24">
      <c r="A24" s="31" t="inlineStr">
        <is>
          <t>ПРОЧИЕ / РАЗОВЫЕ ОПЕРАЦИИ</t>
        </is>
      </c>
      <c r="B24" s="32" t="n"/>
      <c r="C24" s="32" t="n"/>
    </row>
    <row r="25">
      <c r="A25" s="23" t="inlineStr">
        <is>
          <t>Возврат средств контрагентам (авансы)</t>
        </is>
      </c>
      <c r="C25" s="13">
        <f>-SUMIFS('Реестр операций'!$L$5:$L$442,'Реестр операций'!$P$5:$P$442,"Возврат средств контрагенту")</f>
        <v/>
      </c>
    </row>
    <row r="26">
      <c r="A26" s="23" t="inlineStr">
        <is>
          <t>Спонсорство / благотворительность</t>
        </is>
      </c>
      <c r="C26" s="13">
        <f>-SUMIFS('Реестр операций'!$L$5:$L$442,'Реестр операций'!$P$5:$P$442,"Спонсорство / благотвор.")</f>
        <v/>
      </c>
    </row>
    <row r="27">
      <c r="A27" s="23" t="inlineStr">
        <is>
          <t>Прочие расходы</t>
        </is>
      </c>
      <c r="C27" s="13">
        <f>-SUMIFS('Реестр операций'!$L$5:$L$442,'Реестр операций'!$P$5:$P$442,"Прочие расходы")</f>
        <v/>
      </c>
    </row>
    <row r="28">
      <c r="A28" s="23" t="inlineStr">
        <is>
          <t>Прочие поступления</t>
        </is>
      </c>
      <c r="C28" s="13">
        <f>SUMIFS('Реестр операций'!$M$5:$M$442,'Реестр операций'!$P$5:$P$442,"Возврат средств")</f>
        <v/>
      </c>
    </row>
    <row r="29">
      <c r="A29" s="33" t="inlineStr">
        <is>
          <t>Чистый поток от прочих операций</t>
        </is>
      </c>
      <c r="B29" s="25" t="n"/>
      <c r="C29" s="26">
        <f>SUM(C25:C28)</f>
        <v/>
      </c>
    </row>
    <row r="30">
      <c r="A30" s="30" t="inlineStr">
        <is>
          <t>Перемещения на прочие счета Группы + конвертация валют (нетто)</t>
        </is>
      </c>
      <c r="C30" s="21">
        <f>(SUMIFS('Реестр операций'!$M$5:$M$442,'Реестр операций'!$N$5:$N$442,"Внутренний перевод")-SUMIFS('Реестр операций'!$L$5:$L$442,'Реестр операций'!$N$5:$N$442,"Внутренний перевод"))+(SUMIFS('Реестр операций'!$M$5:$M$442,'Реестр операций'!$N$5:$N$442,"Конвертация валют")-SUMIFS('Реестр операций'!$L$5:$L$442,'Реестр операций'!$N$5:$N$442,"Конвертация валют"))</f>
        <v/>
      </c>
    </row>
    <row r="31">
      <c r="A31" s="33" t="inlineStr">
        <is>
          <t>ЧИСТОЕ ИЗМЕНЕНИЕ ДЕНЕЖНЫХ СРЕДСТВ</t>
        </is>
      </c>
      <c r="B31" s="25" t="n"/>
      <c r="C31" s="26">
        <f>C12+C16+C23+C29+C30</f>
        <v/>
      </c>
    </row>
    <row r="32">
      <c r="A32" s="33" t="inlineStr">
        <is>
          <t>Остаток денежных средств на конец периода</t>
        </is>
      </c>
      <c r="B32" s="25" t="n"/>
      <c r="C32" s="26">
        <f>C5+C31</f>
        <v/>
      </c>
    </row>
    <row r="34" ht="44" customHeight="1">
      <c r="A34" s="29" t="inlineStr">
        <is>
          <t>Сверка сходится: остаток на начало 73 256 ₸ + чистое изменение = остаток на конец ≈ 0 (см. лист «Денежные средства»). Строка «Перемещения на прочие счета Группы + конвертация» балансирует переводы на счета вне этих выписок и курсовые разницы. Все суммы — формулы по реестру.</t>
        </is>
      </c>
    </row>
    <row r="35"/>
    <row r="36"/>
  </sheetData>
  <mergeCells count="3">
    <mergeCell ref="A1:C1"/>
    <mergeCell ref="A34:C36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6" customWidth="1" min="1" max="1"/>
    <col width="2" customWidth="1" min="2" max="2"/>
    <col width="20" customWidth="1" min="3" max="3"/>
    <col width="11" customWidth="1" min="4" max="4"/>
    <col width="11" customWidth="1" min="5" max="5"/>
  </cols>
  <sheetData>
    <row r="1" ht="34" customHeight="1">
      <c r="A1" s="1" t="inlineStr">
        <is>
          <t>Структура затрат по назначению</t>
        </is>
      </c>
    </row>
    <row r="2" ht="18" customHeight="1">
      <c r="A2" s="2" t="inlineStr">
        <is>
          <t>Внешние платежи · формулы SUMIFS по реестру</t>
        </is>
      </c>
    </row>
    <row r="4" ht="26" customHeight="1">
      <c r="A4" s="19" t="inlineStr">
        <is>
          <t>Группа / статья</t>
        </is>
      </c>
      <c r="B4" s="19" t="inlineStr"/>
      <c r="C4" s="19" t="inlineStr">
        <is>
          <t>Сумма, ₸</t>
        </is>
      </c>
      <c r="D4" s="19" t="inlineStr">
        <is>
          <t>% затрат</t>
        </is>
      </c>
      <c r="E4" s="19" t="inlineStr">
        <is>
          <t>% выручки</t>
        </is>
      </c>
    </row>
    <row r="5">
      <c r="A5" s="34" t="inlineStr">
        <is>
          <t>Себестоимость</t>
        </is>
      </c>
      <c r="B5" s="15" t="n"/>
      <c r="C5" s="16">
        <f>SUMIFS('Реестр операций'!$L$5:$L$442,'Реестр операций'!$O$5:$O$442,"Себестоимость")</f>
        <v/>
      </c>
      <c r="D5" s="35">
        <f>C5/SUMIFS('Реестр операций'!$L$5:$L$442,'Реестр операций'!$N$5:$N$442,"Внешняя операция")</f>
        <v/>
      </c>
      <c r="E5" s="36">
        <f>C5/SUMIFS('Реестр операций'!$M$5:$M$442,'Реестр операций'!$O$5:$O$442,"Выручка")</f>
        <v/>
      </c>
    </row>
    <row r="6">
      <c r="A6" s="37" t="inlineStr">
        <is>
          <t xml:space="preserve">    Зарубежные перевозчики/экспедиторы</t>
        </is>
      </c>
      <c r="B6" s="38" t="n"/>
      <c r="C6" s="39">
        <f>SUMIFS('Реестр операций'!$L$5:$L$442,'Реестр операций'!$P$5:$P$442,"Зарубежные перевозчики/экспедиторы")</f>
        <v/>
      </c>
      <c r="D6" s="40">
        <f>C6/SUMIFS('Реестр операций'!$L$5:$L$442,'Реестр операций'!$N$5:$N$442,"Внешняя операция")</f>
        <v/>
      </c>
      <c r="E6" s="40">
        <f>C6/SUMIFS('Реестр операций'!$M$5:$M$442,'Реестр операций'!$O$5:$O$442,"Выручка")</f>
        <v/>
      </c>
    </row>
    <row r="7">
      <c r="A7" s="37" t="inlineStr">
        <is>
          <t xml:space="preserve">    Тариф КТЖ (ж/д перевозки)</t>
        </is>
      </c>
      <c r="B7" s="38" t="n"/>
      <c r="C7" s="39">
        <f>SUMIFS('Реестр операций'!$L$5:$L$442,'Реестр операций'!$P$5:$P$442,"Тариф КТЖ (ж/д перевозки)")</f>
        <v/>
      </c>
      <c r="D7" s="40">
        <f>C7/SUMIFS('Реестр операций'!$L$5:$L$442,'Реестр операций'!$N$5:$N$442,"Внешняя операция")</f>
        <v/>
      </c>
      <c r="E7" s="40">
        <f>C7/SUMIFS('Реестр операций'!$M$5:$M$442,'Реестр операций'!$O$5:$O$442,"Выручка")</f>
        <v/>
      </c>
    </row>
    <row r="8">
      <c r="A8" s="37" t="inlineStr">
        <is>
          <t xml:space="preserve">    Аренда/предоставление вагонов</t>
        </is>
      </c>
      <c r="B8" s="38" t="n"/>
      <c r="C8" s="39">
        <f>SUMIFS('Реестр операций'!$L$5:$L$442,'Реестр операций'!$P$5:$P$442,"Аренда/предоставление вагонов")</f>
        <v/>
      </c>
      <c r="D8" s="40">
        <f>C8/SUMIFS('Реестр операций'!$L$5:$L$442,'Реестр операций'!$N$5:$N$442,"Внешняя операция")</f>
        <v/>
      </c>
      <c r="E8" s="40">
        <f>C8/SUMIFS('Реестр операций'!$M$5:$M$442,'Реестр операций'!$O$5:$O$442,"Выручка")</f>
        <v/>
      </c>
    </row>
    <row r="9">
      <c r="A9" s="37" t="inlineStr">
        <is>
          <t xml:space="preserve">    Операторы вагонов (КТТ и др.)</t>
        </is>
      </c>
      <c r="B9" s="38" t="n"/>
      <c r="C9" s="39">
        <f>SUMIFS('Реестр операций'!$L$5:$L$442,'Реестр операций'!$P$5:$P$442,"Операторы вагонов (КТТ и др.)")</f>
        <v/>
      </c>
      <c r="D9" s="40">
        <f>C9/SUMIFS('Реестр операций'!$L$5:$L$442,'Реестр операций'!$N$5:$N$442,"Внешняя операция")</f>
        <v/>
      </c>
      <c r="E9" s="40">
        <f>C9/SUMIFS('Реестр операций'!$M$5:$M$442,'Реестр операций'!$O$5:$O$442,"Выручка")</f>
        <v/>
      </c>
    </row>
    <row r="10">
      <c r="A10" s="37" t="inlineStr">
        <is>
          <t xml:space="preserve">    Прочие ж/д и ТЭУ услуги</t>
        </is>
      </c>
      <c r="B10" s="38" t="n"/>
      <c r="C10" s="39">
        <f>SUMIFS('Реестр операций'!$L$5:$L$442,'Реестр операций'!$P$5:$P$442,"Прочие ж/д и ТЭУ услуги")</f>
        <v/>
      </c>
      <c r="D10" s="40">
        <f>C10/SUMIFS('Реестр операций'!$L$5:$L$442,'Реестр операций'!$N$5:$N$442,"Внешняя операция")</f>
        <v/>
      </c>
      <c r="E10" s="40">
        <f>C10/SUMIFS('Реестр операций'!$M$5:$M$442,'Реестр операций'!$O$5:$O$442,"Выручка")</f>
        <v/>
      </c>
    </row>
    <row r="11">
      <c r="A11" s="37" t="inlineStr">
        <is>
          <t xml:space="preserve">    Ремонт вагонов и узлов</t>
        </is>
      </c>
      <c r="B11" s="38" t="n"/>
      <c r="C11" s="39">
        <f>SUMIFS('Реестр операций'!$L$5:$L$442,'Реестр операций'!$P$5:$P$442,"Ремонт вагонов и узлов")</f>
        <v/>
      </c>
      <c r="D11" s="40">
        <f>C11/SUMIFS('Реестр операций'!$L$5:$L$442,'Реестр операций'!$N$5:$N$442,"Внешняя операция")</f>
        <v/>
      </c>
      <c r="E11" s="40">
        <f>C11/SUMIFS('Реестр операций'!$M$5:$M$442,'Реестр операций'!$O$5:$O$442,"Выручка")</f>
        <v/>
      </c>
    </row>
    <row r="12">
      <c r="A12" s="34" t="inlineStr">
        <is>
          <t>ФОТ</t>
        </is>
      </c>
      <c r="B12" s="15" t="n"/>
      <c r="C12" s="16">
        <f>SUMIFS('Реестр операций'!$L$5:$L$442,'Реестр операций'!$O$5:$O$442,"ФОТ")</f>
        <v/>
      </c>
      <c r="D12" s="35">
        <f>C12/SUMIFS('Реестр операций'!$L$5:$L$442,'Реестр операций'!$N$5:$N$442,"Внешняя операция")</f>
        <v/>
      </c>
      <c r="E12" s="36">
        <f>C12/SUMIFS('Реестр операций'!$M$5:$M$442,'Реестр операций'!$O$5:$O$442,"Выручка")</f>
        <v/>
      </c>
    </row>
    <row r="13">
      <c r="A13" s="37" t="inlineStr">
        <is>
          <t xml:space="preserve">    Зарплата</t>
        </is>
      </c>
      <c r="B13" s="38" t="n"/>
      <c r="C13" s="39">
        <f>SUMIFS('Реестр операций'!$L$5:$L$442,'Реестр операций'!$P$5:$P$442,"Зарплата")</f>
        <v/>
      </c>
      <c r="D13" s="40">
        <f>C13/SUMIFS('Реестр операций'!$L$5:$L$442,'Реестр операций'!$N$5:$N$442,"Внешняя операция")</f>
        <v/>
      </c>
      <c r="E13" s="40">
        <f>C13/SUMIFS('Реестр операций'!$M$5:$M$442,'Реестр операций'!$O$5:$O$442,"Выручка")</f>
        <v/>
      </c>
    </row>
    <row r="14">
      <c r="A14" s="37" t="inlineStr">
        <is>
          <t xml:space="preserve">    Командировки и подотчёт</t>
        </is>
      </c>
      <c r="B14" s="38" t="n"/>
      <c r="C14" s="39">
        <f>SUMIFS('Реестр операций'!$L$5:$L$442,'Реестр операций'!$P$5:$P$442,"Командировки и подотчёт")</f>
        <v/>
      </c>
      <c r="D14" s="40">
        <f>C14/SUMIFS('Реестр операций'!$L$5:$L$442,'Реестр операций'!$N$5:$N$442,"Внешняя операция")</f>
        <v/>
      </c>
      <c r="E14" s="40">
        <f>C14/SUMIFS('Реестр операций'!$M$5:$M$442,'Реестр операций'!$O$5:$O$442,"Выручка")</f>
        <v/>
      </c>
    </row>
    <row r="15">
      <c r="A15" s="34" t="inlineStr">
        <is>
          <t>Админ/офис</t>
        </is>
      </c>
      <c r="B15" s="15" t="n"/>
      <c r="C15" s="16">
        <f>SUMIFS('Реестр операций'!$L$5:$L$442,'Реестр операций'!$O$5:$O$442,"Админ/офис")</f>
        <v/>
      </c>
      <c r="D15" s="35">
        <f>C15/SUMIFS('Реестр операций'!$L$5:$L$442,'Реестр операций'!$N$5:$N$442,"Внешняя операция")</f>
        <v/>
      </c>
      <c r="E15" s="36">
        <f>C15/SUMIFS('Реестр операций'!$M$5:$M$442,'Реестр операций'!$O$5:$O$442,"Выручка")</f>
        <v/>
      </c>
    </row>
    <row r="16">
      <c r="A16" s="37" t="inlineStr">
        <is>
          <t xml:space="preserve">    Офис, аренда помещений, хоз.</t>
        </is>
      </c>
      <c r="B16" s="38" t="n"/>
      <c r="C16" s="39">
        <f>SUMIFS('Реестр операций'!$L$5:$L$442,'Реестр операций'!$P$5:$P$442,"Офис, аренда помещений, хоз.")</f>
        <v/>
      </c>
      <c r="D16" s="40">
        <f>C16/SUMIFS('Реестр операций'!$L$5:$L$442,'Реестр операций'!$N$5:$N$442,"Внешняя операция")</f>
        <v/>
      </c>
      <c r="E16" s="40">
        <f>C16/SUMIFS('Реестр операций'!$M$5:$M$442,'Реестр операций'!$O$5:$O$442,"Выручка")</f>
        <v/>
      </c>
    </row>
    <row r="17">
      <c r="A17" s="37" t="inlineStr">
        <is>
          <t xml:space="preserve">    Проф. услуги (бухг./юр./конс.)</t>
        </is>
      </c>
      <c r="B17" s="38" t="n"/>
      <c r="C17" s="39">
        <f>SUMIFS('Реестр операций'!$L$5:$L$442,'Реестр операций'!$P$5:$P$442,"Проф. услуги (бухг./юр./конс.)")</f>
        <v/>
      </c>
      <c r="D17" s="40">
        <f>C17/SUMIFS('Реестр операций'!$L$5:$L$442,'Реестр операций'!$N$5:$N$442,"Внешняя операция")</f>
        <v/>
      </c>
      <c r="E17" s="40">
        <f>C17/SUMIFS('Реестр операций'!$M$5:$M$442,'Реестр операций'!$O$5:$O$442,"Выручка")</f>
        <v/>
      </c>
    </row>
    <row r="18">
      <c r="A18" s="37" t="inlineStr">
        <is>
          <t xml:space="preserve">    Связь и ИТ</t>
        </is>
      </c>
      <c r="B18" s="38" t="n"/>
      <c r="C18" s="39">
        <f>SUMIFS('Реестр операций'!$L$5:$L$442,'Реестр операций'!$P$5:$P$442,"Связь и ИТ")</f>
        <v/>
      </c>
      <c r="D18" s="40">
        <f>C18/SUMIFS('Реестр операций'!$L$5:$L$442,'Реестр операций'!$N$5:$N$442,"Внешняя операция")</f>
        <v/>
      </c>
      <c r="E18" s="40">
        <f>C18/SUMIFS('Реестр операций'!$M$5:$M$442,'Реестр операций'!$O$5:$O$442,"Выручка")</f>
        <v/>
      </c>
    </row>
    <row r="19">
      <c r="A19" s="37" t="inlineStr">
        <is>
          <t xml:space="preserve">    Маркетинг и представит.</t>
        </is>
      </c>
      <c r="B19" s="38" t="n"/>
      <c r="C19" s="39">
        <f>SUMIFS('Реестр операций'!$L$5:$L$442,'Реестр операций'!$P$5:$P$442,"Маркетинг и представит.")</f>
        <v/>
      </c>
      <c r="D19" s="40">
        <f>C19/SUMIFS('Реестр операций'!$L$5:$L$442,'Реестр операций'!$N$5:$N$442,"Внешняя операция")</f>
        <v/>
      </c>
      <c r="E19" s="40">
        <f>C19/SUMIFS('Реестр операций'!$M$5:$M$442,'Реестр операций'!$O$5:$O$442,"Выручка")</f>
        <v/>
      </c>
    </row>
    <row r="20">
      <c r="A20" s="37" t="inlineStr">
        <is>
          <t xml:space="preserve">    Хоз. расходы и материалы</t>
        </is>
      </c>
      <c r="B20" s="38" t="n"/>
      <c r="C20" s="39">
        <f>SUMIFS('Реестр операций'!$L$5:$L$442,'Реестр операций'!$P$5:$P$442,"Хоз. расходы и материалы")</f>
        <v/>
      </c>
      <c r="D20" s="40">
        <f>C20/SUMIFS('Реестр операций'!$L$5:$L$442,'Реестр операций'!$N$5:$N$442,"Внешняя операция")</f>
        <v/>
      </c>
      <c r="E20" s="40">
        <f>C20/SUMIFS('Реестр операций'!$M$5:$M$442,'Реестр операций'!$O$5:$O$442,"Выручка")</f>
        <v/>
      </c>
    </row>
    <row r="21">
      <c r="A21" s="37" t="inlineStr">
        <is>
          <t xml:space="preserve">    Страхование</t>
        </is>
      </c>
      <c r="B21" s="38" t="n"/>
      <c r="C21" s="39">
        <f>SUMIFS('Реестр операций'!$L$5:$L$442,'Реестр операций'!$P$5:$P$442,"Страхование")</f>
        <v/>
      </c>
      <c r="D21" s="40">
        <f>C21/SUMIFS('Реестр операций'!$L$5:$L$442,'Реестр операций'!$N$5:$N$442,"Внешняя операция")</f>
        <v/>
      </c>
      <c r="E21" s="40">
        <f>C21/SUMIFS('Реестр операций'!$M$5:$M$442,'Реестр операций'!$O$5:$O$442,"Выручка")</f>
        <v/>
      </c>
    </row>
    <row r="22">
      <c r="A22" s="34" t="inlineStr">
        <is>
          <t>Налоги</t>
        </is>
      </c>
      <c r="B22" s="15" t="n"/>
      <c r="C22" s="16">
        <f>SUMIFS('Реестр операций'!$L$5:$L$442,'Реестр операций'!$O$5:$O$442,"Налоги")</f>
        <v/>
      </c>
      <c r="D22" s="35">
        <f>C22/SUMIFS('Реестр операций'!$L$5:$L$442,'Реестр операций'!$N$5:$N$442,"Внешняя операция")</f>
        <v/>
      </c>
      <c r="E22" s="36">
        <f>C22/SUMIFS('Реестр операций'!$M$5:$M$442,'Реестр операций'!$O$5:$O$442,"Выручка")</f>
        <v/>
      </c>
    </row>
    <row r="23">
      <c r="A23" s="37" t="inlineStr">
        <is>
          <t xml:space="preserve">    Налоги и отчисления</t>
        </is>
      </c>
      <c r="B23" s="38" t="n"/>
      <c r="C23" s="39">
        <f>SUMIFS('Реестр операций'!$L$5:$L$442,'Реестр операций'!$P$5:$P$442,"Налоги и отчисления")</f>
        <v/>
      </c>
      <c r="D23" s="40">
        <f>C23/SUMIFS('Реестр операций'!$L$5:$L$442,'Реестр операций'!$N$5:$N$442,"Внешняя операция")</f>
        <v/>
      </c>
      <c r="E23" s="40">
        <f>C23/SUMIFS('Реестр операций'!$M$5:$M$442,'Реестр операций'!$O$5:$O$442,"Выручка")</f>
        <v/>
      </c>
    </row>
    <row r="24">
      <c r="A24" s="34" t="inlineStr">
        <is>
          <t>Финансовые</t>
        </is>
      </c>
      <c r="B24" s="15" t="n"/>
      <c r="C24" s="16">
        <f>SUMIFS('Реестр операций'!$L$5:$L$442,'Реестр операций'!$O$5:$O$442,"Финансовые")</f>
        <v/>
      </c>
      <c r="D24" s="35">
        <f>C24/SUMIFS('Реестр операций'!$L$5:$L$442,'Реестр операций'!$N$5:$N$442,"Внешняя операция")</f>
        <v/>
      </c>
      <c r="E24" s="36">
        <f>C24/SUMIFS('Реестр операций'!$M$5:$M$442,'Реестр операций'!$O$5:$O$442,"Выручка")</f>
        <v/>
      </c>
    </row>
    <row r="25">
      <c r="A25" s="37" t="inlineStr">
        <is>
          <t xml:space="preserve">    Погашение кредита — тело</t>
        </is>
      </c>
      <c r="B25" s="38" t="n"/>
      <c r="C25" s="39">
        <f>SUMIFS('Реестр операций'!$L$5:$L$442,'Реестр операций'!$P$5:$P$442,"Погашение кредита — тело")</f>
        <v/>
      </c>
      <c r="D25" s="40">
        <f>C25/SUMIFS('Реестр операций'!$L$5:$L$442,'Реестр операций'!$N$5:$N$442,"Внешняя операция")</f>
        <v/>
      </c>
      <c r="E25" s="40">
        <f>C25/SUMIFS('Реестр операций'!$M$5:$M$442,'Реестр операций'!$O$5:$O$442,"Выручка")</f>
        <v/>
      </c>
    </row>
    <row r="26">
      <c r="A26" s="37" t="inlineStr">
        <is>
          <t xml:space="preserve">    Выданные займы (связ. лица)</t>
        </is>
      </c>
      <c r="B26" s="38" t="n"/>
      <c r="C26" s="39">
        <f>SUMIFS('Реестр операций'!$L$5:$L$442,'Реестр операций'!$P$5:$P$442,"Выданные займы (связ. лица)")</f>
        <v/>
      </c>
      <c r="D26" s="40">
        <f>C26/SUMIFS('Реестр операций'!$L$5:$L$442,'Реестр операций'!$N$5:$N$442,"Внешняя операция")</f>
        <v/>
      </c>
      <c r="E26" s="40">
        <f>C26/SUMIFS('Реестр операций'!$M$5:$M$442,'Реестр операций'!$O$5:$O$442,"Выручка")</f>
        <v/>
      </c>
    </row>
    <row r="27">
      <c r="A27" s="37" t="inlineStr">
        <is>
          <t xml:space="preserve">    Финансовый лизинг</t>
        </is>
      </c>
      <c r="B27" s="38" t="n"/>
      <c r="C27" s="39">
        <f>SUMIFS('Реестр операций'!$L$5:$L$442,'Реестр операций'!$P$5:$P$442,"Финансовый лизинг")</f>
        <v/>
      </c>
      <c r="D27" s="40">
        <f>C27/SUMIFS('Реестр операций'!$L$5:$L$442,'Реестр операций'!$N$5:$N$442,"Внешняя операция")</f>
        <v/>
      </c>
      <c r="E27" s="40">
        <f>C27/SUMIFS('Реестр операций'!$M$5:$M$442,'Реестр операций'!$O$5:$O$442,"Выручка")</f>
        <v/>
      </c>
    </row>
    <row r="28">
      <c r="A28" s="37" t="inlineStr">
        <is>
          <t xml:space="preserve">    Проценты по кредиту</t>
        </is>
      </c>
      <c r="B28" s="38" t="n"/>
      <c r="C28" s="39">
        <f>SUMIFS('Реестр операций'!$L$5:$L$442,'Реестр операций'!$P$5:$P$442,"Проценты по кредиту")</f>
        <v/>
      </c>
      <c r="D28" s="40">
        <f>C28/SUMIFS('Реестр операций'!$L$5:$L$442,'Реестр операций'!$N$5:$N$442,"Внешняя операция")</f>
        <v/>
      </c>
      <c r="E28" s="40">
        <f>C28/SUMIFS('Реестр операций'!$M$5:$M$442,'Реестр операций'!$O$5:$O$442,"Выручка")</f>
        <v/>
      </c>
    </row>
    <row r="29">
      <c r="A29" s="37" t="inlineStr">
        <is>
          <t xml:space="preserve">    Банковские комиссии</t>
        </is>
      </c>
      <c r="B29" s="38" t="n"/>
      <c r="C29" s="39">
        <f>SUMIFS('Реестр операций'!$L$5:$L$442,'Реестр операций'!$P$5:$P$442,"Банковские комиссии")</f>
        <v/>
      </c>
      <c r="D29" s="40">
        <f>C29/SUMIFS('Реестр операций'!$L$5:$L$442,'Реестр операций'!$N$5:$N$442,"Внешняя операция")</f>
        <v/>
      </c>
      <c r="E29" s="40">
        <f>C29/SUMIFS('Реестр операций'!$M$5:$M$442,'Реестр операций'!$O$5:$O$442,"Выручка")</f>
        <v/>
      </c>
    </row>
    <row r="30">
      <c r="A30" s="34" t="inlineStr">
        <is>
          <t>Прочее</t>
        </is>
      </c>
      <c r="B30" s="15" t="n"/>
      <c r="C30" s="16">
        <f>SUMIFS('Реестр операций'!$L$5:$L$442,'Реестр операций'!$O$5:$O$442,"Прочее")</f>
        <v/>
      </c>
      <c r="D30" s="35">
        <f>C30/SUMIFS('Реестр операций'!$L$5:$L$442,'Реестр операций'!$N$5:$N$442,"Внешняя операция")</f>
        <v/>
      </c>
      <c r="E30" s="36">
        <f>C30/SUMIFS('Реестр операций'!$M$5:$M$442,'Реестр операций'!$O$5:$O$442,"Выручка")</f>
        <v/>
      </c>
    </row>
    <row r="31">
      <c r="A31" s="37" t="inlineStr">
        <is>
          <t xml:space="preserve">    Возврат средств контрагенту</t>
        </is>
      </c>
      <c r="B31" s="38" t="n"/>
      <c r="C31" s="39">
        <f>SUMIFS('Реестр операций'!$L$5:$L$442,'Реестр операций'!$P$5:$P$442,"Возврат средств контрагенту")</f>
        <v/>
      </c>
      <c r="D31" s="40">
        <f>C31/SUMIFS('Реестр операций'!$L$5:$L$442,'Реестр операций'!$N$5:$N$442,"Внешняя операция")</f>
        <v/>
      </c>
      <c r="E31" s="40">
        <f>C31/SUMIFS('Реестр операций'!$M$5:$M$442,'Реестр операций'!$O$5:$O$442,"Выручка")</f>
        <v/>
      </c>
    </row>
    <row r="32">
      <c r="A32" s="37" t="inlineStr">
        <is>
          <t xml:space="preserve">    Прочие расходы</t>
        </is>
      </c>
      <c r="B32" s="38" t="n"/>
      <c r="C32" s="39">
        <f>SUMIFS('Реестр операций'!$L$5:$L$442,'Реестр операций'!$P$5:$P$442,"Прочие расходы")</f>
        <v/>
      </c>
      <c r="D32" s="40">
        <f>C32/SUMIFS('Реестр операций'!$L$5:$L$442,'Реестр операций'!$N$5:$N$442,"Внешняя операция")</f>
        <v/>
      </c>
      <c r="E32" s="40">
        <f>C32/SUMIFS('Реестр операций'!$M$5:$M$442,'Реестр операций'!$O$5:$O$442,"Выручка")</f>
        <v/>
      </c>
    </row>
    <row r="33">
      <c r="A33" s="37" t="inlineStr">
        <is>
          <t xml:space="preserve">    Спонсорство / благотвор.</t>
        </is>
      </c>
      <c r="B33" s="38" t="n"/>
      <c r="C33" s="39">
        <f>SUMIFS('Реестр операций'!$L$5:$L$442,'Реестр операций'!$P$5:$P$442,"Спонсорство / благотвор.")</f>
        <v/>
      </c>
      <c r="D33" s="40">
        <f>C33/SUMIFS('Реестр операций'!$L$5:$L$442,'Реестр операций'!$N$5:$N$442,"Внешняя операция")</f>
        <v/>
      </c>
      <c r="E33" s="40">
        <f>C33/SUMIFS('Реестр операций'!$M$5:$M$442,'Реестр операций'!$O$5:$O$442,"Выручка")</f>
        <v/>
      </c>
    </row>
    <row r="34">
      <c r="A34" s="41" t="inlineStr">
        <is>
          <t>ИТОГО расход (внешний)</t>
        </is>
      </c>
      <c r="B34" s="42" t="n"/>
      <c r="C34" s="43">
        <f>SUMIFS('Реестр операций'!$L$5:$L$442,'Реестр операций'!$N$5:$N$442,"Внешняя операция")</f>
        <v/>
      </c>
      <c r="D34" s="44" t="n">
        <v>1</v>
      </c>
      <c r="E34" s="44">
        <f>C34/SUMIFS('Реестр операций'!$M$5:$M$442,'Реестр операций'!$O$5:$O$442,"Выручка")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12" customWidth="1" min="4" max="4"/>
  </cols>
  <sheetData>
    <row r="1" ht="34" customHeight="1">
      <c r="A1" s="1" t="inlineStr">
        <is>
          <t>Выручка по клиентам (все 25)</t>
        </is>
      </c>
    </row>
    <row r="2" ht="18" customHeight="1">
      <c r="A2" s="2" t="inlineStr">
        <is>
          <t>Все контрагенты-плательщики за услуги · формулы SUMIFS по реестру</t>
        </is>
      </c>
    </row>
    <row r="4" ht="26" customHeight="1">
      <c r="A4" s="19" t="inlineStr">
        <is>
          <t>#</t>
        </is>
      </c>
      <c r="B4" s="19" t="inlineStr">
        <is>
          <t>Контрагент</t>
        </is>
      </c>
      <c r="C4" s="19" t="inlineStr">
        <is>
          <t>Сумма, ₸</t>
        </is>
      </c>
      <c r="D4" s="19" t="inlineStr">
        <is>
          <t>% выручки</t>
        </is>
      </c>
    </row>
    <row r="5">
      <c r="A5" s="45" t="n">
        <v>1</v>
      </c>
      <c r="B5" s="46" t="inlineStr">
        <is>
          <t>ТОО «QAZAQ-ASTYQ GROUP»</t>
        </is>
      </c>
      <c r="C5" s="39">
        <f>SUMIFS('Реестр операций'!$M$5:$M$442,'Реестр операций'!$Q$5:$Q$442,"ТОО «QAZAQ-ASTYQ GROUP»",'Реестр операций'!$O$5:$O$442,"Выручка")</f>
        <v/>
      </c>
      <c r="D5" s="40">
        <f>C5/SUMIFS('Реестр операций'!$M$5:$M$442,'Реестр операций'!$O$5:$O$442,"Выручка")</f>
        <v/>
      </c>
    </row>
    <row r="6">
      <c r="A6" s="45" t="n">
        <v>2</v>
      </c>
      <c r="B6" s="46" t="inlineStr">
        <is>
          <t>ALBATAREEQ TRADING LLC (ОАЭ)</t>
        </is>
      </c>
      <c r="C6" s="39">
        <f>SUMIFS('Реестр операций'!$M$5:$M$442,'Реестр операций'!$Q$5:$Q$442,"ALBATAREEQ TRADING LLC (ОАЭ)",'Реестр операций'!$O$5:$O$442,"Выручка")</f>
        <v/>
      </c>
      <c r="D6" s="40">
        <f>C6/SUMIFS('Реестр операций'!$M$5:$M$442,'Реестр операций'!$O$5:$O$442,"Выручка")</f>
        <v/>
      </c>
    </row>
    <row r="7">
      <c r="A7" s="45" t="n">
        <v>3</v>
      </c>
      <c r="B7" s="46" t="inlineStr">
        <is>
          <t>ТОО «Altyn Shyghys»</t>
        </is>
      </c>
      <c r="C7" s="39">
        <f>SUMIFS('Реестр операций'!$M$5:$M$442,'Реестр операций'!$Q$5:$Q$442,"ТОО «Altyn Shyghys»",'Реестр операций'!$O$5:$O$442,"Выручка")</f>
        <v/>
      </c>
      <c r="D7" s="40">
        <f>C7/SUMIFS('Реестр операций'!$M$5:$M$442,'Реестр операций'!$O$5:$O$442,"Выручка")</f>
        <v/>
      </c>
    </row>
    <row r="8">
      <c r="A8" s="45" t="n">
        <v>4</v>
      </c>
      <c r="B8" s="46" t="inlineStr">
        <is>
          <t>ТОО ROYAL EXPORT</t>
        </is>
      </c>
      <c r="C8" s="39">
        <f>SUMIFS('Реестр операций'!$M$5:$M$442,'Реестр операций'!$Q$5:$Q$442,"ТОО ROYAL EXPORT",'Реестр операций'!$O$5:$O$442,"Выручка")</f>
        <v/>
      </c>
      <c r="D8" s="40">
        <f>C8/SUMIFS('Реестр операций'!$M$5:$M$442,'Реестр операций'!$O$5:$O$442,"Выручка")</f>
        <v/>
      </c>
    </row>
    <row r="9">
      <c r="A9" s="45" t="n">
        <v>5</v>
      </c>
      <c r="B9" s="46" t="inlineStr">
        <is>
          <t>ТОО "ШыгысАгроТорг"</t>
        </is>
      </c>
      <c r="C9" s="39">
        <f>SUMIFS('Реестр операций'!$M$5:$M$442,'Реестр операций'!$Q$5:$Q$442,"ТОО ""ШыгысАгроТорг""",'Реестр операций'!$O$5:$O$442,"Выручка")</f>
        <v/>
      </c>
      <c r="D9" s="40">
        <f>C9/SUMIFS('Реестр операций'!$M$5:$M$442,'Реестр операций'!$O$5:$O$442,"Выручка")</f>
        <v/>
      </c>
    </row>
    <row r="10">
      <c r="A10" s="45" t="n">
        <v>6</v>
      </c>
      <c r="B10" s="46" t="inlineStr">
        <is>
          <t>ТОО "Экспорт-М"</t>
        </is>
      </c>
      <c r="C10" s="39">
        <f>SUMIFS('Реестр операций'!$M$5:$M$442,'Реестр операций'!$Q$5:$Q$442,"ТОО ""Экспорт-М""",'Реестр операций'!$O$5:$O$442,"Выручка")</f>
        <v/>
      </c>
      <c r="D10" s="40">
        <f>C10/SUMIFS('Реестр операций'!$M$5:$M$442,'Реестр операций'!$O$5:$O$442,"Выручка")</f>
        <v/>
      </c>
    </row>
    <row r="11">
      <c r="A11" s="45" t="n">
        <v>7</v>
      </c>
      <c r="B11" s="46" t="inlineStr">
        <is>
          <t>ТОО REGAL EXPORT</t>
        </is>
      </c>
      <c r="C11" s="39">
        <f>SUMIFS('Реестр операций'!$M$5:$M$442,'Реестр операций'!$Q$5:$Q$442,"ТОО REGAL EXPORT",'Реестр операций'!$O$5:$O$442,"Выручка")</f>
        <v/>
      </c>
      <c r="D11" s="40">
        <f>C11/SUMIFS('Реестр операций'!$M$5:$M$442,'Реестр операций'!$O$5:$O$442,"Выручка")</f>
        <v/>
      </c>
    </row>
    <row r="12">
      <c r="A12" s="45" t="n">
        <v>8</v>
      </c>
      <c r="B12" s="46" t="inlineStr">
        <is>
          <t>ТОО East Agro Company</t>
        </is>
      </c>
      <c r="C12" s="39">
        <f>SUMIFS('Реестр операций'!$M$5:$M$442,'Реестр операций'!$Q$5:$Q$442,"ТОО East Agro Company",'Реестр операций'!$O$5:$O$442,"Выручка")</f>
        <v/>
      </c>
      <c r="D12" s="40">
        <f>C12/SUMIFS('Реестр операций'!$M$5:$M$442,'Реестр операций'!$O$5:$O$442,"Выручка")</f>
        <v/>
      </c>
    </row>
    <row r="13">
      <c r="A13" s="45" t="n">
        <v>9</v>
      </c>
      <c r="B13" s="46" t="inlineStr">
        <is>
          <t>ТОО "УСТЬ-КАМЕНОГОРСКИЙ МАСЛО-ЭКСТРАКЦИОННЫЙ</t>
        </is>
      </c>
      <c r="C13" s="39">
        <f>SUMIFS('Реестр операций'!$M$5:$M$442,'Реестр операций'!$Q$5:$Q$442,"ТОО ""УСТЬ-КАМЕНОГОРСКИЙ МАСЛО-ЭКСТРАКЦИОННЫЙ",'Реестр операций'!$O$5:$O$442,"Выручка")</f>
        <v/>
      </c>
      <c r="D13" s="40">
        <f>C13/SUMIFS('Реестр операций'!$M$5:$M$442,'Реестр операций'!$O$5:$O$442,"Выручка")</f>
        <v/>
      </c>
    </row>
    <row r="14">
      <c r="A14" s="45" t="n">
        <v>10</v>
      </c>
      <c r="B14" s="46" t="inlineStr">
        <is>
          <t>ТОО Агро-Трейд-2030</t>
        </is>
      </c>
      <c r="C14" s="39">
        <f>SUMIFS('Реестр операций'!$M$5:$M$442,'Реестр операций'!$Q$5:$Q$442,"ТОО Агро-Трейд-2030",'Реестр операций'!$O$5:$O$442,"Выручка")</f>
        <v/>
      </c>
      <c r="D14" s="40">
        <f>C14/SUMIFS('Реестр операций'!$M$5:$M$442,'Реестр операций'!$O$5:$O$442,"Выручка")</f>
        <v/>
      </c>
    </row>
    <row r="15">
      <c r="A15" s="45" t="n">
        <v>11</v>
      </c>
      <c r="B15" s="46" t="inlineStr">
        <is>
          <t>ТОО Евразиан Каспиан Транс</t>
        </is>
      </c>
      <c r="C15" s="39">
        <f>SUMIFS('Реестр операций'!$M$5:$M$442,'Реестр операций'!$Q$5:$Q$442,"ТОО Евразиан Каспиан Транс",'Реестр операций'!$O$5:$O$442,"Выручка")</f>
        <v/>
      </c>
      <c r="D15" s="40">
        <f>C15/SUMIFS('Реестр операций'!$M$5:$M$442,'Реестр операций'!$O$5:$O$442,"Выручка")</f>
        <v/>
      </c>
    </row>
    <row r="16">
      <c r="A16" s="45" t="n">
        <v>12</v>
      </c>
      <c r="B16" s="46" t="inlineStr">
        <is>
          <t>ТОО "GREENLIGHTS (ГРИНЛАЙТС)"</t>
        </is>
      </c>
      <c r="C16" s="39">
        <f>SUMIFS('Реестр операций'!$M$5:$M$442,'Реестр операций'!$Q$5:$Q$442,"ТОО ""GREENLIGHTS (ГРИНЛАЙТС)""",'Реестр операций'!$O$5:$O$442,"Выручка")</f>
        <v/>
      </c>
      <c r="D16" s="40">
        <f>C16/SUMIFS('Реестр операций'!$M$5:$M$442,'Реестр операций'!$O$5:$O$442,"Выручка")</f>
        <v/>
      </c>
    </row>
    <row r="17">
      <c r="A17" s="45" t="n">
        <v>13</v>
      </c>
      <c r="B17" s="46" t="inlineStr">
        <is>
          <t>ТОО Темир Экспресс Логистик</t>
        </is>
      </c>
      <c r="C17" s="39">
        <f>SUMIFS('Реестр операций'!$M$5:$M$442,'Реестр операций'!$Q$5:$Q$442,"ТОО Темир Экспресс Логистик",'Реестр операций'!$O$5:$O$442,"Выручка")</f>
        <v/>
      </c>
      <c r="D17" s="40">
        <f>C17/SUMIFS('Реестр операций'!$M$5:$M$442,'Реестр операций'!$O$5:$O$442,"Выручка")</f>
        <v/>
      </c>
    </row>
    <row r="18">
      <c r="A18" s="45" t="n">
        <v>14</v>
      </c>
      <c r="B18" s="46" t="inlineStr">
        <is>
          <t>ТОО "TimeAgro"</t>
        </is>
      </c>
      <c r="C18" s="39">
        <f>SUMIFS('Реестр операций'!$M$5:$M$442,'Реестр операций'!$Q$5:$Q$442,"ТОО ""TimeAgro""",'Реестр операций'!$O$5:$O$442,"Выручка")</f>
        <v/>
      </c>
      <c r="D18" s="40">
        <f>C18/SUMIFS('Реестр операций'!$M$5:$M$442,'Реестр операций'!$O$5:$O$442,"Выручка")</f>
        <v/>
      </c>
    </row>
    <row r="19">
      <c r="A19" s="45" t="n">
        <v>15</v>
      </c>
      <c r="B19" s="46" t="inlineStr">
        <is>
          <t>ТОВАРИЩЕСТВО С ОГРАНИЧЕННОЙ ОТВЕТСТВЕННОСТЬЮ</t>
        </is>
      </c>
      <c r="C19" s="39">
        <f>SUMIFS('Реестр операций'!$M$5:$M$442,'Реестр операций'!$Q$5:$Q$442,"ТОВАРИЩЕСТВО С ОГРАНИЧЕННОЙ ОТВЕТСТВЕННОСТЬЮ",'Реестр операций'!$O$5:$O$442,"Выручка")</f>
        <v/>
      </c>
      <c r="D19" s="40">
        <f>C19/SUMIFS('Реестр операций'!$M$5:$M$442,'Реестр операций'!$O$5:$O$442,"Выручка")</f>
        <v/>
      </c>
    </row>
    <row r="20">
      <c r="A20" s="45" t="n">
        <v>16</v>
      </c>
      <c r="B20" s="46" t="inlineStr">
        <is>
          <t>ТОО ALTAI MAI</t>
        </is>
      </c>
      <c r="C20" s="39">
        <f>SUMIFS('Реестр операций'!$M$5:$M$442,'Реестр операций'!$Q$5:$Q$442,"ТОО ALTAI MAI",'Реестр операций'!$O$5:$O$442,"Выручка")</f>
        <v/>
      </c>
      <c r="D20" s="40">
        <f>C20/SUMIFS('Реестр операций'!$M$5:$M$442,'Реестр операций'!$O$5:$O$442,"Выручка")</f>
        <v/>
      </c>
    </row>
    <row r="21">
      <c r="A21" s="45" t="n">
        <v>17</v>
      </c>
      <c r="B21" s="46" t="inlineStr">
        <is>
          <t>ТОО «Atasu Global Trans»</t>
        </is>
      </c>
      <c r="C21" s="39">
        <f>SUMIFS('Реестр операций'!$M$5:$M$442,'Реестр операций'!$Q$5:$Q$442,"ТОО «Atasu Global Trans»",'Реестр операций'!$O$5:$O$442,"Выручка")</f>
        <v/>
      </c>
      <c r="D21" s="40">
        <f>C21/SUMIFS('Реестр операций'!$M$5:$M$442,'Реестр операций'!$O$5:$O$442,"Выручка")</f>
        <v/>
      </c>
    </row>
    <row r="22">
      <c r="A22" s="45" t="n">
        <v>18</v>
      </c>
      <c r="B22" s="46" t="inlineStr">
        <is>
          <t>ТОО Kaz-Smart Logistics</t>
        </is>
      </c>
      <c r="C22" s="39">
        <f>SUMIFS('Реестр операций'!$M$5:$M$442,'Реестр операций'!$Q$5:$Q$442,"ТОО Kaz-Smart Logistics",'Реестр операций'!$O$5:$O$442,"Выручка")</f>
        <v/>
      </c>
      <c r="D22" s="40">
        <f>C22/SUMIFS('Реестр операций'!$M$5:$M$442,'Реестр операций'!$O$5:$O$442,"Выручка")</f>
        <v/>
      </c>
    </row>
    <row r="23">
      <c r="A23" s="45" t="n">
        <v>19</v>
      </c>
      <c r="B23" s="46" t="inlineStr">
        <is>
          <t>ТОО EASY BOX</t>
        </is>
      </c>
      <c r="C23" s="39">
        <f>SUMIFS('Реестр операций'!$M$5:$M$442,'Реестр операций'!$Q$5:$Q$442,"ТОО EASY BOX",'Реестр операций'!$O$5:$O$442,"Выручка")</f>
        <v/>
      </c>
      <c r="D23" s="40">
        <f>C23/SUMIFS('Реестр операций'!$M$5:$M$442,'Реестр операций'!$O$5:$O$442,"Выручка")</f>
        <v/>
      </c>
    </row>
    <row r="24">
      <c r="A24" s="45" t="n">
        <v>20</v>
      </c>
      <c r="B24" s="46" t="inlineStr">
        <is>
          <t>ТОО "AsstrА Almaty" (АсстрА Алматы)</t>
        </is>
      </c>
      <c r="C24" s="39">
        <f>SUMIFS('Реестр операций'!$M$5:$M$442,'Реестр операций'!$Q$5:$Q$442,"ТОО ""AsstrА Almaty"" (АсстрА Алматы)",'Реестр операций'!$O$5:$O$442,"Выручка")</f>
        <v/>
      </c>
      <c r="D24" s="40">
        <f>C24/SUMIFS('Реестр операций'!$M$5:$M$442,'Реестр операций'!$O$5:$O$442,"Выручка")</f>
        <v/>
      </c>
    </row>
    <row r="25">
      <c r="A25" s="45" t="n">
        <v>21</v>
      </c>
      <c r="B25" s="46" t="inlineStr">
        <is>
          <t>ТОО Rhenus Intermodal Systems</t>
        </is>
      </c>
      <c r="C25" s="39">
        <f>SUMIFS('Реестр операций'!$M$5:$M$442,'Реестр операций'!$Q$5:$Q$442,"ТОО Rhenus Intermodal Systems",'Реестр операций'!$O$5:$O$442,"Выручка")</f>
        <v/>
      </c>
      <c r="D25" s="40">
        <f>C25/SUMIFS('Реестр операций'!$M$5:$M$442,'Реестр операций'!$O$5:$O$442,"Выручка")</f>
        <v/>
      </c>
    </row>
    <row r="26">
      <c r="A26" s="45" t="n">
        <v>22</v>
      </c>
      <c r="B26" s="46" t="inlineStr">
        <is>
          <t>ТОО Каз Алтын Групп</t>
        </is>
      </c>
      <c r="C26" s="39">
        <f>SUMIFS('Реестр операций'!$M$5:$M$442,'Реестр операций'!$Q$5:$Q$442,"ТОО Каз Алтын Групп",'Реестр операций'!$O$5:$O$442,"Выручка")</f>
        <v/>
      </c>
      <c r="D26" s="40">
        <f>C26/SUMIFS('Реестр операций'!$M$5:$M$442,'Реестр операций'!$O$5:$O$442,"Выручка")</f>
        <v/>
      </c>
    </row>
    <row r="27">
      <c r="A27" s="45" t="n">
        <v>23</v>
      </c>
      <c r="B27" s="46" t="inlineStr">
        <is>
          <t>ТОО "Максат-2030"</t>
        </is>
      </c>
      <c r="C27" s="39">
        <f>SUMIFS('Реестр операций'!$M$5:$M$442,'Реестр операций'!$Q$5:$Q$442,"ТОО ""Максат-2030""",'Реестр операций'!$O$5:$O$442,"Выручка")</f>
        <v/>
      </c>
      <c r="D27" s="40">
        <f>C27/SUMIFS('Реестр операций'!$M$5:$M$442,'Реестр операций'!$O$5:$O$442,"Выручка")</f>
        <v/>
      </c>
    </row>
    <row r="28">
      <c r="A28" s="45" t="n">
        <v>24</v>
      </c>
      <c r="B28" s="46" t="inlineStr">
        <is>
          <t>ТОО "FRS logistics"</t>
        </is>
      </c>
      <c r="C28" s="39">
        <f>SUMIFS('Реестр операций'!$M$5:$M$442,'Реестр операций'!$Q$5:$Q$442,"ТОО ""FRS logistics""",'Реестр операций'!$O$5:$O$442,"Выручка")</f>
        <v/>
      </c>
      <c r="D28" s="40">
        <f>C28/SUMIFS('Реестр операций'!$M$5:$M$442,'Реестр операций'!$O$5:$O$442,"Выручка")</f>
        <v/>
      </c>
    </row>
    <row r="29">
      <c r="A29" s="45" t="n">
        <v>25</v>
      </c>
      <c r="B29" s="46" t="inlineStr">
        <is>
          <t>Данияр Алим</t>
        </is>
      </c>
      <c r="C29" s="39">
        <f>SUMIFS('Реестр операций'!$M$5:$M$442,'Реестр операций'!$Q$5:$Q$442,"Данияр Алим",'Реестр операций'!$O$5:$O$442,"Выручка")</f>
        <v/>
      </c>
      <c r="D29" s="40">
        <f>C29/SUMIFS('Реестр операций'!$M$5:$M$442,'Реестр операций'!$O$5:$O$442,"Выручка")</f>
        <v/>
      </c>
    </row>
    <row r="30">
      <c r="A30" s="25" t="n"/>
      <c r="B30" s="47" t="inlineStr">
        <is>
          <t>ИТОГО (25 контрагентов)</t>
        </is>
      </c>
      <c r="C30" s="26">
        <f>SUM(C5:C29)</f>
        <v/>
      </c>
      <c r="D30" s="48">
        <f>C30/SUMIFS('Реестр операций'!$M$5:$M$442,'Реестр операций'!$O$5:$O$442,"Выручка")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12" customWidth="1" min="4" max="4"/>
  </cols>
  <sheetData>
    <row r="1" ht="34" customHeight="1">
      <c r="A1" s="1" t="inlineStr">
        <is>
          <t>Затраты по поставщикам (все 24)</t>
        </is>
      </c>
    </row>
    <row r="2" ht="18" customHeight="1">
      <c r="A2" s="2" t="inlineStr">
        <is>
          <t>Все поставщики услуг (себестоимость) · формулы SUMIFS по реестру</t>
        </is>
      </c>
    </row>
    <row r="4" ht="26" customHeight="1">
      <c r="A4" s="19" t="inlineStr">
        <is>
          <t>#</t>
        </is>
      </c>
      <c r="B4" s="19" t="inlineStr">
        <is>
          <t>Контрагент</t>
        </is>
      </c>
      <c r="C4" s="19" t="inlineStr">
        <is>
          <t>Сумма, ₸</t>
        </is>
      </c>
      <c r="D4" s="19" t="inlineStr">
        <is>
          <t>% себест.</t>
        </is>
      </c>
    </row>
    <row r="5">
      <c r="A5" s="45" t="n">
        <v>1</v>
      </c>
      <c r="B5" s="46" t="inlineStr">
        <is>
          <t>ТОО «КТЖ-Грузовые перевозки»</t>
        </is>
      </c>
      <c r="C5" s="39">
        <f>SUMIFS('Реестр операций'!$L$5:$L$442,'Реестр операций'!$Q$5:$Q$442,"ТОО «КТЖ-Грузовые перевозки»",'Реестр операций'!$O$5:$O$442,"Себестоимость")</f>
        <v/>
      </c>
      <c r="D5" s="40">
        <f>C5/SUMIFS('Реестр операций'!$L$5:$L$442,'Реестр операций'!$O$5:$O$442,"Себестоимость")</f>
        <v/>
      </c>
    </row>
    <row r="6">
      <c r="A6" s="45" t="n">
        <v>2</v>
      </c>
      <c r="B6" s="46" t="inlineStr">
        <is>
          <t>MEGA STOCK CO. LTD (Таиланд)</t>
        </is>
      </c>
      <c r="C6" s="39">
        <f>SUMIFS('Реестр операций'!$L$5:$L$442,'Реестр операций'!$Q$5:$Q$442,"MEGA STOCK CO. LTD (Таиланд)",'Реестр операций'!$O$5:$O$442,"Себестоимость")</f>
        <v/>
      </c>
      <c r="D6" s="40">
        <f>C6/SUMIFS('Реестр операций'!$L$5:$L$442,'Реестр операций'!$O$5:$O$442,"Себестоимость")</f>
        <v/>
      </c>
    </row>
    <row r="7">
      <c r="A7" s="45" t="n">
        <v>3</v>
      </c>
      <c r="B7" s="46" t="inlineStr">
        <is>
          <t>ООО «ТрансАльянс Запад» (РФ)</t>
        </is>
      </c>
      <c r="C7" s="39">
        <f>SUMIFS('Реестр операций'!$L$5:$L$442,'Реестр операций'!$Q$5:$Q$442,"ООО «ТрансАльянс Запад» (РФ)",'Реестр операций'!$O$5:$O$442,"Себестоимость")</f>
        <v/>
      </c>
      <c r="D7" s="40">
        <f>C7/SUMIFS('Реестр операций'!$L$5:$L$442,'Реестр операций'!$O$5:$O$442,"Себестоимость")</f>
        <v/>
      </c>
    </row>
    <row r="8">
      <c r="A8" s="45" t="n">
        <v>4</v>
      </c>
      <c r="B8" s="46" t="inlineStr">
        <is>
          <t>АО «КазТемирТранс» (КТТ)</t>
        </is>
      </c>
      <c r="C8" s="39">
        <f>SUMIFS('Реестр операций'!$L$5:$L$442,'Реестр операций'!$Q$5:$Q$442,"АО «КазТемирТранс» (КТТ)",'Реестр операций'!$O$5:$O$442,"Себестоимость")</f>
        <v/>
      </c>
      <c r="D8" s="40">
        <f>C8/SUMIFS('Реестр операций'!$L$5:$L$442,'Реестр операций'!$O$5:$O$442,"Себестоимость")</f>
        <v/>
      </c>
    </row>
    <row r="9">
      <c r="A9" s="45" t="n">
        <v>5</v>
      </c>
      <c r="B9" s="46" t="inlineStr">
        <is>
          <t>ТОО "АРНА"</t>
        </is>
      </c>
      <c r="C9" s="39">
        <f>SUMIFS('Реестр операций'!$L$5:$L$442,'Реестр операций'!$Q$5:$Q$442,"ТОО ""АРНА""",'Реестр операций'!$O$5:$O$442,"Себестоимость")</f>
        <v/>
      </c>
      <c r="D9" s="40">
        <f>C9/SUMIFS('Реестр операций'!$L$5:$L$442,'Реестр операций'!$O$5:$O$442,"Себестоимость")</f>
        <v/>
      </c>
    </row>
    <row r="10">
      <c r="A10" s="45" t="n">
        <v>6</v>
      </c>
      <c r="B10" s="46" t="inlineStr">
        <is>
          <t>ТОО «InterLog Co»</t>
        </is>
      </c>
      <c r="C10" s="39">
        <f>SUMIFS('Реестр операций'!$L$5:$L$442,'Реестр операций'!$Q$5:$Q$442,"ТОО «InterLog Co»",'Реестр операций'!$O$5:$O$442,"Себестоимость")</f>
        <v/>
      </c>
      <c r="D10" s="40">
        <f>C10/SUMIFS('Реестр операций'!$L$5:$L$442,'Реестр операций'!$O$5:$O$442,"Себестоимость")</f>
        <v/>
      </c>
    </row>
    <row r="11">
      <c r="A11" s="45" t="n">
        <v>7</v>
      </c>
      <c r="B11" s="46" t="inlineStr">
        <is>
          <t>ТОО "PRATA"</t>
        </is>
      </c>
      <c r="C11" s="39">
        <f>SUMIFS('Реестр операций'!$L$5:$L$442,'Реестр операций'!$Q$5:$Q$442,"ТОО ""PRATA""",'Реестр операций'!$O$5:$O$442,"Себестоимость")</f>
        <v/>
      </c>
      <c r="D11" s="40">
        <f>C11/SUMIFS('Реестр операций'!$L$5:$L$442,'Реестр операций'!$O$5:$O$442,"Себестоимость")</f>
        <v/>
      </c>
    </row>
    <row r="12">
      <c r="A12" s="45" t="n">
        <v>8</v>
      </c>
      <c r="B12" s="46" t="inlineStr">
        <is>
          <t>LLC Altyn Trans (Узб.)</t>
        </is>
      </c>
      <c r="C12" s="39">
        <f>SUMIFS('Реестр операций'!$L$5:$L$442,'Реестр операций'!$Q$5:$Q$442,"LLC Altyn Trans (Узб.)",'Реестр операций'!$O$5:$O$442,"Себестоимость")</f>
        <v/>
      </c>
      <c r="D12" s="40">
        <f>C12/SUMIFS('Реестр операций'!$L$5:$L$442,'Реестр операций'!$O$5:$O$442,"Себестоимость")</f>
        <v/>
      </c>
    </row>
    <row r="13">
      <c r="A13" s="45" t="n">
        <v>9</v>
      </c>
      <c r="B13" s="46" t="inlineStr">
        <is>
          <t>ТОО "ЭДЕМ ТРАНС"</t>
        </is>
      </c>
      <c r="C13" s="39">
        <f>SUMIFS('Реестр операций'!$L$5:$L$442,'Реестр операций'!$Q$5:$Q$442,"ТОО ""ЭДЕМ ТРАНС""",'Реестр операций'!$O$5:$O$442,"Себестоимость")</f>
        <v/>
      </c>
      <c r="D13" s="40">
        <f>C13/SUMIFS('Реестр операций'!$L$5:$L$442,'Реестр операций'!$O$5:$O$442,"Себестоимость")</f>
        <v/>
      </c>
    </row>
    <row r="14">
      <c r="A14" s="45" t="n">
        <v>10</v>
      </c>
      <c r="B14" s="46" t="inlineStr">
        <is>
          <t>ТОО "PetroComLogistics"</t>
        </is>
      </c>
      <c r="C14" s="39">
        <f>SUMIFS('Реестр операций'!$L$5:$L$442,'Реестр операций'!$Q$5:$Q$442,"ТОО ""PetroComLogistics""",'Реестр операций'!$O$5:$O$442,"Себестоимость")</f>
        <v/>
      </c>
      <c r="D14" s="40">
        <f>C14/SUMIFS('Реестр операций'!$L$5:$L$442,'Реестр операций'!$O$5:$O$442,"Себестоимость")</f>
        <v/>
      </c>
    </row>
    <row r="15">
      <c r="A15" s="45" t="n">
        <v>11</v>
      </c>
      <c r="B15" s="46" t="inlineStr">
        <is>
          <t>ТОО "ЭРСАЛТ РЭЙЛ"</t>
        </is>
      </c>
      <c r="C15" s="39">
        <f>SUMIFS('Реестр операций'!$L$5:$L$442,'Реестр операций'!$Q$5:$Q$442,"ТОО ""ЭРСАЛТ РЭЙЛ""",'Реестр операций'!$O$5:$O$442,"Себестоимость")</f>
        <v/>
      </c>
      <c r="D15" s="40">
        <f>C15/SUMIFS('Реестр операций'!$L$5:$L$442,'Реестр операций'!$O$5:$O$442,"Себестоимость")</f>
        <v/>
      </c>
    </row>
    <row r="16">
      <c r="A16" s="45" t="n">
        <v>12</v>
      </c>
      <c r="B16" s="46" t="inlineStr">
        <is>
          <t>ТОО "USM-Logistics"</t>
        </is>
      </c>
      <c r="C16" s="39">
        <f>SUMIFS('Реестр операций'!$L$5:$L$442,'Реестр операций'!$Q$5:$Q$442,"ТОО ""USM-Logistics""",'Реестр операций'!$O$5:$O$442,"Себестоимость")</f>
        <v/>
      </c>
      <c r="D16" s="40">
        <f>C16/SUMIFS('Реестр операций'!$L$5:$L$442,'Реестр операций'!$O$5:$O$442,"Себестоимость")</f>
        <v/>
      </c>
    </row>
    <row r="17">
      <c r="A17" s="45" t="n">
        <v>13</v>
      </c>
      <c r="B17" s="46" t="inlineStr">
        <is>
          <t>ТОО "ResursLogistiс (РесурсЛогистик)"</t>
        </is>
      </c>
      <c r="C17" s="39">
        <f>SUMIFS('Реестр операций'!$L$5:$L$442,'Реестр операций'!$Q$5:$Q$442,"ТОО ""ResursLogistiс (РесурсЛогистик)""",'Реестр операций'!$O$5:$O$442,"Себестоимость")</f>
        <v/>
      </c>
      <c r="D17" s="40">
        <f>C17/SUMIFS('Реестр операций'!$L$5:$L$442,'Реестр операций'!$O$5:$O$442,"Себестоимость")</f>
        <v/>
      </c>
    </row>
    <row r="18">
      <c r="A18" s="45" t="n">
        <v>14</v>
      </c>
      <c r="B18" s="46" t="inlineStr">
        <is>
          <t>ТОО "Нұр-Альфинур"</t>
        </is>
      </c>
      <c r="C18" s="39">
        <f>SUMIFS('Реестр операций'!$L$5:$L$442,'Реестр операций'!$Q$5:$Q$442,"ТОО ""Нұр-Альфинур""",'Реестр операций'!$O$5:$O$442,"Себестоимость")</f>
        <v/>
      </c>
      <c r="D18" s="40">
        <f>C18/SUMIFS('Реестр операций'!$L$5:$L$442,'Реестр операций'!$O$5:$O$442,"Себестоимость")</f>
        <v/>
      </c>
    </row>
    <row r="19">
      <c r="A19" s="45" t="n">
        <v>15</v>
      </c>
      <c r="B19" s="46" t="inlineStr">
        <is>
          <t>ТОО "Asia Railways Tracking Service (Азия Рэ</t>
        </is>
      </c>
      <c r="C19" s="39">
        <f>SUMIFS('Реестр операций'!$L$5:$L$442,'Реестр операций'!$Q$5:$Q$442,"ТОО ""Asia Railways Tracking Service (Азия Рэ",'Реестр операций'!$O$5:$O$442,"Себестоимость")</f>
        <v/>
      </c>
      <c r="D19" s="40">
        <f>C19/SUMIFS('Реестр операций'!$L$5:$L$442,'Реестр операций'!$O$5:$O$442,"Себестоимость")</f>
        <v/>
      </c>
    </row>
    <row r="20">
      <c r="A20" s="45" t="n">
        <v>16</v>
      </c>
      <c r="B20" s="46" t="inlineStr">
        <is>
          <t>Turkmen Demiryol Express (Туркм.)</t>
        </is>
      </c>
      <c r="C20" s="39">
        <f>SUMIFS('Реестр операций'!$L$5:$L$442,'Реестр операций'!$Q$5:$Q$442,"Turkmen Demiryol Express (Туркм.)",'Реестр операций'!$O$5:$O$442,"Себестоимость")</f>
        <v/>
      </c>
      <c r="D20" s="40">
        <f>C20/SUMIFS('Реестр операций'!$L$5:$L$442,'Реестр операций'!$O$5:$O$442,"Себестоимость")</f>
        <v/>
      </c>
    </row>
    <row r="21">
      <c r="A21" s="45" t="n">
        <v>17</v>
      </c>
      <c r="B21" s="46" t="inlineStr">
        <is>
          <t>ТОО ""SK RAILWAY Service""</t>
        </is>
      </c>
      <c r="C21" s="39">
        <f>SUMIFS('Реестр операций'!$L$5:$L$442,'Реестр операций'!$Q$5:$Q$442,"ТОО """"SK RAILWAY Service""""",'Реестр операций'!$O$5:$O$442,"Себестоимость")</f>
        <v/>
      </c>
      <c r="D21" s="40">
        <f>C21/SUMIFS('Реестр операций'!$L$5:$L$442,'Реестр операций'!$O$5:$O$442,"Себестоимость")</f>
        <v/>
      </c>
    </row>
    <row r="22">
      <c r="A22" s="45" t="n">
        <v>18</v>
      </c>
      <c r="B22" s="46" t="inlineStr">
        <is>
          <t>филиал акционерного общества "Национальная к</t>
        </is>
      </c>
      <c r="C22" s="39">
        <f>SUMIFS('Реестр операций'!$L$5:$L$442,'Реестр операций'!$Q$5:$Q$442,"филиал акционерного общества ""Национальная к",'Реестр операций'!$O$5:$O$442,"Себестоимость")</f>
        <v/>
      </c>
      <c r="D22" s="40">
        <f>C22/SUMIFS('Реестр операций'!$L$5:$L$442,'Реестр операций'!$O$5:$O$442,"Себестоимость")</f>
        <v/>
      </c>
    </row>
    <row r="23">
      <c r="A23" s="45" t="n">
        <v>19</v>
      </c>
      <c r="B23" s="46" t="inlineStr">
        <is>
          <t>ТОО "ТОР Арыс"</t>
        </is>
      </c>
      <c r="C23" s="39">
        <f>SUMIFS('Реестр операций'!$L$5:$L$442,'Реестр операций'!$Q$5:$Q$442,"ТОО ""ТОР Арыс""",'Реестр операций'!$O$5:$O$442,"Себестоимость")</f>
        <v/>
      </c>
      <c r="D23" s="40">
        <f>C23/SUMIFS('Реестр операций'!$L$5:$L$442,'Реестр операций'!$O$5:$O$442,"Себестоимость")</f>
        <v/>
      </c>
    </row>
    <row r="24">
      <c r="A24" s="45" t="n">
        <v>20</v>
      </c>
      <c r="B24" s="46" t="inlineStr">
        <is>
          <t>ТОО "Olivin.kz (Оливин.кз)"</t>
        </is>
      </c>
      <c r="C24" s="39">
        <f>SUMIFS('Реестр операций'!$L$5:$L$442,'Реестр операций'!$Q$5:$Q$442,"ТОО ""Olivin.kz (Оливин.кз)""",'Реестр операций'!$O$5:$O$442,"Себестоимость")</f>
        <v/>
      </c>
      <c r="D24" s="40">
        <f>C24/SUMIFS('Реестр операций'!$L$5:$L$442,'Реестр операций'!$O$5:$O$442,"Себестоимость")</f>
        <v/>
      </c>
    </row>
    <row r="25">
      <c r="A25" s="45" t="n">
        <v>21</v>
      </c>
      <c r="B25" s="46" t="inlineStr">
        <is>
          <t>Производственный кооператив "ИБРАЕВ+К"</t>
        </is>
      </c>
      <c r="C25" s="39">
        <f>SUMIFS('Реестр операций'!$L$5:$L$442,'Реестр операций'!$Q$5:$Q$442,"Производственный кооператив ""ИБРАЕВ+К""",'Реестр операций'!$O$5:$O$442,"Себестоимость")</f>
        <v/>
      </c>
      <c r="D25" s="40">
        <f>C25/SUMIFS('Реестр операций'!$L$5:$L$442,'Реестр операций'!$O$5:$O$442,"Себестоимость")</f>
        <v/>
      </c>
    </row>
    <row r="26">
      <c r="A26" s="45" t="n">
        <v>22</v>
      </c>
      <c r="B26" s="46" t="inlineStr">
        <is>
          <t>ТОО "Объединенное железнодорожное хозяйство"</t>
        </is>
      </c>
      <c r="C26" s="39">
        <f>SUMIFS('Реестр операций'!$L$5:$L$442,'Реестр операций'!$Q$5:$Q$442,"ТОО ""Объединенное железнодорожное хозяйство""",'Реестр операций'!$O$5:$O$442,"Себестоимость")</f>
        <v/>
      </c>
      <c r="D26" s="40">
        <f>C26/SUMIFS('Реестр операций'!$L$5:$L$442,'Реестр операций'!$O$5:$O$442,"Себестоимость")</f>
        <v/>
      </c>
    </row>
    <row r="27">
      <c r="A27" s="45" t="n">
        <v>23</v>
      </c>
      <c r="B27" s="46" t="inlineStr">
        <is>
          <t>ТОО "АФ АГМ-Табыс"</t>
        </is>
      </c>
      <c r="C27" s="39">
        <f>SUMIFS('Реестр операций'!$L$5:$L$442,'Реестр операций'!$Q$5:$Q$442,"ТОО ""АФ АГМ-Табыс""",'Реестр операций'!$O$5:$O$442,"Себестоимость")</f>
        <v/>
      </c>
      <c r="D27" s="40">
        <f>C27/SUMIFS('Реестр операций'!$L$5:$L$442,'Реестр операций'!$O$5:$O$442,"Себестоимость")</f>
        <v/>
      </c>
    </row>
    <row r="28">
      <c r="A28" s="45" t="n">
        <v>24</v>
      </c>
      <c r="B28" s="46" t="inlineStr">
        <is>
          <t>Филиал акционерного общества «Национальная к</t>
        </is>
      </c>
      <c r="C28" s="39">
        <f>SUMIFS('Реестр операций'!$L$5:$L$442,'Реестр операций'!$Q$5:$Q$442,"Филиал акционерного общества «Национальная к",'Реестр операций'!$O$5:$O$442,"Себестоимость")</f>
        <v/>
      </c>
      <c r="D28" s="40">
        <f>C28/SUMIFS('Реестр операций'!$L$5:$L$442,'Реестр операций'!$O$5:$O$442,"Себестоимость")</f>
        <v/>
      </c>
    </row>
    <row r="29">
      <c r="A29" s="25" t="n"/>
      <c r="B29" s="47" t="inlineStr">
        <is>
          <t>ИТОГО (24 контрагентов)</t>
        </is>
      </c>
      <c r="C29" s="26">
        <f>SUM(C5:C28)</f>
        <v/>
      </c>
      <c r="D29" s="48">
        <f>C29/SUMIFS('Реестр операций'!$L$5:$L$442,'Реестр операций'!$O$5:$O$442,"Себестоимость")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7" customWidth="1" min="3" max="3"/>
    <col width="17" customWidth="1" min="4" max="4"/>
    <col width="17" customWidth="1" min="5" max="5"/>
    <col width="8" customWidth="1" min="6" max="6"/>
    <col width="17" customWidth="1" min="7" max="7"/>
  </cols>
  <sheetData>
    <row r="1" ht="34" customHeight="1">
      <c r="A1" s="1" t="inlineStr">
        <is>
          <t>Денежные средства по счетам</t>
        </is>
      </c>
    </row>
    <row r="2" ht="18" customHeight="1">
      <c r="A2" s="2" t="inlineStr">
        <is>
          <t>Сверка: остаток на начало + приток − отток = остаток на конец · притоки/оттоки — формулы по реестру</t>
        </is>
      </c>
    </row>
    <row r="4" ht="26" customHeight="1">
      <c r="A4" s="19" t="inlineStr">
        <is>
          <t>Банк · валюта</t>
        </is>
      </c>
      <c r="B4" s="19" t="inlineStr">
        <is>
          <t>ИИК</t>
        </is>
      </c>
      <c r="C4" s="19" t="inlineStr">
        <is>
          <t>Ост. на начало</t>
        </is>
      </c>
      <c r="D4" s="19" t="inlineStr">
        <is>
          <t>Приток</t>
        </is>
      </c>
      <c r="E4" s="19" t="inlineStr">
        <is>
          <t>Отток</t>
        </is>
      </c>
      <c r="F4" s="19" t="inlineStr">
        <is>
          <t>Опер.</t>
        </is>
      </c>
      <c r="G4" s="19" t="inlineStr">
        <is>
          <t>Ост. на конец</t>
        </is>
      </c>
    </row>
    <row r="5">
      <c r="A5" s="49" t="inlineStr">
        <is>
          <t>ЦентрКредит · KZT</t>
        </is>
      </c>
      <c r="B5" s="50" t="inlineStr">
        <is>
          <t>KZ76...2401</t>
        </is>
      </c>
      <c r="C5" s="39" t="n">
        <v>67511.82000000001</v>
      </c>
      <c r="D5" s="39">
        <f>SUMIFS('Реестр операций'!$M$5:$M$442,'Реестр операций'!$B$5:$B$442,"ЦентрКредит",'Реестр операций'!$C$5:$C$442,"KZT")</f>
        <v/>
      </c>
      <c r="E5" s="39">
        <f>SUMIFS('Реестр операций'!$L$5:$L$442,'Реестр операций'!$B$5:$B$442,"ЦентрКредит",'Реестр операций'!$C$5:$C$442,"KZT")</f>
        <v/>
      </c>
      <c r="F5" s="45">
        <f>COUNTIFS('Реестр операций'!$B$5:$B$442,"ЦентрКредит",'Реестр операций'!$C$5:$C$442,"KZT")</f>
        <v/>
      </c>
      <c r="G5" s="39">
        <f>C5+D5-E5</f>
        <v/>
      </c>
    </row>
    <row r="6">
      <c r="A6" s="49" t="inlineStr">
        <is>
          <t>ЦентрКредит · USD</t>
        </is>
      </c>
      <c r="B6" s="50" t="inlineStr">
        <is>
          <t>KZ58...6935</t>
        </is>
      </c>
      <c r="C6" s="39" t="n">
        <v>0</v>
      </c>
      <c r="D6" s="39">
        <f>SUMIFS('Реестр операций'!$M$5:$M$442,'Реестр операций'!$B$5:$B$442,"ЦентрКредит",'Реестр операций'!$C$5:$C$442,"USD")</f>
        <v/>
      </c>
      <c r="E6" s="39">
        <f>SUMIFS('Реестр операций'!$L$5:$L$442,'Реестр операций'!$B$5:$B$442,"ЦентрКредит",'Реестр операций'!$C$5:$C$442,"USD")</f>
        <v/>
      </c>
      <c r="F6" s="45">
        <f>COUNTIFS('Реестр операций'!$B$5:$B$442,"ЦентрКредит",'Реестр операций'!$C$5:$C$442,"USD")</f>
        <v/>
      </c>
      <c r="G6" s="39">
        <f>C6+D6-E6</f>
        <v/>
      </c>
    </row>
    <row r="7">
      <c r="A7" s="49" t="inlineStr">
        <is>
          <t>ЦентрКредит · RUB</t>
        </is>
      </c>
      <c r="B7" s="50" t="inlineStr">
        <is>
          <t>KZ03...8368</t>
        </is>
      </c>
      <c r="C7" s="39" t="n">
        <v>0</v>
      </c>
      <c r="D7" s="39">
        <f>SUMIFS('Реестр операций'!$M$5:$M$442,'Реестр операций'!$B$5:$B$442,"ЦентрКредит",'Реестр операций'!$C$5:$C$442,"RUB")</f>
        <v/>
      </c>
      <c r="E7" s="39">
        <f>SUMIFS('Реестр операций'!$L$5:$L$442,'Реестр операций'!$B$5:$B$442,"ЦентрКредит",'Реестр операций'!$C$5:$C$442,"RUB")</f>
        <v/>
      </c>
      <c r="F7" s="45">
        <f>COUNTIFS('Реестр операций'!$B$5:$B$442,"ЦентрКредит",'Реестр операций'!$C$5:$C$442,"RUB")</f>
        <v/>
      </c>
      <c r="G7" s="39">
        <f>C7+D7-E7</f>
        <v/>
      </c>
    </row>
    <row r="8">
      <c r="A8" s="49" t="inlineStr">
        <is>
          <t>Bank RBK · KZT</t>
        </is>
      </c>
      <c r="B8" s="50" t="inlineStr">
        <is>
          <t>KZ45...0001</t>
        </is>
      </c>
      <c r="C8" s="39" t="n">
        <v>5743.83</v>
      </c>
      <c r="D8" s="39">
        <f>SUMIFS('Реестр операций'!$M$5:$M$442,'Реестр операций'!$B$5:$B$442,"Bank RBK",'Реестр операций'!$C$5:$C$442,"KZT")</f>
        <v/>
      </c>
      <c r="E8" s="39">
        <f>SUMIFS('Реестр операций'!$L$5:$L$442,'Реестр операций'!$B$5:$B$442,"Bank RBK",'Реестр операций'!$C$5:$C$442,"KZT")</f>
        <v/>
      </c>
      <c r="F8" s="45">
        <f>COUNTIFS('Реестр операций'!$B$5:$B$442,"Bank RBK",'Реестр операций'!$C$5:$C$442,"KZT")</f>
        <v/>
      </c>
      <c r="G8" s="39">
        <f>C8+D8-E8</f>
        <v/>
      </c>
    </row>
    <row r="9">
      <c r="A9" s="49" t="inlineStr">
        <is>
          <t>Bank RBK · USD</t>
        </is>
      </c>
      <c r="B9" s="50" t="inlineStr">
        <is>
          <t>KZ20...0063</t>
        </is>
      </c>
      <c r="C9" s="39" t="n">
        <v>0</v>
      </c>
      <c r="D9" s="39">
        <f>SUMIFS('Реестр операций'!$M$5:$M$442,'Реестр операций'!$B$5:$B$442,"Bank RBK",'Реестр операций'!$C$5:$C$442,"USD")</f>
        <v/>
      </c>
      <c r="E9" s="39">
        <f>SUMIFS('Реестр операций'!$L$5:$L$442,'Реестр операций'!$B$5:$B$442,"Bank RBK",'Реестр операций'!$C$5:$C$442,"USD")</f>
        <v/>
      </c>
      <c r="F9" s="45">
        <f>COUNTIFS('Реестр операций'!$B$5:$B$442,"Bank RBK",'Реестр операций'!$C$5:$C$442,"USD")</f>
        <v/>
      </c>
      <c r="G9" s="39">
        <f>C9+D9-E9</f>
        <v/>
      </c>
    </row>
    <row r="10">
      <c r="A10" s="51" t="inlineStr">
        <is>
          <t>ИТОГО по 5 счетам</t>
        </is>
      </c>
      <c r="B10" s="42" t="n"/>
      <c r="C10" s="43">
        <f>SUM(C5:C9)</f>
        <v/>
      </c>
      <c r="D10" s="43">
        <f>SUM(D5:D9)</f>
        <v/>
      </c>
      <c r="E10" s="43">
        <f>SUM(E5:E9)</f>
        <v/>
      </c>
      <c r="F10" s="52">
        <f>SUM(F5:F9)</f>
        <v/>
      </c>
      <c r="G10" s="43">
        <f>SUM(G5:G9)</f>
        <v/>
      </c>
    </row>
    <row r="12">
      <c r="A12" s="53" t="inlineStr">
        <is>
          <t>СПРАВОЧНО, ₸</t>
        </is>
      </c>
    </row>
    <row r="13">
      <c r="A13" s="54" t="inlineStr">
        <is>
          <t>Валовой оборот по 5 счетам (приток+отток)</t>
        </is>
      </c>
      <c r="C13" s="13">
        <f>SUM('Реестр операций'!$L$5:$L$442)+SUM('Реестр операций'!$M$5:$M$442)</f>
        <v/>
      </c>
    </row>
    <row r="14">
      <c r="A14" s="54" t="inlineStr">
        <is>
          <t>Реальный внешний приток</t>
        </is>
      </c>
      <c r="C14" s="13">
        <f>SUMIFS('Реестр операций'!$M$5:$M$442,'Реестр операций'!$N$5:$N$442,"Внешняя операция")</f>
        <v/>
      </c>
    </row>
    <row r="15">
      <c r="A15" s="54" t="inlineStr">
        <is>
          <t>Реальный внешний расход</t>
        </is>
      </c>
      <c r="C15" s="13">
        <f>SUMIFS('Реестр операций'!$L$5:$L$442,'Реестр операций'!$N$5:$N$442,"Внешняя операция")</f>
        <v/>
      </c>
    </row>
    <row r="16">
      <c r="A16" s="54" t="inlineStr">
        <is>
          <t>«Шум» (внутр. переводы + конвертация)</t>
        </is>
      </c>
      <c r="C16" s="13">
        <f>SUM('Реестр операций'!$L$5:$L$442)+SUM('Реестр операций'!$M$5:$M$442)-SUMIFS('Реестр операций'!$M$5:$M$442,'Реестр операций'!$N$5:$N$442,"Внешняя операция")-SUMIFS('Реестр операций'!$L$5:$L$442,'Реестр операций'!$N$5:$N$442,"Внешняя операция")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6" customWidth="1" min="4" max="4"/>
    <col width="28" customWidth="1" min="5" max="5"/>
    <col width="13" customWidth="1" min="6" max="6"/>
    <col width="5" customWidth="1" min="7" max="7"/>
    <col width="38" customWidth="1" min="8" max="8"/>
    <col width="13" customWidth="1" min="9" max="9"/>
    <col width="13" customWidth="1" min="10" max="10"/>
    <col width="7" customWidth="1" min="11" max="11"/>
    <col width="14" customWidth="1" min="12" max="12"/>
    <col width="14" customWidth="1" min="13" max="13"/>
    <col width="16" customWidth="1" min="14" max="14"/>
    <col width="15" customWidth="1" min="15" max="15"/>
    <col width="25" customWidth="1" min="16" max="16"/>
    <col width="28" customWidth="1" min="17" max="17"/>
  </cols>
  <sheetData>
    <row r="1" ht="34" customHeight="1">
      <c r="A1" s="1" t="inlineStr">
        <is>
          <t>Реестр операций (первичные данные)</t>
        </is>
      </c>
    </row>
    <row r="2" ht="18" customHeight="1">
      <c r="A2" s="2" t="inlineStr">
        <is>
          <t>Все 438 операций из выписок с классификацией · источник для всех формул · фильтруется</t>
        </is>
      </c>
    </row>
    <row r="4" ht="26" customHeight="1">
      <c r="A4" s="19" t="inlineStr">
        <is>
          <t>Дата</t>
        </is>
      </c>
      <c r="B4" s="19" t="inlineStr">
        <is>
          <t>Банк</t>
        </is>
      </c>
      <c r="C4" s="19" t="inlineStr">
        <is>
          <t>Вал</t>
        </is>
      </c>
      <c r="D4" s="19" t="inlineStr">
        <is>
          <t>Счёт</t>
        </is>
      </c>
      <c r="E4" s="19" t="inlineStr">
        <is>
          <t>Контрагент</t>
        </is>
      </c>
      <c r="F4" s="19" t="inlineStr">
        <is>
          <t>БИН</t>
        </is>
      </c>
      <c r="G4" s="19" t="inlineStr">
        <is>
          <t>КНП</t>
        </is>
      </c>
      <c r="H4" s="19" t="inlineStr">
        <is>
          <t>Назначение платежа</t>
        </is>
      </c>
      <c r="I4" s="19" t="inlineStr">
        <is>
          <t>Расход (вал)</t>
        </is>
      </c>
      <c r="J4" s="19" t="inlineStr">
        <is>
          <t>Приход (вал)</t>
        </is>
      </c>
      <c r="K4" s="19" t="inlineStr">
        <is>
          <t>Курс</t>
        </is>
      </c>
      <c r="L4" s="19" t="inlineStr">
        <is>
          <t>Расход, ₸</t>
        </is>
      </c>
      <c r="M4" s="19" t="inlineStr">
        <is>
          <t>Приход, ₸</t>
        </is>
      </c>
      <c r="N4" s="19" t="inlineStr">
        <is>
          <t>Тип</t>
        </is>
      </c>
      <c r="O4" s="19" t="inlineStr">
        <is>
          <t>Группа</t>
        </is>
      </c>
      <c r="P4" s="19" t="inlineStr">
        <is>
          <t>Статья</t>
        </is>
      </c>
      <c r="Q4" s="19" t="inlineStr">
        <is>
          <t>Контрагент (норм.)</t>
        </is>
      </c>
    </row>
    <row r="5">
      <c r="A5" s="55" t="inlineStr">
        <is>
          <t>01.07.2026</t>
        </is>
      </c>
      <c r="B5" s="55" t="inlineStr">
        <is>
          <t>ЦентрКредит</t>
        </is>
      </c>
      <c r="C5" s="55" t="inlineStr">
        <is>
          <t>KZT</t>
        </is>
      </c>
      <c r="D5" s="55" t="inlineStr">
        <is>
          <t>2401</t>
        </is>
      </c>
      <c r="E5" s="55" t="inlineStr">
        <is>
          <t>Товарищество с ограниченной ответственностью "Shiny river"</t>
        </is>
      </c>
      <c r="F5" s="55" t="inlineStr">
        <is>
          <t>251240008624</t>
        </is>
      </c>
      <c r="G5" s="55" t="inlineStr">
        <is>
          <t>872</t>
        </is>
      </c>
      <c r="H5" s="56" t="inlineStr">
        <is>
          <t>Счет на оплату № 717 от 01.07.2026 г. Проживание в гостинице Унбетпаев / Доолоткулов с 01.07.2026 по 02.07.2026</t>
        </is>
      </c>
      <c r="I5" s="57" t="n">
        <v>39000</v>
      </c>
      <c r="J5" s="57" t="n"/>
      <c r="K5" s="58" t="n">
        <v>1</v>
      </c>
      <c r="L5" s="57" t="n">
        <v>39000</v>
      </c>
      <c r="M5" s="57" t="n"/>
      <c r="N5" s="55" t="inlineStr">
        <is>
          <t>Внешняя операция</t>
        </is>
      </c>
      <c r="O5" s="55" t="inlineStr">
        <is>
          <t>ФОТ</t>
        </is>
      </c>
      <c r="P5" s="55" t="inlineStr">
        <is>
          <t>Командировки и подотчёт</t>
        </is>
      </c>
      <c r="Q5" s="55" t="inlineStr">
        <is>
          <t>ТОО "Shiny river"</t>
        </is>
      </c>
    </row>
    <row r="6">
      <c r="A6" s="55" t="inlineStr">
        <is>
          <t>01.07.2026</t>
        </is>
      </c>
      <c r="B6" s="55" t="inlineStr">
        <is>
          <t>ЦентрКредит</t>
        </is>
      </c>
      <c r="C6" s="55" t="inlineStr">
        <is>
          <t>KZT</t>
        </is>
      </c>
      <c r="D6" s="55" t="inlineStr">
        <is>
          <t>2401</t>
        </is>
      </c>
      <c r="E6" s="55" t="inlineStr">
        <is>
          <t>Доолоткулов Данияр Дулатбекович</t>
        </is>
      </c>
      <c r="F6" s="55" t="inlineStr">
        <is>
          <t>940502350175</t>
        </is>
      </c>
      <c r="G6" s="55" t="inlineStr">
        <is>
          <t>871</t>
        </is>
      </c>
      <c r="H6" s="56" t="inlineStr">
        <is>
          <t>Суточные расходы на проезд в Астана-Усть-Каменогорск- Семей 30.06-04.07.2026 5 кд *15МРП (4325тг МРП) Приказ №51 от 29.06.2026. Без НДС. Платежи по поездкам</t>
        </is>
      </c>
      <c r="I6" s="57" t="n">
        <v>64875</v>
      </c>
      <c r="J6" s="57" t="n"/>
      <c r="K6" s="58" t="n">
        <v>1</v>
      </c>
      <c r="L6" s="57" t="n">
        <v>64875</v>
      </c>
      <c r="M6" s="57" t="n"/>
      <c r="N6" s="55" t="inlineStr">
        <is>
          <t>Внешняя операция</t>
        </is>
      </c>
      <c r="O6" s="55" t="inlineStr">
        <is>
          <t>ФОТ</t>
        </is>
      </c>
      <c r="P6" s="55" t="inlineStr">
        <is>
          <t>Командировки и подотчёт</t>
        </is>
      </c>
      <c r="Q6" s="55" t="inlineStr">
        <is>
          <t>Доолоткулов Данияр Дулатбекович</t>
        </is>
      </c>
    </row>
    <row r="7">
      <c r="A7" s="55" t="inlineStr">
        <is>
          <t>01.07.2026</t>
        </is>
      </c>
      <c r="B7" s="55" t="inlineStr">
        <is>
          <t>ЦентрКредит</t>
        </is>
      </c>
      <c r="C7" s="55" t="inlineStr">
        <is>
          <t>KZT</t>
        </is>
      </c>
      <c r="D7" s="55" t="inlineStr">
        <is>
          <t>2401</t>
        </is>
      </c>
      <c r="E7" s="55" t="inlineStr">
        <is>
          <t>Унбетпаев Ернар Байтасович</t>
        </is>
      </c>
      <c r="F7" s="55" t="inlineStr">
        <is>
          <t>840808300582</t>
        </is>
      </c>
      <c r="G7" s="55" t="inlineStr">
        <is>
          <t>871</t>
        </is>
      </c>
      <c r="H7" s="56" t="inlineStr">
        <is>
          <t>Суточные расходы на проезд в Астана-Усть-Каменогорск- Семей 30.06-04.07.2026 5 кд *20МРП (4325тг МРП) Приказ №51 от 29.06.2026. Без НДС. Платежи по поездкам</t>
        </is>
      </c>
      <c r="I7" s="57" t="n">
        <v>86500</v>
      </c>
      <c r="J7" s="57" t="n"/>
      <c r="K7" s="58" t="n">
        <v>1</v>
      </c>
      <c r="L7" s="57" t="n">
        <v>86500</v>
      </c>
      <c r="M7" s="57" t="n"/>
      <c r="N7" s="55" t="inlineStr">
        <is>
          <t>Внешняя операция</t>
        </is>
      </c>
      <c r="O7" s="55" t="inlineStr">
        <is>
          <t>ФОТ</t>
        </is>
      </c>
      <c r="P7" s="55" t="inlineStr">
        <is>
          <t>Командировки и подотчёт</t>
        </is>
      </c>
      <c r="Q7" s="55" t="inlineStr">
        <is>
          <t>Унбетпаев Ернар Байтасович</t>
        </is>
      </c>
    </row>
    <row r="8">
      <c r="A8" s="55" t="inlineStr">
        <is>
          <t>01.07.2026</t>
        </is>
      </c>
      <c r="B8" s="55" t="inlineStr">
        <is>
          <t>ЦентрКредит</t>
        </is>
      </c>
      <c r="C8" s="55" t="inlineStr">
        <is>
          <t>KZT</t>
        </is>
      </c>
      <c r="D8" s="55" t="inlineStr">
        <is>
          <t>2401</t>
        </is>
      </c>
      <c r="E8" s="55" t="inlineStr">
        <is>
          <t>Товарищество с ограниченной ответственностью "Olivin.kz (Оливин.кз)"</t>
        </is>
      </c>
      <c r="F8" s="55" t="inlineStr">
        <is>
          <t>210240014486</t>
        </is>
      </c>
      <c r="G8" s="55" t="inlineStr">
        <is>
          <t>710</t>
        </is>
      </c>
      <c r="H8" s="56" t="inlineStr">
        <is>
          <t>Счет на оплату № 177 от 25.06.2026 г. Магнитный внешний аккумулятор 30 шт</t>
        </is>
      </c>
      <c r="I8" s="57" t="n">
        <v>287400</v>
      </c>
      <c r="J8" s="57" t="n"/>
      <c r="K8" s="58" t="n">
        <v>1</v>
      </c>
      <c r="L8" s="57" t="n">
        <v>287400</v>
      </c>
      <c r="M8" s="57" t="n"/>
      <c r="N8" s="55" t="inlineStr">
        <is>
          <t>Внешняя операция</t>
        </is>
      </c>
      <c r="O8" s="55" t="inlineStr">
        <is>
          <t>Себестоимость</t>
        </is>
      </c>
      <c r="P8" s="55" t="inlineStr">
        <is>
          <t>Ремонт вагонов и узлов</t>
        </is>
      </c>
      <c r="Q8" s="55" t="inlineStr">
        <is>
          <t>ТОО "Olivin.kz (Оливин.кз)"</t>
        </is>
      </c>
    </row>
    <row r="9">
      <c r="A9" s="55" t="inlineStr">
        <is>
          <t>01.07.2026</t>
        </is>
      </c>
      <c r="B9" s="55" t="inlineStr">
        <is>
          <t>ЦентрКредит</t>
        </is>
      </c>
      <c r="C9" s="55" t="inlineStr">
        <is>
          <t>KZT</t>
        </is>
      </c>
      <c r="D9" s="55" t="inlineStr">
        <is>
          <t>2401</t>
        </is>
      </c>
      <c r="E9" s="55" t="inlineStr">
        <is>
          <t>Товарищество с ограниченной ответственностью "Asia Railways Tracking Service (Азия Рэилвейс Трекинг Сервис)"</t>
        </is>
      </c>
      <c r="F9" s="55" t="inlineStr">
        <is>
          <t>130540005778</t>
        </is>
      </c>
      <c r="G9" s="55" t="inlineStr">
        <is>
          <t>813</t>
        </is>
      </c>
      <c r="H9" s="56" t="inlineStr">
        <is>
          <t>Счет на оплату № И-1792 от 01.07.2026 г. Договор № D-0071124 от 07.11.2024 г.Авансовая оплата за дислокацию подвижного состава</t>
        </is>
      </c>
      <c r="I9" s="57" t="n">
        <v>500000</v>
      </c>
      <c r="J9" s="57" t="n"/>
      <c r="K9" s="58" t="n">
        <v>1</v>
      </c>
      <c r="L9" s="57" t="n">
        <v>500000</v>
      </c>
      <c r="M9" s="57" t="n"/>
      <c r="N9" s="55" t="inlineStr">
        <is>
          <t>Внешняя операция</t>
        </is>
      </c>
      <c r="O9" s="55" t="inlineStr">
        <is>
          <t>Себестоимость</t>
        </is>
      </c>
      <c r="P9" s="55" t="inlineStr">
        <is>
          <t>Аренда/предоставление вагонов</t>
        </is>
      </c>
      <c r="Q9" s="55" t="inlineStr">
        <is>
          <t>ТОО "Asia Railways Tracking Service (Азия Рэ</t>
        </is>
      </c>
    </row>
    <row r="10">
      <c r="A10" s="55" t="inlineStr">
        <is>
          <t>01.07.2026</t>
        </is>
      </c>
      <c r="B10" s="55" t="inlineStr">
        <is>
          <t>ЦентрКредит</t>
        </is>
      </c>
      <c r="C10" s="55" t="inlineStr">
        <is>
          <t>KZT</t>
        </is>
      </c>
      <c r="D10" s="55" t="inlineStr">
        <is>
          <t>2401</t>
        </is>
      </c>
      <c r="E10" s="55" t="inlineStr">
        <is>
          <t>Товарищество с ограниченной ответственностью "Нұр-Альфинур"</t>
        </is>
      </c>
      <c r="F10" s="55" t="inlineStr">
        <is>
          <t>111240015961</t>
        </is>
      </c>
      <c r="G10" s="55" t="inlineStr">
        <is>
          <t>822</t>
        </is>
      </c>
      <c r="H10" s="56" t="inlineStr">
        <is>
          <t>Оплата согласно акт сверки Сумма 2 505 840-78 тенге без налога</t>
        </is>
      </c>
      <c r="I10" s="57" t="n">
        <v>2505840.78</v>
      </c>
      <c r="J10" s="57" t="n"/>
      <c r="K10" s="58" t="n">
        <v>1</v>
      </c>
      <c r="L10" s="57" t="n">
        <v>2505840.78</v>
      </c>
      <c r="M10" s="57" t="n"/>
      <c r="N10" s="55" t="inlineStr">
        <is>
          <t>Внешняя операция</t>
        </is>
      </c>
      <c r="O10" s="55" t="inlineStr">
        <is>
          <t>Себестоимость</t>
        </is>
      </c>
      <c r="P10" s="55" t="inlineStr">
        <is>
          <t>Ремонт вагонов и узлов</t>
        </is>
      </c>
      <c r="Q10" s="55" t="inlineStr">
        <is>
          <t>ТОО "Нұр-Альфинур"</t>
        </is>
      </c>
    </row>
    <row r="11">
      <c r="A11" s="55" t="inlineStr">
        <is>
          <t>01.07.2026</t>
        </is>
      </c>
      <c r="B11" s="55" t="inlineStr">
        <is>
          <t>ЦентрКредит</t>
        </is>
      </c>
      <c r="C11" s="55" t="inlineStr">
        <is>
          <t>KZT</t>
        </is>
      </c>
      <c r="D11" s="55" t="inlineStr">
        <is>
          <t>2401</t>
        </is>
      </c>
      <c r="E11" s="55" t="inlineStr">
        <is>
          <t>Банк ЦентрКредит для ЗП</t>
        </is>
      </c>
      <c r="F11" s="55" t="inlineStr">
        <is>
          <t>980640000093</t>
        </is>
      </c>
      <c r="G11" s="55" t="inlineStr">
        <is>
          <t>332</t>
        </is>
      </c>
      <c r="H11" s="56" t="inlineStr">
        <is>
          <t>Для зачисления на картсчета сотрудникам согласно спискам 5 500 000-00 тенге.</t>
        </is>
      </c>
      <c r="I11" s="57" t="n">
        <v>5500000</v>
      </c>
      <c r="J11" s="57" t="n"/>
      <c r="K11" s="58" t="n">
        <v>1</v>
      </c>
      <c r="L11" s="57" t="n">
        <v>5500000</v>
      </c>
      <c r="M11" s="57" t="n"/>
      <c r="N11" s="55" t="inlineStr">
        <is>
          <t>Внешняя операция</t>
        </is>
      </c>
      <c r="O11" s="55" t="inlineStr">
        <is>
          <t>ФОТ</t>
        </is>
      </c>
      <c r="P11" s="55" t="inlineStr">
        <is>
          <t>Зарплата</t>
        </is>
      </c>
      <c r="Q11" s="55" t="inlineStr">
        <is>
          <t>Банк ЦентрКредит для ЗП</t>
        </is>
      </c>
    </row>
    <row r="12">
      <c r="A12" s="55" t="inlineStr">
        <is>
          <t>01.07.2026</t>
        </is>
      </c>
      <c r="B12" s="55" t="inlineStr">
        <is>
          <t>ЦентрКредит</t>
        </is>
      </c>
      <c r="C12" s="55" t="inlineStr">
        <is>
          <t>KZT</t>
        </is>
      </c>
      <c r="D12" s="55" t="inlineStr">
        <is>
          <t>2401</t>
        </is>
      </c>
      <c r="E12" s="55" t="inlineStr">
        <is>
          <t>Товарищество с ограниченной ответственностью "ResursLogistiс (РесурсЛогистик)"</t>
        </is>
      </c>
      <c r="F12" s="55" t="inlineStr">
        <is>
          <t>230940036377</t>
        </is>
      </c>
      <c r="G12" s="55" t="inlineStr">
        <is>
          <t>813</t>
        </is>
      </c>
      <c r="H12" s="56" t="inlineStr">
        <is>
          <t>Счет на оплату №124 от 22.06.2026 г. Счет на оплату №124 от 22.06.2026 г. Оплата за аренду вагонов ТОО «WayStar Group» по договору оказания услуг № 17-РЛ/25 от 13.05.2025г. Аренда ЦС за июль</t>
        </is>
      </c>
      <c r="I12" s="57" t="n">
        <v>6724520</v>
      </c>
      <c r="J12" s="57" t="n"/>
      <c r="K12" s="58" t="n">
        <v>1</v>
      </c>
      <c r="L12" s="57" t="n">
        <v>6724520</v>
      </c>
      <c r="M12" s="57" t="n"/>
      <c r="N12" s="55" t="inlineStr">
        <is>
          <t>Внешняя операция</t>
        </is>
      </c>
      <c r="O12" s="55" t="inlineStr">
        <is>
          <t>Себестоимость</t>
        </is>
      </c>
      <c r="P12" s="55" t="inlineStr">
        <is>
          <t>Аренда/предоставление вагонов</t>
        </is>
      </c>
      <c r="Q12" s="55" t="inlineStr">
        <is>
          <t>ТОО "ResursLogistiс (РесурсЛогистик)"</t>
        </is>
      </c>
    </row>
    <row r="13">
      <c r="A13" s="55" t="inlineStr">
        <is>
          <t>01.07.2026</t>
        </is>
      </c>
      <c r="B13" s="55" t="inlineStr">
        <is>
          <t>ЦентрКредит</t>
        </is>
      </c>
      <c r="C13" s="55" t="inlineStr">
        <is>
          <t>KZT</t>
        </is>
      </c>
      <c r="D13" s="55" t="inlineStr">
        <is>
          <t>2401</t>
        </is>
      </c>
      <c r="E13" s="55" t="inlineStr">
        <is>
          <t>Товарищество с ограниченной ответственностью "WayStar Group"</t>
        </is>
      </c>
      <c r="F13" s="55" t="inlineStr">
        <is>
          <t>240340014287</t>
        </is>
      </c>
      <c r="G13" s="55" t="inlineStr">
        <is>
          <t>312</t>
        </is>
      </c>
      <c r="H13" s="56" t="inlineStr">
        <is>
          <t>Размещение вклада</t>
        </is>
      </c>
      <c r="I13" s="57" t="n">
        <v>9371424.15</v>
      </c>
      <c r="J13" s="57" t="n"/>
      <c r="K13" s="58" t="n">
        <v>1</v>
      </c>
      <c r="L13" s="57" t="n">
        <v>9371424.15</v>
      </c>
      <c r="M13" s="57" t="n"/>
      <c r="N13" s="59" t="inlineStr">
        <is>
          <t>Внутренний перевод</t>
        </is>
      </c>
      <c r="O13" s="55" t="inlineStr">
        <is>
          <t>Технические</t>
        </is>
      </c>
      <c r="P13" s="55" t="inlineStr">
        <is>
          <t>Перевод между своими счетами</t>
        </is>
      </c>
      <c r="Q13" s="55" t="inlineStr"/>
    </row>
    <row r="14">
      <c r="A14" s="55" t="inlineStr">
        <is>
          <t>01.07.2026</t>
        </is>
      </c>
      <c r="B14" s="55" t="inlineStr">
        <is>
          <t>ЦентрКредит</t>
        </is>
      </c>
      <c r="C14" s="55" t="inlineStr">
        <is>
          <t>KZT</t>
        </is>
      </c>
      <c r="D14" s="55" t="inlineStr">
        <is>
          <t>2401</t>
        </is>
      </c>
      <c r="E14" s="55" t="inlineStr">
        <is>
          <t>Товарищество с ограниченной ответственностью "ResursLogistiс (РесурсЛогистик)"</t>
        </is>
      </c>
      <c r="F14" s="55" t="inlineStr">
        <is>
          <t>230940036377</t>
        </is>
      </c>
      <c r="G14" s="55" t="inlineStr">
        <is>
          <t>880</t>
        </is>
      </c>
      <c r="H14" s="56" t="inlineStr">
        <is>
          <t>Возврат денежных средств Договор №2026/03-14 от 05.03.2026 г.</t>
        </is>
      </c>
      <c r="I14" s="57" t="n">
        <v>10000000</v>
      </c>
      <c r="J14" s="57" t="n"/>
      <c r="K14" s="58" t="n">
        <v>1</v>
      </c>
      <c r="L14" s="57" t="n">
        <v>10000000</v>
      </c>
      <c r="M14" s="57" t="n"/>
      <c r="N14" s="55" t="inlineStr">
        <is>
          <t>Внешняя операция</t>
        </is>
      </c>
      <c r="O14" s="55" t="inlineStr">
        <is>
          <t>Прочее</t>
        </is>
      </c>
      <c r="P14" s="55" t="inlineStr">
        <is>
          <t>Возврат средств контрагенту</t>
        </is>
      </c>
      <c r="Q14" s="55" t="inlineStr">
        <is>
          <t>ТОО "ResursLogistiс (РесурсЛогистик)"</t>
        </is>
      </c>
    </row>
    <row r="15">
      <c r="A15" s="55" t="inlineStr">
        <is>
          <t>01.07.2026</t>
        </is>
      </c>
      <c r="B15" s="55" t="inlineStr">
        <is>
          <t>ЦентрКредит</t>
        </is>
      </c>
      <c r="C15" s="55" t="inlineStr">
        <is>
          <t>KZT</t>
        </is>
      </c>
      <c r="D15" s="55" t="inlineStr">
        <is>
          <t>2401</t>
        </is>
      </c>
      <c r="E15" s="55" t="inlineStr">
        <is>
          <t>Товарищество с ограниченной ответственностью "WayStar Group"</t>
        </is>
      </c>
      <c r="F15" s="55" t="inlineStr">
        <is>
          <t>240340014287</t>
        </is>
      </c>
      <c r="G15" s="55" t="inlineStr">
        <is>
          <t>312</t>
        </is>
      </c>
      <c r="H15" s="56" t="inlineStr">
        <is>
          <t>на депозит. Без НДС. Размещение краткосрочных вкладов (не более одного года)</t>
        </is>
      </c>
      <c r="I15" s="57" t="n">
        <v>101543680</v>
      </c>
      <c r="J15" s="57" t="n"/>
      <c r="K15" s="58" t="n">
        <v>1</v>
      </c>
      <c r="L15" s="57" t="n">
        <v>101543680</v>
      </c>
      <c r="M15" s="57" t="n"/>
      <c r="N15" s="59" t="inlineStr">
        <is>
          <t>Внутренний перевод</t>
        </is>
      </c>
      <c r="O15" s="55" t="inlineStr">
        <is>
          <t>Технические</t>
        </is>
      </c>
      <c r="P15" s="55" t="inlineStr">
        <is>
          <t>Перевод между своими счетами</t>
        </is>
      </c>
      <c r="Q15" s="55" t="inlineStr"/>
    </row>
    <row r="16">
      <c r="A16" s="55" t="inlineStr">
        <is>
          <t>01.07.2026</t>
        </is>
      </c>
      <c r="B16" s="55" t="inlineStr">
        <is>
          <t>ЦентрКредит</t>
        </is>
      </c>
      <c r="C16" s="55" t="inlineStr">
        <is>
          <t>KZT</t>
        </is>
      </c>
      <c r="D16" s="55" t="inlineStr">
        <is>
          <t>2401</t>
        </is>
      </c>
      <c r="E16" s="55" t="inlineStr">
        <is>
          <t>Товарищество с ограниченной ответственностью "WayStar Group"</t>
        </is>
      </c>
      <c r="F16" s="55" t="inlineStr">
        <is>
          <t>240340014287</t>
        </is>
      </c>
      <c r="G16" s="55" t="inlineStr">
        <is>
          <t>316</t>
        </is>
      </c>
      <c r="H16" s="56" t="inlineStr">
        <is>
          <t>Выплата начисленного вознаграждения по депозитному договору № 01607034 от 24.07.2025 за период с 29.06.26 по 30.06.26. Вкладчик Товарищество с ограниченной ответственностью "WayStar Group".</t>
        </is>
      </c>
      <c r="I16" s="57" t="n"/>
      <c r="J16" s="57" t="n">
        <v>1328.33</v>
      </c>
      <c r="K16" s="58" t="n">
        <v>1</v>
      </c>
      <c r="L16" s="57" t="n"/>
      <c r="M16" s="57" t="n">
        <v>1328.33</v>
      </c>
      <c r="N16" s="59" t="inlineStr">
        <is>
          <t>Внутренний перевод</t>
        </is>
      </c>
      <c r="O16" s="55" t="inlineStr">
        <is>
          <t>Технические</t>
        </is>
      </c>
      <c r="P16" s="55" t="inlineStr">
        <is>
          <t>Перевод между своими счетами</t>
        </is>
      </c>
      <c r="Q16" s="55" t="inlineStr"/>
    </row>
    <row r="17">
      <c r="A17" s="55" t="inlineStr">
        <is>
          <t>01.07.2026</t>
        </is>
      </c>
      <c r="B17" s="55" t="inlineStr">
        <is>
          <t>ЦентрКредит</t>
        </is>
      </c>
      <c r="C17" s="55" t="inlineStr">
        <is>
          <t>KZT</t>
        </is>
      </c>
      <c r="D17" s="55" t="inlineStr">
        <is>
          <t>2401</t>
        </is>
      </c>
      <c r="E17" s="55" t="inlineStr">
        <is>
          <t>Товарищество с ограниченной ответственностью "WayStar Group"</t>
        </is>
      </c>
      <c r="F17" s="55" t="inlineStr">
        <is>
          <t>240340014287</t>
        </is>
      </c>
      <c r="G17" s="55" t="inlineStr">
        <is>
          <t>322</t>
        </is>
      </c>
      <c r="H17" s="56" t="inlineStr">
        <is>
          <t>Без НДС. Снятие с краткосрочного вклада (не более одного года)</t>
        </is>
      </c>
      <c r="I17" s="57" t="n"/>
      <c r="J17" s="57" t="n">
        <v>500000</v>
      </c>
      <c r="K17" s="58" t="n">
        <v>1</v>
      </c>
      <c r="L17" s="57" t="n"/>
      <c r="M17" s="57" t="n">
        <v>500000</v>
      </c>
      <c r="N17" s="59" t="inlineStr">
        <is>
          <t>Внутренний перевод</t>
        </is>
      </c>
      <c r="O17" s="55" t="inlineStr">
        <is>
          <t>Технические</t>
        </is>
      </c>
      <c r="P17" s="55" t="inlineStr">
        <is>
          <t>Перевод между своими счетами</t>
        </is>
      </c>
      <c r="Q17" s="55" t="inlineStr"/>
    </row>
    <row r="18">
      <c r="A18" s="55" t="inlineStr">
        <is>
          <t>01.07.2026</t>
        </is>
      </c>
      <c r="B18" s="55" t="inlineStr">
        <is>
          <t>ЦентрКредит</t>
        </is>
      </c>
      <c r="C18" s="55" t="inlineStr">
        <is>
          <t>KZT</t>
        </is>
      </c>
      <c r="D18" s="55" t="inlineStr">
        <is>
          <t>2401</t>
        </is>
      </c>
      <c r="E18" s="55" t="inlineStr">
        <is>
          <t>Товарищество с ограниченной ответственностью "WayStar Group"</t>
        </is>
      </c>
      <c r="F18" s="55" t="inlineStr">
        <is>
          <t>240340014287</t>
        </is>
      </c>
      <c r="G18" s="55" t="inlineStr">
        <is>
          <t>322</t>
        </is>
      </c>
      <c r="H18" s="56" t="inlineStr">
        <is>
          <t>Без НДС. Снятие с краткосрочного вклада (не более одного года)</t>
        </is>
      </c>
      <c r="I18" s="57" t="n"/>
      <c r="J18" s="57" t="n">
        <v>500000</v>
      </c>
      <c r="K18" s="58" t="n">
        <v>1</v>
      </c>
      <c r="L18" s="57" t="n"/>
      <c r="M18" s="57" t="n">
        <v>500000</v>
      </c>
      <c r="N18" s="59" t="inlineStr">
        <is>
          <t>Внутренний перевод</t>
        </is>
      </c>
      <c r="O18" s="55" t="inlineStr">
        <is>
          <t>Технические</t>
        </is>
      </c>
      <c r="P18" s="55" t="inlineStr">
        <is>
          <t>Перевод между своими счетами</t>
        </is>
      </c>
      <c r="Q18" s="55" t="inlineStr"/>
    </row>
    <row r="19">
      <c r="A19" s="55" t="inlineStr">
        <is>
          <t>01.07.2026</t>
        </is>
      </c>
      <c r="B19" s="55" t="inlineStr">
        <is>
          <t>ЦентрКредит</t>
        </is>
      </c>
      <c r="C19" s="55" t="inlineStr">
        <is>
          <t>KZT</t>
        </is>
      </c>
      <c r="D19" s="55" t="inlineStr">
        <is>
          <t>2401</t>
        </is>
      </c>
      <c r="E19" s="55" t="inlineStr">
        <is>
          <t>ТОО  "WayStar Group"</t>
        </is>
      </c>
      <c r="F19" s="55" t="inlineStr">
        <is>
          <t>240340014287</t>
        </is>
      </c>
      <c r="G19" s="55" t="inlineStr">
        <is>
          <t>343</t>
        </is>
      </c>
      <c r="H19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" s="57" t="n"/>
      <c r="J19" s="57" t="n">
        <v>2626000</v>
      </c>
      <c r="K19" s="58" t="n">
        <v>1</v>
      </c>
      <c r="L19" s="57" t="n"/>
      <c r="M19" s="57" t="n">
        <v>2626000</v>
      </c>
      <c r="N19" s="59" t="inlineStr">
        <is>
          <t>Внутренний перевод</t>
        </is>
      </c>
      <c r="O19" s="55" t="inlineStr">
        <is>
          <t>Технические</t>
        </is>
      </c>
      <c r="P19" s="55" t="inlineStr">
        <is>
          <t>Перевод между своими счетами</t>
        </is>
      </c>
      <c r="Q19" s="55" t="inlineStr"/>
    </row>
    <row r="20">
      <c r="A20" s="55" t="inlineStr">
        <is>
          <t>01.07.2026</t>
        </is>
      </c>
      <c r="B20" s="55" t="inlineStr">
        <is>
          <t>ЦентрКредит</t>
        </is>
      </c>
      <c r="C20" s="55" t="inlineStr">
        <is>
          <t>KZT</t>
        </is>
      </c>
      <c r="D20" s="55" t="inlineStr">
        <is>
          <t>2401</t>
        </is>
      </c>
      <c r="E20" s="55" t="inlineStr">
        <is>
          <t>Товарищество с ограниченной ответственностью "WayStar Group"</t>
        </is>
      </c>
      <c r="F20" s="55" t="inlineStr">
        <is>
          <t>240340014287</t>
        </is>
      </c>
      <c r="G20" s="55" t="inlineStr">
        <is>
          <t>322</t>
        </is>
      </c>
      <c r="H20" s="56" t="inlineStr">
        <is>
          <t>Частичная выплата вклада по депозитному договору № 01607034 от 01.07.2026 в размере 3933799.78 согласно ДП. Вкладчик: Товарищество с ограниченной ответственностью "WayStar Group".</t>
        </is>
      </c>
      <c r="I20" s="57" t="n"/>
      <c r="J20" s="57" t="n">
        <v>3933799.78</v>
      </c>
      <c r="K20" s="58" t="n">
        <v>1</v>
      </c>
      <c r="L20" s="57" t="n"/>
      <c r="M20" s="57" t="n">
        <v>3933799.78</v>
      </c>
      <c r="N20" s="59" t="inlineStr">
        <is>
          <t>Внутренний перевод</t>
        </is>
      </c>
      <c r="O20" s="55" t="inlineStr">
        <is>
          <t>Технические</t>
        </is>
      </c>
      <c r="P20" s="55" t="inlineStr">
        <is>
          <t>Перевод между своими счетами</t>
        </is>
      </c>
      <c r="Q20" s="55" t="inlineStr"/>
    </row>
    <row r="21">
      <c r="A21" s="55" t="inlineStr">
        <is>
          <t>01.07.2026</t>
        </is>
      </c>
      <c r="B21" s="55" t="inlineStr">
        <is>
          <t>ЦентрКредит</t>
        </is>
      </c>
      <c r="C21" s="55" t="inlineStr">
        <is>
          <t>KZT</t>
        </is>
      </c>
      <c r="D21" s="55" t="inlineStr">
        <is>
          <t>2401</t>
        </is>
      </c>
      <c r="E21" s="55" t="inlineStr">
        <is>
          <t>ТОО WayStar Group</t>
        </is>
      </c>
      <c r="F21" s="55" t="inlineStr">
        <is>
          <t>240340014287</t>
        </is>
      </c>
      <c r="G21" s="55" t="inlineStr">
        <is>
          <t>343</t>
        </is>
      </c>
      <c r="H21" s="56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1" s="57" t="n"/>
      <c r="J21" s="57" t="n">
        <v>8448600</v>
      </c>
      <c r="K21" s="58" t="n">
        <v>1</v>
      </c>
      <c r="L21" s="57" t="n"/>
      <c r="M21" s="57" t="n">
        <v>8448600</v>
      </c>
      <c r="N21" s="59" t="inlineStr">
        <is>
          <t>Внутренний перевод</t>
        </is>
      </c>
      <c r="O21" s="55" t="inlineStr">
        <is>
          <t>Технические</t>
        </is>
      </c>
      <c r="P21" s="55" t="inlineStr">
        <is>
          <t>Перевод между своими счетами</t>
        </is>
      </c>
      <c r="Q21" s="55" t="inlineStr"/>
    </row>
    <row r="22">
      <c r="A22" s="55" t="inlineStr">
        <is>
          <t>01.07.2026</t>
        </is>
      </c>
      <c r="B22" s="55" t="inlineStr">
        <is>
          <t>ЦентрКредит</t>
        </is>
      </c>
      <c r="C22" s="55" t="inlineStr">
        <is>
          <t>KZT</t>
        </is>
      </c>
      <c r="D22" s="55" t="inlineStr">
        <is>
          <t>2401</t>
        </is>
      </c>
      <c r="E22" s="55" t="inlineStr">
        <is>
          <t>ТОО  "WayStar Group"</t>
        </is>
      </c>
      <c r="F22" s="55" t="inlineStr">
        <is>
          <t>240340014287</t>
        </is>
      </c>
      <c r="G22" s="55" t="inlineStr">
        <is>
          <t>343</t>
        </is>
      </c>
      <c r="H22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" s="57" t="n"/>
      <c r="J22" s="57" t="n">
        <v>10900000</v>
      </c>
      <c r="K22" s="58" t="n">
        <v>1</v>
      </c>
      <c r="L22" s="57" t="n"/>
      <c r="M22" s="57" t="n">
        <v>10900000</v>
      </c>
      <c r="N22" s="59" t="inlineStr">
        <is>
          <t>Внутренний перевод</t>
        </is>
      </c>
      <c r="O22" s="55" t="inlineStr">
        <is>
          <t>Технические</t>
        </is>
      </c>
      <c r="P22" s="55" t="inlineStr">
        <is>
          <t>Перевод между своими счетами</t>
        </is>
      </c>
      <c r="Q22" s="55" t="inlineStr"/>
    </row>
    <row r="23">
      <c r="A23" s="55" t="inlineStr">
        <is>
          <t>01.07.2026</t>
        </is>
      </c>
      <c r="B23" s="55" t="inlineStr">
        <is>
          <t>ЦентрКредит</t>
        </is>
      </c>
      <c r="C23" s="55" t="inlineStr">
        <is>
          <t>KZT</t>
        </is>
      </c>
      <c r="D23" s="55" t="inlineStr">
        <is>
          <t>2401</t>
        </is>
      </c>
      <c r="E23" s="55" t="inlineStr">
        <is>
          <t>ТОО  "WayStar Group"</t>
        </is>
      </c>
      <c r="F23" s="55" t="inlineStr">
        <is>
          <t>240340014287</t>
        </is>
      </c>
      <c r="G23" s="55" t="inlineStr">
        <is>
          <t>343</t>
        </is>
      </c>
      <c r="H23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" s="57" t="n"/>
      <c r="J23" s="57" t="n">
        <v>109646000</v>
      </c>
      <c r="K23" s="58" t="n">
        <v>1</v>
      </c>
      <c r="L23" s="57" t="n"/>
      <c r="M23" s="57" t="n">
        <v>109646000</v>
      </c>
      <c r="N23" s="59" t="inlineStr">
        <is>
          <t>Внутренний перевод</t>
        </is>
      </c>
      <c r="O23" s="55" t="inlineStr">
        <is>
          <t>Технические</t>
        </is>
      </c>
      <c r="P23" s="55" t="inlineStr">
        <is>
          <t>Перевод между своими счетами</t>
        </is>
      </c>
      <c r="Q23" s="55" t="inlineStr"/>
    </row>
    <row r="24">
      <c r="A24" s="55" t="inlineStr">
        <is>
          <t>02.07.2026</t>
        </is>
      </c>
      <c r="B24" s="55" t="inlineStr">
        <is>
          <t>ЦентрКредит</t>
        </is>
      </c>
      <c r="C24" s="55" t="inlineStr">
        <is>
          <t>KZT</t>
        </is>
      </c>
      <c r="D24" s="55" t="inlineStr">
        <is>
          <t>2401</t>
        </is>
      </c>
      <c r="E24" s="55" t="inlineStr">
        <is>
          <t>РГУ  УГД по Алмалинскому району ДГД по городу Алматы КГД МФ РК</t>
        </is>
      </c>
      <c r="F24" s="55" t="inlineStr">
        <is>
          <t>910740000153</t>
        </is>
      </c>
      <c r="G24" s="55" t="inlineStr">
        <is>
          <t>911</t>
        </is>
      </c>
      <c r="H24" s="56" t="inlineStr">
        <is>
          <t>гос пошлина. Начисленные (исчисленные) и иные обязательства в бюджет</t>
        </is>
      </c>
      <c r="I24" s="57" t="n">
        <v>27641.25</v>
      </c>
      <c r="J24" s="57" t="n"/>
      <c r="K24" s="58" t="n">
        <v>1</v>
      </c>
      <c r="L24" s="57" t="n">
        <v>27641.25</v>
      </c>
      <c r="M24" s="57" t="n"/>
      <c r="N24" s="55" t="inlineStr">
        <is>
          <t>Внешняя операция</t>
        </is>
      </c>
      <c r="O24" s="55" t="inlineStr">
        <is>
          <t>Налоги</t>
        </is>
      </c>
      <c r="P24" s="55" t="inlineStr">
        <is>
          <t>Налоги и отчисления</t>
        </is>
      </c>
      <c r="Q24" s="55" t="inlineStr">
        <is>
          <t>РГУ  УГД по Алмалинскому району ДГД по город</t>
        </is>
      </c>
    </row>
    <row r="25">
      <c r="A25" s="55" t="inlineStr">
        <is>
          <t>02.07.2026</t>
        </is>
      </c>
      <c r="B25" s="55" t="inlineStr">
        <is>
          <t>ЦентрКредит</t>
        </is>
      </c>
      <c r="C25" s="55" t="inlineStr">
        <is>
          <t>KZT</t>
        </is>
      </c>
      <c r="D25" s="55" t="inlineStr">
        <is>
          <t>2401</t>
        </is>
      </c>
      <c r="E25" s="55" t="inlineStr">
        <is>
          <t>Индивидуальный предприниматель "Саметханов Алихан Дарханұлы"</t>
        </is>
      </c>
      <c r="F25" s="55" t="inlineStr">
        <is>
          <t>970527350974</t>
        </is>
      </c>
      <c r="G25" s="55" t="inlineStr">
        <is>
          <t>872</t>
        </is>
      </c>
      <c r="H25" s="56" t="inlineStr">
        <is>
          <t>Без НДС. Платежи за услуги по проживанию и питанию</t>
        </is>
      </c>
      <c r="I25" s="57" t="n">
        <v>30000</v>
      </c>
      <c r="J25" s="57" t="n"/>
      <c r="K25" s="58" t="n">
        <v>1</v>
      </c>
      <c r="L25" s="57" t="n">
        <v>30000</v>
      </c>
      <c r="M25" s="57" t="n"/>
      <c r="N25" s="55" t="inlineStr">
        <is>
          <t>Внешняя операция</t>
        </is>
      </c>
      <c r="O25" s="55" t="inlineStr">
        <is>
          <t>ФОТ</t>
        </is>
      </c>
      <c r="P25" s="55" t="inlineStr">
        <is>
          <t>Командировки и подотчёт</t>
        </is>
      </c>
      <c r="Q25" s="55" t="inlineStr">
        <is>
          <t>Индивидуальный предприниматель "Саметханов А</t>
        </is>
      </c>
    </row>
    <row r="26">
      <c r="A26" s="55" t="inlineStr">
        <is>
          <t>02.07.2026</t>
        </is>
      </c>
      <c r="B26" s="55" t="inlineStr">
        <is>
          <t>ЦентрКредит</t>
        </is>
      </c>
      <c r="C26" s="55" t="inlineStr">
        <is>
          <t>KZT</t>
        </is>
      </c>
      <c r="D26" s="55" t="inlineStr">
        <is>
          <t>2401</t>
        </is>
      </c>
      <c r="E26" s="55" t="inlineStr">
        <is>
          <t>Индивидуальный предприниматель "Капизова"</t>
        </is>
      </c>
      <c r="F26" s="55" t="inlineStr">
        <is>
          <t>770127402766</t>
        </is>
      </c>
      <c r="G26" s="55" t="inlineStr">
        <is>
          <t>859</t>
        </is>
      </c>
      <c r="H26" s="56" t="inlineStr">
        <is>
          <t>Без НДС. Платежи за профессиональные, научные и технические услуги</t>
        </is>
      </c>
      <c r="I26" s="57" t="n">
        <v>50000</v>
      </c>
      <c r="J26" s="57" t="n"/>
      <c r="K26" s="58" t="n">
        <v>1</v>
      </c>
      <c r="L26" s="57" t="n">
        <v>50000</v>
      </c>
      <c r="M26" s="57" t="n"/>
      <c r="N26" s="55" t="inlineStr">
        <is>
          <t>Внешняя операция</t>
        </is>
      </c>
      <c r="O26" s="55" t="inlineStr">
        <is>
          <t>Админ/офис</t>
        </is>
      </c>
      <c r="P26" s="55" t="inlineStr">
        <is>
          <t>Проф. услуги (бухг./юр./конс.)</t>
        </is>
      </c>
      <c r="Q26" s="55" t="inlineStr">
        <is>
          <t>Индивидуальный предприниматель "Капизова"</t>
        </is>
      </c>
    </row>
    <row r="27">
      <c r="A27" s="55" t="inlineStr">
        <is>
          <t>02.07.2026</t>
        </is>
      </c>
      <c r="B27" s="55" t="inlineStr">
        <is>
          <t>ЦентрКредит</t>
        </is>
      </c>
      <c r="C27" s="55" t="inlineStr">
        <is>
          <t>KZT</t>
        </is>
      </c>
      <c r="D27" s="55" t="inlineStr">
        <is>
          <t>2401</t>
        </is>
      </c>
      <c r="E27" s="55" t="inlineStr">
        <is>
          <t>Акционерное Общество "Банк ЦентрКредит"</t>
        </is>
      </c>
      <c r="F27" s="55" t="inlineStr">
        <is>
          <t>980640000093</t>
        </is>
      </c>
      <c r="G27" s="55" t="inlineStr">
        <is>
          <t>841</t>
        </is>
      </c>
      <c r="H27" s="56" t="inlineStr">
        <is>
          <t>Интернет-банкинг. MIP. Международные платежи. Перевод OUR, кроме валют стран СНГ с 13:00 по 16:00. Расчетный документ № 1 от 02.07.26 на сумму 100 000.00 USD, в т.ч. НДС 16%</t>
        </is>
      </c>
      <c r="I27" s="57" t="n">
        <v>95852</v>
      </c>
      <c r="J27" s="57" t="n"/>
      <c r="K27" s="58" t="n">
        <v>1</v>
      </c>
      <c r="L27" s="57" t="n">
        <v>95852</v>
      </c>
      <c r="M27" s="57" t="n"/>
      <c r="N27" s="55" t="inlineStr">
        <is>
          <t>Внешняя операция</t>
        </is>
      </c>
      <c r="O27" s="55" t="inlineStr">
        <is>
          <t>Финансовые</t>
        </is>
      </c>
      <c r="P27" s="55" t="inlineStr">
        <is>
          <t>Банковские комиссии</t>
        </is>
      </c>
      <c r="Q27" s="55" t="inlineStr">
        <is>
          <t>Акционерное Общество "Банк ЦентрКредит"</t>
        </is>
      </c>
    </row>
    <row r="28">
      <c r="A28" s="55" t="inlineStr">
        <is>
          <t>02.07.2026</t>
        </is>
      </c>
      <c r="B28" s="55" t="inlineStr">
        <is>
          <t>ЦентрКредит</t>
        </is>
      </c>
      <c r="C28" s="55" t="inlineStr">
        <is>
          <t>KZT</t>
        </is>
      </c>
      <c r="D28" s="55" t="inlineStr">
        <is>
          <t>2401</t>
        </is>
      </c>
      <c r="E28" s="55" t="inlineStr">
        <is>
          <t>Алим</t>
        </is>
      </c>
      <c r="F28" s="55" t="inlineStr">
        <is>
          <t>020420550046</t>
        </is>
      </c>
      <c r="G28" s="55" t="inlineStr">
        <is>
          <t>871</t>
        </is>
      </c>
      <c r="H28" s="56" t="inlineStr">
        <is>
          <t>Данияр Алим подотчет. Без НДС. Платежи по поездкам</t>
        </is>
      </c>
      <c r="I28" s="57" t="n">
        <v>986100</v>
      </c>
      <c r="J28" s="57" t="n"/>
      <c r="K28" s="58" t="n">
        <v>1</v>
      </c>
      <c r="L28" s="57" t="n">
        <v>986100</v>
      </c>
      <c r="M28" s="57" t="n"/>
      <c r="N28" s="55" t="inlineStr">
        <is>
          <t>Внешняя операция</t>
        </is>
      </c>
      <c r="O28" s="55" t="inlineStr">
        <is>
          <t>ФОТ</t>
        </is>
      </c>
      <c r="P28" s="55" t="inlineStr">
        <is>
          <t>Командировки и подотчёт</t>
        </is>
      </c>
      <c r="Q28" s="55" t="inlineStr">
        <is>
          <t>Алим</t>
        </is>
      </c>
    </row>
    <row r="29">
      <c r="A29" s="55" t="inlineStr">
        <is>
          <t>02.07.2026</t>
        </is>
      </c>
      <c r="B29" s="55" t="inlineStr">
        <is>
          <t>ЦентрКредит</t>
        </is>
      </c>
      <c r="C29" s="55" t="inlineStr">
        <is>
          <t>KZT</t>
        </is>
      </c>
      <c r="D29" s="55" t="inlineStr">
        <is>
          <t>2401</t>
        </is>
      </c>
      <c r="E29" s="55" t="inlineStr">
        <is>
          <t>Товарищество с ограниченной ответственностью «InterLog Co»</t>
        </is>
      </c>
      <c r="F29" s="55" t="inlineStr">
        <is>
          <t>061040010307</t>
        </is>
      </c>
      <c r="G29" s="55" t="inlineStr">
        <is>
          <t>813</t>
        </is>
      </c>
      <c r="H29" s="56" t="inlineStr">
        <is>
          <t>Договор №017 от 30.12.2025 г. Оплата долга по акту сверки. Без НДС. Платежи за услуги железнодорожного транспорта</t>
        </is>
      </c>
      <c r="I29" s="57" t="n">
        <v>1648080</v>
      </c>
      <c r="J29" s="57" t="n"/>
      <c r="K29" s="58" t="n">
        <v>1</v>
      </c>
      <c r="L29" s="57" t="n">
        <v>1648080</v>
      </c>
      <c r="M29" s="57" t="n"/>
      <c r="N29" s="55" t="inlineStr">
        <is>
          <t>Внешняя операция</t>
        </is>
      </c>
      <c r="O29" s="55" t="inlineStr">
        <is>
          <t>Себестоимость</t>
        </is>
      </c>
      <c r="P29" s="55" t="inlineStr">
        <is>
          <t>Прочие ж/д и ТЭУ услуги</t>
        </is>
      </c>
      <c r="Q29" s="55" t="inlineStr">
        <is>
          <t>ТОО «InterLog Co»</t>
        </is>
      </c>
    </row>
    <row r="30">
      <c r="A30" s="55" t="inlineStr">
        <is>
          <t>02.07.2026</t>
        </is>
      </c>
      <c r="B30" s="55" t="inlineStr">
        <is>
          <t>ЦентрКредит</t>
        </is>
      </c>
      <c r="C30" s="55" t="inlineStr">
        <is>
          <t>KZT</t>
        </is>
      </c>
      <c r="D30" s="55" t="inlineStr">
        <is>
          <t>2401</t>
        </is>
      </c>
      <c r="E30" s="55" t="inlineStr">
        <is>
          <t>ТОО КТЖ-Грузовые перевозки</t>
        </is>
      </c>
      <c r="F30" s="55" t="inlineStr">
        <is>
          <t>031040001799</t>
        </is>
      </c>
      <c r="G30" s="55" t="inlineStr">
        <is>
          <t>813</t>
        </is>
      </c>
      <c r="H30" s="56" t="inlineStr">
        <is>
          <t>Без НДС, 4185494, Платежи за услуги железнодорожного транспорта</t>
        </is>
      </c>
      <c r="I30" s="57" t="n">
        <v>10000000</v>
      </c>
      <c r="J30" s="57" t="n"/>
      <c r="K30" s="58" t="n">
        <v>1</v>
      </c>
      <c r="L30" s="57" t="n">
        <v>10000000</v>
      </c>
      <c r="M30" s="57" t="n"/>
      <c r="N30" s="55" t="inlineStr">
        <is>
          <t>Внешняя операция</t>
        </is>
      </c>
      <c r="O30" s="55" t="inlineStr">
        <is>
          <t>Себестоимость</t>
        </is>
      </c>
      <c r="P30" s="55" t="inlineStr">
        <is>
          <t>Тариф КТЖ (ж/д перевозки)</t>
        </is>
      </c>
      <c r="Q30" s="55" t="inlineStr">
        <is>
          <t>ТОО «КТЖ-Грузовые перевозки»</t>
        </is>
      </c>
    </row>
    <row r="31">
      <c r="A31" s="55" t="inlineStr">
        <is>
          <t>02.07.2026</t>
        </is>
      </c>
      <c r="B31" s="55" t="inlineStr">
        <is>
          <t>ЦентрКредит</t>
        </is>
      </c>
      <c r="C31" s="55" t="inlineStr">
        <is>
          <t>KZT</t>
        </is>
      </c>
      <c r="D31" s="55" t="inlineStr">
        <is>
          <t>2401</t>
        </is>
      </c>
      <c r="E31" s="55" t="inlineStr">
        <is>
          <t>Акционерное Общество "Банк ЦентрКредит"</t>
        </is>
      </c>
      <c r="F31" s="55" t="inlineStr">
        <is>
          <t>980640000093</t>
        </is>
      </c>
      <c r="G31" s="55" t="inlineStr">
        <is>
          <t>213</t>
        </is>
      </c>
      <c r="H31" s="56" t="inlineStr">
        <is>
          <t>Покупка иностранной валюты TOD (день в день), Товарищество с ограниченной ответственностью "WayStar Group", БИН 240340014287. Заявка №615800. Дата вал. 02.07.2026. Покупка USD, продажа KZT. Курс сделки 473.73. Учетный курс 479.26. Получение услуг</t>
        </is>
      </c>
      <c r="I31" s="57" t="n">
        <v>47373000</v>
      </c>
      <c r="J31" s="57" t="n"/>
      <c r="K31" s="58" t="n">
        <v>1</v>
      </c>
      <c r="L31" s="57" t="n">
        <v>47373000</v>
      </c>
      <c r="M31" s="57" t="n"/>
      <c r="N31" s="60" t="inlineStr">
        <is>
          <t>Конвертация валют</t>
        </is>
      </c>
      <c r="O31" s="55" t="inlineStr">
        <is>
          <t>Технические</t>
        </is>
      </c>
      <c r="P31" s="55" t="inlineStr">
        <is>
          <t>Покупка/продажа валюты</t>
        </is>
      </c>
      <c r="Q31" s="55" t="inlineStr"/>
    </row>
    <row r="32">
      <c r="A32" s="55" t="inlineStr">
        <is>
          <t>02.07.2026</t>
        </is>
      </c>
      <c r="B32" s="55" t="inlineStr">
        <is>
          <t>ЦентрКредит</t>
        </is>
      </c>
      <c r="C32" s="55" t="inlineStr">
        <is>
          <t>KZT</t>
        </is>
      </c>
      <c r="D32" s="55" t="inlineStr">
        <is>
          <t>2401</t>
        </is>
      </c>
      <c r="E32" s="55" t="inlineStr">
        <is>
          <t>ТОО "WayStar Group"</t>
        </is>
      </c>
      <c r="F32" s="55" t="inlineStr">
        <is>
          <t>240340014287</t>
        </is>
      </c>
      <c r="G32" s="55" t="inlineStr">
        <is>
          <t>312</t>
        </is>
      </c>
      <c r="H32" s="56" t="inlineStr">
        <is>
          <t>Без НДС. Размещение краткосрочных вкладов (не более одного года)</t>
        </is>
      </c>
      <c r="I32" s="57" t="n">
        <v>155741546.07</v>
      </c>
      <c r="J32" s="57" t="n"/>
      <c r="K32" s="58" t="n">
        <v>1</v>
      </c>
      <c r="L32" s="57" t="n">
        <v>155741546.07</v>
      </c>
      <c r="M32" s="57" t="n"/>
      <c r="N32" s="59" t="inlineStr">
        <is>
          <t>Внутренний перевод</t>
        </is>
      </c>
      <c r="O32" s="55" t="inlineStr">
        <is>
          <t>Технические</t>
        </is>
      </c>
      <c r="P32" s="55" t="inlineStr">
        <is>
          <t>Перевод между своими счетами</t>
        </is>
      </c>
      <c r="Q32" s="55" t="inlineStr"/>
    </row>
    <row r="33">
      <c r="A33" s="55" t="inlineStr">
        <is>
          <t>02.07.2026</t>
        </is>
      </c>
      <c r="B33" s="55" t="inlineStr">
        <is>
          <t>ЦентрКредит</t>
        </is>
      </c>
      <c r="C33" s="55" t="inlineStr">
        <is>
          <t>KZT</t>
        </is>
      </c>
      <c r="D33" s="55" t="inlineStr">
        <is>
          <t>2401</t>
        </is>
      </c>
      <c r="E33" s="55" t="inlineStr">
        <is>
          <t>Товарищество с ограниченной ответственностью "WayStar Group"</t>
        </is>
      </c>
      <c r="F33" s="55" t="inlineStr">
        <is>
          <t>240340014287</t>
        </is>
      </c>
      <c r="G33" s="55" t="inlineStr">
        <is>
          <t>316</t>
        </is>
      </c>
      <c r="H33" s="56" t="inlineStr">
        <is>
          <t>Выплата начисленного вознаграждения по депозитному договору № 01607034 от 24.07.2025 за период с 01.07.26 по 01.07.26. Вкладчик Товарищество с ограниченной ответственностью "WayStar Group".</t>
        </is>
      </c>
      <c r="I33" s="57" t="n"/>
      <c r="J33" s="57" t="n">
        <v>37115.17</v>
      </c>
      <c r="K33" s="58" t="n">
        <v>1</v>
      </c>
      <c r="L33" s="57" t="n"/>
      <c r="M33" s="57" t="n">
        <v>37115.17</v>
      </c>
      <c r="N33" s="59" t="inlineStr">
        <is>
          <t>Внутренний перевод</t>
        </is>
      </c>
      <c r="O33" s="55" t="inlineStr">
        <is>
          <t>Технические</t>
        </is>
      </c>
      <c r="P33" s="55" t="inlineStr">
        <is>
          <t>Перевод между своими счетами</t>
        </is>
      </c>
      <c r="Q33" s="55" t="inlineStr"/>
    </row>
    <row r="34">
      <c r="A34" s="55" t="inlineStr">
        <is>
          <t>02.07.2026</t>
        </is>
      </c>
      <c r="B34" s="55" t="inlineStr">
        <is>
          <t>ЦентрКредит</t>
        </is>
      </c>
      <c r="C34" s="55" t="inlineStr">
        <is>
          <t>KZT</t>
        </is>
      </c>
      <c r="D34" s="55" t="inlineStr">
        <is>
          <t>2401</t>
        </is>
      </c>
      <c r="E34" s="55" t="inlineStr">
        <is>
          <t>ТОО  "WayStar Group"</t>
        </is>
      </c>
      <c r="F34" s="55" t="inlineStr">
        <is>
          <t>240340014287</t>
        </is>
      </c>
      <c r="G34" s="55" t="inlineStr">
        <is>
          <t>343</t>
        </is>
      </c>
      <c r="H34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4" s="57" t="n"/>
      <c r="J34" s="57" t="n">
        <v>24000000</v>
      </c>
      <c r="K34" s="58" t="n">
        <v>1</v>
      </c>
      <c r="L34" s="57" t="n"/>
      <c r="M34" s="57" t="n">
        <v>24000000</v>
      </c>
      <c r="N34" s="59" t="inlineStr">
        <is>
          <t>Внутренний перевод</t>
        </is>
      </c>
      <c r="O34" s="55" t="inlineStr">
        <is>
          <t>Технические</t>
        </is>
      </c>
      <c r="P34" s="55" t="inlineStr">
        <is>
          <t>Перевод между своими счетами</t>
        </is>
      </c>
      <c r="Q34" s="55" t="inlineStr"/>
    </row>
    <row r="35">
      <c r="A35" s="55" t="inlineStr">
        <is>
          <t>02.07.2026</t>
        </is>
      </c>
      <c r="B35" s="55" t="inlineStr">
        <is>
          <t>ЦентрКредит</t>
        </is>
      </c>
      <c r="C35" s="55" t="inlineStr">
        <is>
          <t>KZT</t>
        </is>
      </c>
      <c r="D35" s="55" t="inlineStr">
        <is>
          <t>2401</t>
        </is>
      </c>
      <c r="E35" s="55" t="inlineStr">
        <is>
          <t>ТОО  "WayStar Group"</t>
        </is>
      </c>
      <c r="F35" s="55" t="inlineStr">
        <is>
          <t>240340014287</t>
        </is>
      </c>
      <c r="G35" s="55" t="inlineStr">
        <is>
          <t>343</t>
        </is>
      </c>
      <c r="H35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5" s="57" t="n"/>
      <c r="J35" s="57" t="n">
        <v>82000000</v>
      </c>
      <c r="K35" s="58" t="n">
        <v>1</v>
      </c>
      <c r="L35" s="57" t="n"/>
      <c r="M35" s="57" t="n">
        <v>82000000</v>
      </c>
      <c r="N35" s="59" t="inlineStr">
        <is>
          <t>Внутренний перевод</t>
        </is>
      </c>
      <c r="O35" s="55" t="inlineStr">
        <is>
          <t>Технические</t>
        </is>
      </c>
      <c r="P35" s="55" t="inlineStr">
        <is>
          <t>Перевод между своими счетами</t>
        </is>
      </c>
      <c r="Q35" s="55" t="inlineStr"/>
    </row>
    <row r="36">
      <c r="A36" s="55" t="inlineStr">
        <is>
          <t>02.07.2026</t>
        </is>
      </c>
      <c r="B36" s="55" t="inlineStr">
        <is>
          <t>ЦентрКредит</t>
        </is>
      </c>
      <c r="C36" s="55" t="inlineStr">
        <is>
          <t>KZT</t>
        </is>
      </c>
      <c r="D36" s="55" t="inlineStr">
        <is>
          <t>2401</t>
        </is>
      </c>
      <c r="E36" s="55" t="inlineStr">
        <is>
          <t>Товарищество с ограниченной ответственностью "WayStar Group"</t>
        </is>
      </c>
      <c r="F36" s="55" t="inlineStr">
        <is>
          <t>240340014287</t>
        </is>
      </c>
      <c r="G36" s="55" t="inlineStr">
        <is>
          <t>322</t>
        </is>
      </c>
      <c r="H36" s="56" t="inlineStr">
        <is>
          <t>Частичная выплата вклада по депозитному договору № 01607034 от 02.07.2026 в размере 109915104.15 согласно ДП. Вкладчик: Товарищество с ограниченной ответственностью "WayStar Group".</t>
        </is>
      </c>
      <c r="I36" s="57" t="n"/>
      <c r="J36" s="57" t="n">
        <v>109915104.15</v>
      </c>
      <c r="K36" s="58" t="n">
        <v>1</v>
      </c>
      <c r="L36" s="57" t="n"/>
      <c r="M36" s="57" t="n">
        <v>109915104.15</v>
      </c>
      <c r="N36" s="59" t="inlineStr">
        <is>
          <t>Внутренний перевод</t>
        </is>
      </c>
      <c r="O36" s="55" t="inlineStr">
        <is>
          <t>Технические</t>
        </is>
      </c>
      <c r="P36" s="55" t="inlineStr">
        <is>
          <t>Перевод между своими счетами</t>
        </is>
      </c>
      <c r="Q36" s="55" t="inlineStr"/>
    </row>
    <row r="37">
      <c r="A37" s="55" t="inlineStr">
        <is>
          <t>03.07.2026</t>
        </is>
      </c>
      <c r="B37" s="55" t="inlineStr">
        <is>
          <t>ЦентрКредит</t>
        </is>
      </c>
      <c r="C37" s="55" t="inlineStr">
        <is>
          <t>KZT</t>
        </is>
      </c>
      <c r="D37" s="55" t="inlineStr">
        <is>
          <t>2401</t>
        </is>
      </c>
      <c r="E37" s="55" t="inlineStr">
        <is>
          <t>УГД по Есильскому району ДГД по городу Астане КГД МФ РК</t>
        </is>
      </c>
      <c r="F37" s="55" t="inlineStr">
        <is>
          <t>081240013779</t>
        </is>
      </c>
      <c r="G37" s="55" t="inlineStr">
        <is>
          <t>911</t>
        </is>
      </c>
      <c r="H37" s="56" t="inlineStr">
        <is>
          <t>КПН за нерезидента (доплата). Начисленные (исчисленные) и иные обязательства в бюджет</t>
        </is>
      </c>
      <c r="I37" s="57" t="n">
        <v>15843.69</v>
      </c>
      <c r="J37" s="57" t="n"/>
      <c r="K37" s="58" t="n">
        <v>1</v>
      </c>
      <c r="L37" s="57" t="n">
        <v>15843.69</v>
      </c>
      <c r="M37" s="57" t="n"/>
      <c r="N37" s="55" t="inlineStr">
        <is>
          <t>Внешняя операция</t>
        </is>
      </c>
      <c r="O37" s="55" t="inlineStr">
        <is>
          <t>Налоги</t>
        </is>
      </c>
      <c r="P37" s="55" t="inlineStr">
        <is>
          <t>Налоги и отчисления</t>
        </is>
      </c>
      <c r="Q37" s="55" t="inlineStr">
        <is>
          <t>УГД по Есильскому району ДГД по городу Астан</t>
        </is>
      </c>
    </row>
    <row r="38">
      <c r="A38" s="55" t="inlineStr">
        <is>
          <t>03.07.2026</t>
        </is>
      </c>
      <c r="B38" s="55" t="inlineStr">
        <is>
          <t>ЦентрКредит</t>
        </is>
      </c>
      <c r="C38" s="55" t="inlineStr">
        <is>
          <t>KZT</t>
        </is>
      </c>
      <c r="D38" s="55" t="inlineStr">
        <is>
          <t>2401</t>
        </is>
      </c>
      <c r="E38" s="55" t="inlineStr">
        <is>
          <t>Товарищество с ограниченной ответственностью "WayStar Group"</t>
        </is>
      </c>
      <c r="F38" s="55" t="inlineStr">
        <is>
          <t>240340014287</t>
        </is>
      </c>
      <c r="G38" s="55" t="inlineStr">
        <is>
          <t>423</t>
        </is>
      </c>
      <c r="H38" s="56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38" s="57" t="n">
        <v>52589.43</v>
      </c>
      <c r="J38" s="57" t="n"/>
      <c r="K38" s="58" t="n">
        <v>1</v>
      </c>
      <c r="L38" s="57" t="n">
        <v>52589.43</v>
      </c>
      <c r="M38" s="57" t="n"/>
      <c r="N38" s="59" t="inlineStr">
        <is>
          <t>Внутренний перевод</t>
        </is>
      </c>
      <c r="O38" s="55" t="inlineStr">
        <is>
          <t>Технические</t>
        </is>
      </c>
      <c r="P38" s="55" t="inlineStr">
        <is>
          <t>Перевод между своими счетами</t>
        </is>
      </c>
      <c r="Q38" s="55" t="inlineStr"/>
    </row>
    <row r="39">
      <c r="A39" s="55" t="inlineStr">
        <is>
          <t>03.07.2026</t>
        </is>
      </c>
      <c r="B39" s="55" t="inlineStr">
        <is>
          <t>ЦентрКредит</t>
        </is>
      </c>
      <c r="C39" s="55" t="inlineStr">
        <is>
          <t>KZT</t>
        </is>
      </c>
      <c r="D39" s="55" t="inlineStr">
        <is>
          <t>2401</t>
        </is>
      </c>
      <c r="E39" s="55" t="inlineStr">
        <is>
          <t>Товарищество с ограниченной ответственностью "WayStar Group"</t>
        </is>
      </c>
      <c r="F39" s="55" t="inlineStr">
        <is>
          <t>240340014287</t>
        </is>
      </c>
      <c r="G39" s="55" t="inlineStr">
        <is>
          <t>423</t>
        </is>
      </c>
      <c r="H39" s="56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39" s="57" t="n">
        <v>113114.11</v>
      </c>
      <c r="J39" s="57" t="n"/>
      <c r="K39" s="58" t="n">
        <v>1</v>
      </c>
      <c r="L39" s="57" t="n">
        <v>113114.11</v>
      </c>
      <c r="M39" s="57" t="n"/>
      <c r="N39" s="59" t="inlineStr">
        <is>
          <t>Внутренний перевод</t>
        </is>
      </c>
      <c r="O39" s="55" t="inlineStr">
        <is>
          <t>Технические</t>
        </is>
      </c>
      <c r="P39" s="55" t="inlineStr">
        <is>
          <t>Перевод между своими счетами</t>
        </is>
      </c>
      <c r="Q39" s="55" t="inlineStr"/>
    </row>
    <row r="40">
      <c r="A40" s="55" t="inlineStr">
        <is>
          <t>03.07.2026</t>
        </is>
      </c>
      <c r="B40" s="55" t="inlineStr">
        <is>
          <t>ЦентрКредит</t>
        </is>
      </c>
      <c r="C40" s="55" t="inlineStr">
        <is>
          <t>KZT</t>
        </is>
      </c>
      <c r="D40" s="55" t="inlineStr">
        <is>
          <t>2401</t>
        </is>
      </c>
      <c r="E40" s="55" t="inlineStr">
        <is>
          <t>Товарищество с ограниченной ответственностью "WayStar Group"</t>
        </is>
      </c>
      <c r="F40" s="55" t="inlineStr">
        <is>
          <t>240340014287</t>
        </is>
      </c>
      <c r="G40" s="55" t="inlineStr">
        <is>
          <t>423</t>
        </is>
      </c>
      <c r="H40" s="56" t="inlineStr">
        <is>
          <t>Погашение вознаграждения по договору № AQ5/2024/U/S/120240/0001L от 06.01.25. Заемщик: Товарищество с ограниченной ответственностью "WayStar Group"</t>
        </is>
      </c>
      <c r="I40" s="57" t="n">
        <v>117081.71</v>
      </c>
      <c r="J40" s="57" t="n"/>
      <c r="K40" s="58" t="n">
        <v>1</v>
      </c>
      <c r="L40" s="57" t="n">
        <v>117081.71</v>
      </c>
      <c r="M40" s="57" t="n"/>
      <c r="N40" s="59" t="inlineStr">
        <is>
          <t>Внутренний перевод</t>
        </is>
      </c>
      <c r="O40" s="55" t="inlineStr">
        <is>
          <t>Технические</t>
        </is>
      </c>
      <c r="P40" s="55" t="inlineStr">
        <is>
          <t>Перевод между своими счетами</t>
        </is>
      </c>
      <c r="Q40" s="55" t="inlineStr"/>
    </row>
    <row r="41">
      <c r="A41" s="55" t="inlineStr">
        <is>
          <t>03.07.2026</t>
        </is>
      </c>
      <c r="B41" s="55" t="inlineStr">
        <is>
          <t>ЦентрКредит</t>
        </is>
      </c>
      <c r="C41" s="55" t="inlineStr">
        <is>
          <t>KZT</t>
        </is>
      </c>
      <c r="D41" s="55" t="inlineStr">
        <is>
          <t>2401</t>
        </is>
      </c>
      <c r="E41" s="55" t="inlineStr">
        <is>
          <t>УГД по Есильскому району ДГД по городу Астане КГД МФ РК</t>
        </is>
      </c>
      <c r="F41" s="55" t="inlineStr">
        <is>
          <t>081240013779</t>
        </is>
      </c>
      <c r="G41" s="55" t="inlineStr">
        <is>
          <t>911</t>
        </is>
      </c>
      <c r="H41" s="56" t="inlineStr">
        <is>
          <t>ндс за нерезидента июнь 2026. Начисленные (исчисленные) и иные обязательства в бюджет</t>
        </is>
      </c>
      <c r="I41" s="57" t="n">
        <v>2000000</v>
      </c>
      <c r="J41" s="57" t="n"/>
      <c r="K41" s="58" t="n">
        <v>1</v>
      </c>
      <c r="L41" s="57" t="n">
        <v>2000000</v>
      </c>
      <c r="M41" s="57" t="n"/>
      <c r="N41" s="55" t="inlineStr">
        <is>
          <t>Внешняя операция</t>
        </is>
      </c>
      <c r="O41" s="55" t="inlineStr">
        <is>
          <t>Налоги</t>
        </is>
      </c>
      <c r="P41" s="55" t="inlineStr">
        <is>
          <t>Налоги и отчисления</t>
        </is>
      </c>
      <c r="Q41" s="55" t="inlineStr">
        <is>
          <t>УГД по Есильскому району ДГД по городу Астан</t>
        </is>
      </c>
    </row>
    <row r="42">
      <c r="A42" s="55" t="inlineStr">
        <is>
          <t>03.07.2026</t>
        </is>
      </c>
      <c r="B42" s="55" t="inlineStr">
        <is>
          <t>ЦентрКредит</t>
        </is>
      </c>
      <c r="C42" s="55" t="inlineStr">
        <is>
          <t>KZT</t>
        </is>
      </c>
      <c r="D42" s="55" t="inlineStr">
        <is>
          <t>2401</t>
        </is>
      </c>
      <c r="E42" s="55" t="inlineStr">
        <is>
          <t>Товарищество с ограниченной ответственностью "WayStar Group"</t>
        </is>
      </c>
      <c r="F42" s="55" t="inlineStr">
        <is>
          <t>240340014287</t>
        </is>
      </c>
      <c r="G42" s="55" t="inlineStr">
        <is>
          <t>423</t>
        </is>
      </c>
      <c r="H42" s="56" t="inlineStr">
        <is>
          <t>Погашение основного долга по договору № AQ5/2024/U/S/120240/0001L от 06.01.25. Заемщик: Товарищество с ограниченной ответственностью "WayStar Group"</t>
        </is>
      </c>
      <c r="I42" s="57" t="n">
        <v>10662873.72</v>
      </c>
      <c r="J42" s="57" t="n"/>
      <c r="K42" s="58" t="n">
        <v>1</v>
      </c>
      <c r="L42" s="57" t="n">
        <v>10662873.72</v>
      </c>
      <c r="M42" s="57" t="n"/>
      <c r="N42" s="59" t="inlineStr">
        <is>
          <t>Внутренний перевод</t>
        </is>
      </c>
      <c r="O42" s="55" t="inlineStr">
        <is>
          <t>Технические</t>
        </is>
      </c>
      <c r="P42" s="55" t="inlineStr">
        <is>
          <t>Перевод между своими счетами</t>
        </is>
      </c>
      <c r="Q42" s="55" t="inlineStr"/>
    </row>
    <row r="43">
      <c r="A43" s="55" t="inlineStr">
        <is>
          <t>03.07.2026</t>
        </is>
      </c>
      <c r="B43" s="55" t="inlineStr">
        <is>
          <t>ЦентрКредит</t>
        </is>
      </c>
      <c r="C43" s="55" t="inlineStr">
        <is>
          <t>KZT</t>
        </is>
      </c>
      <c r="D43" s="55" t="inlineStr">
        <is>
          <t>2401</t>
        </is>
      </c>
      <c r="E43" s="55" t="inlineStr">
        <is>
          <t>Товарищество с ограниченной ответственностью "WayStar Group"</t>
        </is>
      </c>
      <c r="F43" s="55" t="inlineStr">
        <is>
          <t>240340014287</t>
        </is>
      </c>
      <c r="G43" s="55" t="inlineStr">
        <is>
          <t>312</t>
        </is>
      </c>
      <c r="H43" s="56" t="inlineStr">
        <is>
          <t>Размещение вклада</t>
        </is>
      </c>
      <c r="I43" s="57" t="n">
        <v>142832632.84</v>
      </c>
      <c r="J43" s="57" t="n"/>
      <c r="K43" s="58" t="n">
        <v>1</v>
      </c>
      <c r="L43" s="57" t="n">
        <v>142832632.84</v>
      </c>
      <c r="M43" s="57" t="n"/>
      <c r="N43" s="59" t="inlineStr">
        <is>
          <t>Внутренний перевод</t>
        </is>
      </c>
      <c r="O43" s="55" t="inlineStr">
        <is>
          <t>Технические</t>
        </is>
      </c>
      <c r="P43" s="55" t="inlineStr">
        <is>
          <t>Перевод между своими счетами</t>
        </is>
      </c>
      <c r="Q43" s="55" t="inlineStr"/>
    </row>
    <row r="44">
      <c r="A44" s="55" t="inlineStr">
        <is>
          <t>03.07.2026</t>
        </is>
      </c>
      <c r="B44" s="55" t="inlineStr">
        <is>
          <t>ЦентрКредит</t>
        </is>
      </c>
      <c r="C44" s="55" t="inlineStr">
        <is>
          <t>KZT</t>
        </is>
      </c>
      <c r="D44" s="55" t="inlineStr">
        <is>
          <t>2401</t>
        </is>
      </c>
      <c r="E44" s="55" t="inlineStr">
        <is>
          <t>ТОО "WayStar Group"</t>
        </is>
      </c>
      <c r="F44" s="55" t="inlineStr">
        <is>
          <t>240340014287</t>
        </is>
      </c>
      <c r="G44" s="55" t="inlineStr">
        <is>
          <t>312</t>
        </is>
      </c>
      <c r="H44" s="56" t="inlineStr">
        <is>
          <t>Без НДС. Размещение краткосрочных вкладов (не более одного года)</t>
        </is>
      </c>
      <c r="I44" s="57" t="n">
        <v>200000000</v>
      </c>
      <c r="J44" s="57" t="n"/>
      <c r="K44" s="58" t="n">
        <v>1</v>
      </c>
      <c r="L44" s="57" t="n">
        <v>200000000</v>
      </c>
      <c r="M44" s="57" t="n"/>
      <c r="N44" s="59" t="inlineStr">
        <is>
          <t>Внутренний перевод</t>
        </is>
      </c>
      <c r="O44" s="55" t="inlineStr">
        <is>
          <t>Технические</t>
        </is>
      </c>
      <c r="P44" s="55" t="inlineStr">
        <is>
          <t>Перевод между своими счетами</t>
        </is>
      </c>
      <c r="Q44" s="55" t="inlineStr"/>
    </row>
    <row r="45">
      <c r="A45" s="55" t="inlineStr">
        <is>
          <t>03.07.2026</t>
        </is>
      </c>
      <c r="B45" s="55" t="inlineStr">
        <is>
          <t>ЦентрКредит</t>
        </is>
      </c>
      <c r="C45" s="55" t="inlineStr">
        <is>
          <t>KZT</t>
        </is>
      </c>
      <c r="D45" s="55" t="inlineStr">
        <is>
          <t>2401</t>
        </is>
      </c>
      <c r="E45" s="55" t="inlineStr">
        <is>
          <t>Товарищество с ограниченной ответственностью "WayStar Group"</t>
        </is>
      </c>
      <c r="F45" s="55" t="inlineStr">
        <is>
          <t>240340014287</t>
        </is>
      </c>
      <c r="G45" s="55" t="inlineStr">
        <is>
          <t>316</t>
        </is>
      </c>
      <c r="H45" s="56" t="inlineStr">
        <is>
          <t>Выплата начисленного вознаграждения по депозитному договору № 01607034 от 24.07.2025 за период с 02.07.26 по 02.07.26. Вкладчик Товарищество с ограниченной ответственностью "WayStar Group".</t>
        </is>
      </c>
      <c r="I45" s="57" t="n"/>
      <c r="J45" s="57" t="n">
        <v>52589.43</v>
      </c>
      <c r="K45" s="58" t="n">
        <v>1</v>
      </c>
      <c r="L45" s="57" t="n"/>
      <c r="M45" s="57" t="n">
        <v>52589.43</v>
      </c>
      <c r="N45" s="59" t="inlineStr">
        <is>
          <t>Внутренний перевод</t>
        </is>
      </c>
      <c r="O45" s="55" t="inlineStr">
        <is>
          <t>Технические</t>
        </is>
      </c>
      <c r="P45" s="55" t="inlineStr">
        <is>
          <t>Перевод между своими счетами</t>
        </is>
      </c>
      <c r="Q45" s="55" t="inlineStr"/>
    </row>
    <row r="46">
      <c r="A46" s="55" t="inlineStr">
        <is>
          <t>03.07.2026</t>
        </is>
      </c>
      <c r="B46" s="55" t="inlineStr">
        <is>
          <t>ЦентрКредит</t>
        </is>
      </c>
      <c r="C46" s="55" t="inlineStr">
        <is>
          <t>KZT</t>
        </is>
      </c>
      <c r="D46" s="55" t="inlineStr">
        <is>
          <t>2401</t>
        </is>
      </c>
      <c r="E46" s="55" t="inlineStr">
        <is>
          <t>Товарищество с ограниченной ответственностью "WayStar Group"</t>
        </is>
      </c>
      <c r="F46" s="55" t="inlineStr">
        <is>
          <t>240340014287</t>
        </is>
      </c>
      <c r="G46" s="55" t="inlineStr">
        <is>
          <t>322</t>
        </is>
      </c>
      <c r="H46" s="56" t="inlineStr">
        <is>
          <t>Частичная выплата вклада по депозитному договору № 01607034 от 03.07.2026 в размере 155741546.07 согласно ДП. Вкладчик: Товарищество с ограниченной ответственностью "WayStar Group".</t>
        </is>
      </c>
      <c r="I46" s="57" t="n"/>
      <c r="J46" s="57" t="n">
        <v>155741546.07</v>
      </c>
      <c r="K46" s="58" t="n">
        <v>1</v>
      </c>
      <c r="L46" s="57" t="n"/>
      <c r="M46" s="57" t="n">
        <v>155741546.07</v>
      </c>
      <c r="N46" s="59" t="inlineStr">
        <is>
          <t>Внутренний перевод</t>
        </is>
      </c>
      <c r="O46" s="55" t="inlineStr">
        <is>
          <t>Технические</t>
        </is>
      </c>
      <c r="P46" s="55" t="inlineStr">
        <is>
          <t>Перевод между своими счетами</t>
        </is>
      </c>
      <c r="Q46" s="55" t="inlineStr"/>
    </row>
    <row r="47">
      <c r="A47" s="55" t="inlineStr">
        <is>
          <t>03.07.2026</t>
        </is>
      </c>
      <c r="B47" s="55" t="inlineStr">
        <is>
          <t>ЦентрКредит</t>
        </is>
      </c>
      <c r="C47" s="55" t="inlineStr">
        <is>
          <t>KZT</t>
        </is>
      </c>
      <c r="D47" s="55" t="inlineStr">
        <is>
          <t>2401</t>
        </is>
      </c>
      <c r="E47" s="55" t="inlineStr">
        <is>
          <t>ТОО  "WayStar Group"</t>
        </is>
      </c>
      <c r="F47" s="55" t="inlineStr">
        <is>
          <t>240340014287</t>
        </is>
      </c>
      <c r="G47" s="55" t="inlineStr">
        <is>
          <t>343</t>
        </is>
      </c>
      <c r="H47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7" s="57" t="n"/>
      <c r="J47" s="57" t="n">
        <v>200000000</v>
      </c>
      <c r="K47" s="58" t="n">
        <v>1</v>
      </c>
      <c r="L47" s="57" t="n"/>
      <c r="M47" s="57" t="n">
        <v>200000000</v>
      </c>
      <c r="N47" s="59" t="inlineStr">
        <is>
          <t>Внутренний перевод</t>
        </is>
      </c>
      <c r="O47" s="55" t="inlineStr">
        <is>
          <t>Технические</t>
        </is>
      </c>
      <c r="P47" s="55" t="inlineStr">
        <is>
          <t>Перевод между своими счетами</t>
        </is>
      </c>
      <c r="Q47" s="55" t="inlineStr"/>
    </row>
    <row r="48">
      <c r="A48" s="55" t="inlineStr">
        <is>
          <t>04.07.2026</t>
        </is>
      </c>
      <c r="B48" s="55" t="inlineStr">
        <is>
          <t>ЦентрКредит</t>
        </is>
      </c>
      <c r="C48" s="55" t="inlineStr">
        <is>
          <t>KZT</t>
        </is>
      </c>
      <c r="D48" s="55" t="inlineStr">
        <is>
          <t>2401</t>
        </is>
      </c>
      <c r="E48" s="55" t="inlineStr">
        <is>
          <t>ТОО КТЖ-Грузовые перевозки</t>
        </is>
      </c>
      <c r="F48" s="55" t="inlineStr">
        <is>
          <t>031040001799</t>
        </is>
      </c>
      <c r="G48" s="55" t="inlineStr">
        <is>
          <t>813</t>
        </is>
      </c>
      <c r="H48" s="56" t="inlineStr">
        <is>
          <t>Без НДС, 4185494, Платежи за услуги железнодорожного транспорта</t>
        </is>
      </c>
      <c r="I48" s="57" t="n">
        <v>5000000</v>
      </c>
      <c r="J48" s="57" t="n"/>
      <c r="K48" s="58" t="n">
        <v>1</v>
      </c>
      <c r="L48" s="57" t="n">
        <v>5000000</v>
      </c>
      <c r="M48" s="57" t="n"/>
      <c r="N48" s="55" t="inlineStr">
        <is>
          <t>Внешняя операция</t>
        </is>
      </c>
      <c r="O48" s="55" t="inlineStr">
        <is>
          <t>Себестоимость</t>
        </is>
      </c>
      <c r="P48" s="55" t="inlineStr">
        <is>
          <t>Тариф КТЖ (ж/д перевозки)</t>
        </is>
      </c>
      <c r="Q48" s="55" t="inlineStr">
        <is>
          <t>ТОО «КТЖ-Грузовые перевозки»</t>
        </is>
      </c>
    </row>
    <row r="49">
      <c r="A49" s="55" t="inlineStr">
        <is>
          <t>04.07.2026</t>
        </is>
      </c>
      <c r="B49" s="55" t="inlineStr">
        <is>
          <t>ЦентрКредит</t>
        </is>
      </c>
      <c r="C49" s="55" t="inlineStr">
        <is>
          <t>KZT</t>
        </is>
      </c>
      <c r="D49" s="55" t="inlineStr">
        <is>
          <t>2401</t>
        </is>
      </c>
      <c r="E49" s="55" t="inlineStr">
        <is>
          <t>Товарищество с ограниченной ответственностью "WayStar Group"</t>
        </is>
      </c>
      <c r="F49" s="55" t="inlineStr">
        <is>
          <t>240340014287</t>
        </is>
      </c>
      <c r="G49" s="55" t="inlineStr">
        <is>
          <t>316</t>
        </is>
      </c>
      <c r="H49" s="56" t="inlineStr">
        <is>
          <t>Выплата начисленного вознаграждения по депозитному договору № 01607034 от 24.07.2025 за период с 03.07.26 по 03.07.26. Вкладчик Товарищество с ограниченной ответственностью "WayStar Group".</t>
        </is>
      </c>
      <c r="I49" s="57" t="n"/>
      <c r="J49" s="57" t="n">
        <v>115764.72</v>
      </c>
      <c r="K49" s="58" t="n">
        <v>1</v>
      </c>
      <c r="L49" s="57" t="n"/>
      <c r="M49" s="57" t="n">
        <v>115764.72</v>
      </c>
      <c r="N49" s="59" t="inlineStr">
        <is>
          <t>Внутренний перевод</t>
        </is>
      </c>
      <c r="O49" s="55" t="inlineStr">
        <is>
          <t>Технические</t>
        </is>
      </c>
      <c r="P49" s="55" t="inlineStr">
        <is>
          <t>Перевод между своими счетами</t>
        </is>
      </c>
      <c r="Q49" s="55" t="inlineStr"/>
    </row>
    <row r="50">
      <c r="A50" s="55" t="inlineStr">
        <is>
          <t>04.07.2026</t>
        </is>
      </c>
      <c r="B50" s="55" t="inlineStr">
        <is>
          <t>ЦентрКредит</t>
        </is>
      </c>
      <c r="C50" s="55" t="inlineStr">
        <is>
          <t>KZT</t>
        </is>
      </c>
      <c r="D50" s="55" t="inlineStr">
        <is>
          <t>2401</t>
        </is>
      </c>
      <c r="E50" s="55" t="inlineStr">
        <is>
          <t>ТОО "WayStar Group"</t>
        </is>
      </c>
      <c r="F50" s="55" t="inlineStr">
        <is>
          <t>240340014287</t>
        </is>
      </c>
      <c r="G50" s="55" t="inlineStr">
        <is>
          <t>322</t>
        </is>
      </c>
      <c r="H50" s="56" t="inlineStr">
        <is>
          <t>Без НДС. Снятие с краткосрочного вклада (не более одного года)</t>
        </is>
      </c>
      <c r="I50" s="57" t="n"/>
      <c r="J50" s="57" t="n">
        <v>5000000</v>
      </c>
      <c r="K50" s="58" t="n">
        <v>1</v>
      </c>
      <c r="L50" s="57" t="n"/>
      <c r="M50" s="57" t="n">
        <v>5000000</v>
      </c>
      <c r="N50" s="59" t="inlineStr">
        <is>
          <t>Внутренний перевод</t>
        </is>
      </c>
      <c r="O50" s="55" t="inlineStr">
        <is>
          <t>Технические</t>
        </is>
      </c>
      <c r="P50" s="55" t="inlineStr">
        <is>
          <t>Перевод между своими счетами</t>
        </is>
      </c>
      <c r="Q50" s="55" t="inlineStr"/>
    </row>
    <row r="51">
      <c r="A51" s="55" t="inlineStr">
        <is>
          <t>05.07.2026</t>
        </is>
      </c>
      <c r="B51" s="55" t="inlineStr">
        <is>
          <t>ЦентрКредит</t>
        </is>
      </c>
      <c r="C51" s="55" t="inlineStr">
        <is>
          <t>KZT</t>
        </is>
      </c>
      <c r="D51" s="55" t="inlineStr">
        <is>
          <t>2401</t>
        </is>
      </c>
      <c r="E51" s="55" t="inlineStr">
        <is>
          <t>Товарищество с ограниченной ответственностью "WayStar Group"</t>
        </is>
      </c>
      <c r="F51" s="55" t="inlineStr">
        <is>
          <t>240340014287</t>
        </is>
      </c>
      <c r="G51" s="55" t="inlineStr">
        <is>
          <t>316</t>
        </is>
      </c>
      <c r="H51" s="56" t="inlineStr">
        <is>
          <t>Выплата начисленного вознаграждения по депозитному договору № 01607034 от 24.07.2025 за период с 04.07.26 по 04.07.26. Вкладчик Товарищество с ограниченной ответственностью "WayStar Group".</t>
        </is>
      </c>
      <c r="I51" s="57" t="n"/>
      <c r="J51" s="57" t="n">
        <v>114076.36</v>
      </c>
      <c r="K51" s="58" t="n">
        <v>1</v>
      </c>
      <c r="L51" s="57" t="n"/>
      <c r="M51" s="57" t="n">
        <v>114076.36</v>
      </c>
      <c r="N51" s="59" t="inlineStr">
        <is>
          <t>Внутренний перевод</t>
        </is>
      </c>
      <c r="O51" s="55" t="inlineStr">
        <is>
          <t>Технические</t>
        </is>
      </c>
      <c r="P51" s="55" t="inlineStr">
        <is>
          <t>Перевод между своими счетами</t>
        </is>
      </c>
      <c r="Q51" s="55" t="inlineStr"/>
    </row>
    <row r="52">
      <c r="A52" s="55" t="inlineStr">
        <is>
          <t>06.07.2026</t>
        </is>
      </c>
      <c r="B52" s="55" t="inlineStr">
        <is>
          <t>ЦентрКредит</t>
        </is>
      </c>
      <c r="C52" s="55" t="inlineStr">
        <is>
          <t>KZT</t>
        </is>
      </c>
      <c r="D52" s="55" t="inlineStr">
        <is>
          <t>2401</t>
        </is>
      </c>
      <c r="E52" s="55" t="inlineStr">
        <is>
          <t>Товарищество с ограниченной ответственностью "WayStar Group"</t>
        </is>
      </c>
      <c r="F52" s="55" t="inlineStr">
        <is>
          <t>240340014287</t>
        </is>
      </c>
      <c r="G52" s="55" t="inlineStr">
        <is>
          <t>316</t>
        </is>
      </c>
      <c r="H52" s="56" t="inlineStr">
        <is>
          <t>Выплата начисленного вознаграждения по депозитному договору № 01607034 от 24.07.2025 за период с 05.07.26 по 05.07.26. Вкладчик Товарищество с ограниченной ответственностью "WayStar Group".</t>
        </is>
      </c>
      <c r="I52" s="57" t="n"/>
      <c r="J52" s="57" t="n">
        <v>114076.37</v>
      </c>
      <c r="K52" s="58" t="n">
        <v>1</v>
      </c>
      <c r="L52" s="57" t="n"/>
      <c r="M52" s="57" t="n">
        <v>114076.37</v>
      </c>
      <c r="N52" s="59" t="inlineStr">
        <is>
          <t>Внутренний перевод</t>
        </is>
      </c>
      <c r="O52" s="55" t="inlineStr">
        <is>
          <t>Технические</t>
        </is>
      </c>
      <c r="P52" s="55" t="inlineStr">
        <is>
          <t>Перевод между своими счетами</t>
        </is>
      </c>
      <c r="Q52" s="55" t="inlineStr"/>
    </row>
    <row r="53">
      <c r="A53" s="55" t="inlineStr">
        <is>
          <t>07.07.2026</t>
        </is>
      </c>
      <c r="B53" s="55" t="inlineStr">
        <is>
          <t>ЦентрКредит</t>
        </is>
      </c>
      <c r="C53" s="55" t="inlineStr">
        <is>
          <t>KZT</t>
        </is>
      </c>
      <c r="D53" s="55" t="inlineStr">
        <is>
          <t>2401</t>
        </is>
      </c>
      <c r="E53" s="55" t="inlineStr">
        <is>
          <t>Товарищество с ограниченной ответственностью "Мобайл Телеком - Сервис"</t>
        </is>
      </c>
      <c r="F53" s="55" t="inlineStr">
        <is>
          <t>041140004799</t>
        </is>
      </c>
      <c r="G53" s="55" t="inlineStr">
        <is>
          <t>851</t>
        </is>
      </c>
      <c r="H53" s="56" t="inlineStr">
        <is>
          <t>Договор №00016379 от 21.10.2025 услуги связи июнь 2026</t>
        </is>
      </c>
      <c r="I53" s="57" t="n">
        <v>9320</v>
      </c>
      <c r="J53" s="57" t="n"/>
      <c r="K53" s="58" t="n">
        <v>1</v>
      </c>
      <c r="L53" s="57" t="n">
        <v>9320</v>
      </c>
      <c r="M53" s="57" t="n"/>
      <c r="N53" s="55" t="inlineStr">
        <is>
          <t>Внешняя операция</t>
        </is>
      </c>
      <c r="O53" s="55" t="inlineStr">
        <is>
          <t>Админ/офис</t>
        </is>
      </c>
      <c r="P53" s="55" t="inlineStr">
        <is>
          <t>Связь и ИТ</t>
        </is>
      </c>
      <c r="Q53" s="55" t="inlineStr">
        <is>
          <t>ТОО "Мобайл Телеком - Сервис"</t>
        </is>
      </c>
    </row>
    <row r="54">
      <c r="A54" s="55" t="inlineStr">
        <is>
          <t>07.07.2026</t>
        </is>
      </c>
      <c r="B54" s="55" t="inlineStr">
        <is>
          <t>ЦентрКредит</t>
        </is>
      </c>
      <c r="C54" s="55" t="inlineStr">
        <is>
          <t>KZT</t>
        </is>
      </c>
      <c r="D54" s="55" t="inlineStr">
        <is>
          <t>2401</t>
        </is>
      </c>
      <c r="E54" s="55" t="inlineStr">
        <is>
          <t>Товарищество с ограниченной ответственностью "Современные Печатные технологии "</t>
        </is>
      </c>
      <c r="F54" s="55" t="inlineStr">
        <is>
          <t>151140003068</t>
        </is>
      </c>
      <c r="G54" s="55" t="inlineStr">
        <is>
          <t>710</t>
        </is>
      </c>
      <c r="H54" s="56" t="inlineStr">
        <is>
          <t>Счет на оплату № 1311-2495 от 3 июля 2026 г. Визитки 84 шт</t>
        </is>
      </c>
      <c r="I54" s="57" t="n">
        <v>11760</v>
      </c>
      <c r="J54" s="57" t="n"/>
      <c r="K54" s="58" t="n">
        <v>1</v>
      </c>
      <c r="L54" s="57" t="n">
        <v>11760</v>
      </c>
      <c r="M54" s="57" t="n"/>
      <c r="N54" s="55" t="inlineStr">
        <is>
          <t>Внешняя операция</t>
        </is>
      </c>
      <c r="O54" s="55" t="inlineStr">
        <is>
          <t>Админ/офис</t>
        </is>
      </c>
      <c r="P54" s="55" t="inlineStr">
        <is>
          <t>Маркетинг и представит.</t>
        </is>
      </c>
      <c r="Q54" s="55" t="inlineStr">
        <is>
          <t>ТОО "Современные Печатные технологии "</t>
        </is>
      </c>
    </row>
    <row r="55">
      <c r="A55" s="55" t="inlineStr">
        <is>
          <t>07.07.2026</t>
        </is>
      </c>
      <c r="B55" s="55" t="inlineStr">
        <is>
          <t>ЦентрКредит</t>
        </is>
      </c>
      <c r="C55" s="55" t="inlineStr">
        <is>
          <t>KZT</t>
        </is>
      </c>
      <c r="D55" s="55" t="inlineStr">
        <is>
          <t>2401</t>
        </is>
      </c>
      <c r="E55" s="55" t="inlineStr">
        <is>
          <t>Акционерное Общество "Банк ЦентрКредит"</t>
        </is>
      </c>
      <c r="F55" s="55" t="inlineStr">
        <is>
          <t>980741000260</t>
        </is>
      </c>
      <c r="G55" s="55" t="inlineStr">
        <is>
          <t>841</t>
        </is>
      </c>
      <c r="H55" s="56" t="inlineStr">
        <is>
          <t>Интернет-банкинг. MIP. Международные платежи. Перевод в валютах стран СНГ, OUR  с 9:00 до 13:00. Расчетный документ № 1 от 07.07.26 на сумму 8 920 464.00 RUB, в т.ч. НДС 16%</t>
        </is>
      </c>
      <c r="I55" s="57" t="n">
        <v>30000</v>
      </c>
      <c r="J55" s="57" t="n"/>
      <c r="K55" s="58" t="n">
        <v>1</v>
      </c>
      <c r="L55" s="57" t="n">
        <v>30000</v>
      </c>
      <c r="M55" s="57" t="n"/>
      <c r="N55" s="55" t="inlineStr">
        <is>
          <t>Внешняя операция</t>
        </is>
      </c>
      <c r="O55" s="55" t="inlineStr">
        <is>
          <t>Финансовые</t>
        </is>
      </c>
      <c r="P55" s="55" t="inlineStr">
        <is>
          <t>Банковские комиссии</t>
        </is>
      </c>
      <c r="Q55" s="55" t="inlineStr">
        <is>
          <t>Акционерное Общество "Банк ЦентрКредит"</t>
        </is>
      </c>
    </row>
    <row r="56">
      <c r="A56" s="55" t="inlineStr">
        <is>
          <t>07.07.2026</t>
        </is>
      </c>
      <c r="B56" s="55" t="inlineStr">
        <is>
          <t>ЦентрКредит</t>
        </is>
      </c>
      <c r="C56" s="55" t="inlineStr">
        <is>
          <t>KZT</t>
        </is>
      </c>
      <c r="D56" s="55" t="inlineStr">
        <is>
          <t>2401</t>
        </is>
      </c>
      <c r="E56" s="55" t="inlineStr">
        <is>
          <t>Индивидуальный предприниматель "Катрышева"</t>
        </is>
      </c>
      <c r="F56" s="55" t="inlineStr">
        <is>
          <t>900902450133</t>
        </is>
      </c>
      <c r="G56" s="55" t="inlineStr">
        <is>
          <t>859</t>
        </is>
      </c>
      <c r="H56" s="56" t="inlineStr">
        <is>
          <t>Счет на оплату № 568 от 03.07.2026 г. Изготовление флага, флагштоков</t>
        </is>
      </c>
      <c r="I56" s="57" t="n">
        <v>35700</v>
      </c>
      <c r="J56" s="57" t="n"/>
      <c r="K56" s="58" t="n">
        <v>1</v>
      </c>
      <c r="L56" s="57" t="n">
        <v>35700</v>
      </c>
      <c r="M56" s="57" t="n"/>
      <c r="N56" s="55" t="inlineStr">
        <is>
          <t>Внешняя операция</t>
        </is>
      </c>
      <c r="O56" s="55" t="inlineStr">
        <is>
          <t>Админ/офис</t>
        </is>
      </c>
      <c r="P56" s="55" t="inlineStr">
        <is>
          <t>Проф. услуги (бухг./юр./конс.)</t>
        </is>
      </c>
      <c r="Q56" s="55" t="inlineStr">
        <is>
          <t>Индивидуальный предприниматель "Катрышева"</t>
        </is>
      </c>
    </row>
    <row r="57">
      <c r="A57" s="55" t="inlineStr">
        <is>
          <t>07.07.2026</t>
        </is>
      </c>
      <c r="B57" s="55" t="inlineStr">
        <is>
          <t>ЦентрКредит</t>
        </is>
      </c>
      <c r="C57" s="55" t="inlineStr">
        <is>
          <t>KZT</t>
        </is>
      </c>
      <c r="D57" s="55" t="inlineStr">
        <is>
          <t>2401</t>
        </is>
      </c>
      <c r="E57" s="55" t="inlineStr">
        <is>
          <t>Товарищество с ограниченной ответственностью "ALDAR EUROASIA PROPERTY MANAGEMENT"</t>
        </is>
      </c>
      <c r="F57" s="55" t="inlineStr">
        <is>
          <t>191040020896</t>
        </is>
      </c>
      <c r="G57" s="55" t="inlineStr">
        <is>
          <t>855</t>
        </is>
      </c>
      <c r="H57" s="56" t="inlineStr">
        <is>
          <t>Договор субаренды №SLA-Y-1107-02052025 от 02.05.2025г Счет на оплату № 00000004125 от 2 июля 2026 г. Комуслуги июнь 2026Сумма 38 905-08 тенге в т.ч. НДС(16%) 5 366-22 тенге</t>
        </is>
      </c>
      <c r="I57" s="57" t="n">
        <v>38905.08</v>
      </c>
      <c r="J57" s="57" t="n"/>
      <c r="K57" s="58" t="n">
        <v>1</v>
      </c>
      <c r="L57" s="57" t="n">
        <v>38905.08</v>
      </c>
      <c r="M57" s="57" t="n"/>
      <c r="N57" s="55" t="inlineStr">
        <is>
          <t>Внешняя операция</t>
        </is>
      </c>
      <c r="O57" s="55" t="inlineStr">
        <is>
          <t>Админ/офис</t>
        </is>
      </c>
      <c r="P57" s="55" t="inlineStr">
        <is>
          <t>Офис, аренда помещений, хоз.</t>
        </is>
      </c>
      <c r="Q57" s="55" t="inlineStr">
        <is>
          <t>ТОО "ALDAR EUROASIA PROPERTY MANAGEMENT"</t>
        </is>
      </c>
    </row>
    <row r="58">
      <c r="A58" s="55" t="inlineStr">
        <is>
          <t>07.07.2026</t>
        </is>
      </c>
      <c r="B58" s="55" t="inlineStr">
        <is>
          <t>ЦентрКредит</t>
        </is>
      </c>
      <c r="C58" s="55" t="inlineStr">
        <is>
          <t>KZT</t>
        </is>
      </c>
      <c r="D58" s="55" t="inlineStr">
        <is>
          <t>2401</t>
        </is>
      </c>
      <c r="E58" s="55" t="inlineStr">
        <is>
          <t>Акционерное Общество "Банк ЦентрКредит"</t>
        </is>
      </c>
      <c r="F58" s="55" t="inlineStr">
        <is>
          <t>980640000093</t>
        </is>
      </c>
      <c r="G58" s="55" t="inlineStr">
        <is>
          <t>841</t>
        </is>
      </c>
      <c r="H58" s="56" t="inlineStr">
        <is>
          <t>Интернет-банкинг. MIP. Международные платежи. Перевод OUR, кроме валют стран СНГ с 9:00  до 13:00. Расчетный документ № 2 от 07.07.26 на сумму 45 703.30 USD, в т.ч. НДС 16%</t>
        </is>
      </c>
      <c r="I58" s="57" t="n">
        <v>43148.26</v>
      </c>
      <c r="J58" s="57" t="n"/>
      <c r="K58" s="58" t="n">
        <v>1</v>
      </c>
      <c r="L58" s="57" t="n">
        <v>43148.26</v>
      </c>
      <c r="M58" s="57" t="n"/>
      <c r="N58" s="55" t="inlineStr">
        <is>
          <t>Внешняя операция</t>
        </is>
      </c>
      <c r="O58" s="55" t="inlineStr">
        <is>
          <t>Финансовые</t>
        </is>
      </c>
      <c r="P58" s="55" t="inlineStr">
        <is>
          <t>Банковские комиссии</t>
        </is>
      </c>
      <c r="Q58" s="55" t="inlineStr">
        <is>
          <t>Акционерное Общество "Банк ЦентрКредит"</t>
        </is>
      </c>
    </row>
    <row r="59">
      <c r="A59" s="55" t="inlineStr">
        <is>
          <t>07.07.2026</t>
        </is>
      </c>
      <c r="B59" s="55" t="inlineStr">
        <is>
          <t>ЦентрКредит</t>
        </is>
      </c>
      <c r="C59" s="55" t="inlineStr">
        <is>
          <t>KZT</t>
        </is>
      </c>
      <c r="D59" s="55" t="inlineStr">
        <is>
          <t>2401</t>
        </is>
      </c>
      <c r="E59" s="55" t="inlineStr">
        <is>
          <t>Акционерное общество "Jusan Mobile"</t>
        </is>
      </c>
      <c r="F59" s="55" t="inlineStr">
        <is>
          <t>960340000405</t>
        </is>
      </c>
      <c r="G59" s="55" t="inlineStr">
        <is>
          <t>851</t>
        </is>
      </c>
      <c r="H59" s="56" t="inlineStr">
        <is>
          <t>Договор №22/ДКП B2B-25 от 21.05.2025г за июнь 2026</t>
        </is>
      </c>
      <c r="I59" s="57" t="n">
        <v>81392.56</v>
      </c>
      <c r="J59" s="57" t="n"/>
      <c r="K59" s="58" t="n">
        <v>1</v>
      </c>
      <c r="L59" s="57" t="n">
        <v>81392.56</v>
      </c>
      <c r="M59" s="57" t="n"/>
      <c r="N59" s="55" t="inlineStr">
        <is>
          <t>Внешняя операция</t>
        </is>
      </c>
      <c r="O59" s="55" t="inlineStr">
        <is>
          <t>Админ/офис</t>
        </is>
      </c>
      <c r="P59" s="55" t="inlineStr">
        <is>
          <t>Проф. услуги (бухг./юр./конс.)</t>
        </is>
      </c>
      <c r="Q59" s="55" t="inlineStr">
        <is>
          <t>Акционерное общество "Jusan Mobile"</t>
        </is>
      </c>
    </row>
    <row r="60">
      <c r="A60" s="55" t="inlineStr">
        <is>
          <t>07.07.2026</t>
        </is>
      </c>
      <c r="B60" s="55" t="inlineStr">
        <is>
          <t>ЦентрКредит</t>
        </is>
      </c>
      <c r="C60" s="55" t="inlineStr">
        <is>
          <t>KZT</t>
        </is>
      </c>
      <c r="D60" s="55" t="inlineStr">
        <is>
          <t>2401</t>
        </is>
      </c>
      <c r="E60" s="55" t="inlineStr">
        <is>
          <t>Унбетпаев Ернар Байтасович</t>
        </is>
      </c>
      <c r="F60" s="55" t="inlineStr">
        <is>
          <t>840808300582</t>
        </is>
      </c>
      <c r="G60" s="55" t="inlineStr">
        <is>
          <t>871</t>
        </is>
      </c>
      <c r="H60" s="56" t="inlineStr">
        <is>
          <t>Суточные расходы на проезд Астана- Саранск-Астана 07.07-09.07.2026 3 кд *24МРП (4325тг МРП) Вне РК 8МРП. Без НДС. Платежи по поездкам</t>
        </is>
      </c>
      <c r="I60" s="57" t="n">
        <v>103800</v>
      </c>
      <c r="J60" s="57" t="n"/>
      <c r="K60" s="58" t="n">
        <v>1</v>
      </c>
      <c r="L60" s="57" t="n">
        <v>103800</v>
      </c>
      <c r="M60" s="57" t="n"/>
      <c r="N60" s="55" t="inlineStr">
        <is>
          <t>Внешняя операция</t>
        </is>
      </c>
      <c r="O60" s="55" t="inlineStr">
        <is>
          <t>ФОТ</t>
        </is>
      </c>
      <c r="P60" s="55" t="inlineStr">
        <is>
          <t>Командировки и подотчёт</t>
        </is>
      </c>
      <c r="Q60" s="55" t="inlineStr">
        <is>
          <t>Унбетпаев Ернар Байтасович</t>
        </is>
      </c>
    </row>
    <row r="61">
      <c r="A61" s="55" t="inlineStr">
        <is>
          <t>07.07.2026</t>
        </is>
      </c>
      <c r="B61" s="55" t="inlineStr">
        <is>
          <t>ЦентрКредит</t>
        </is>
      </c>
      <c r="C61" s="55" t="inlineStr">
        <is>
          <t>KZT</t>
        </is>
      </c>
      <c r="D61" s="55" t="inlineStr">
        <is>
          <t>2401</t>
        </is>
      </c>
      <c r="E61" s="55" t="inlineStr">
        <is>
          <t>Товарищество с ограниченной ответственностью "ALDAR EUROASIA PROPERTY MANAGEMENT"</t>
        </is>
      </c>
      <c r="F61" s="55" t="inlineStr">
        <is>
          <t>191040020896</t>
        </is>
      </c>
      <c r="G61" s="55" t="inlineStr">
        <is>
          <t>855</t>
        </is>
      </c>
      <c r="H61" s="56" t="inlineStr">
        <is>
          <t>Договор субаренды №SLA-Y-1107-02052025 от 02.05.2025г Счет на оплату № 00000003857 от 18 июня 2026 г. Аренда паркинга июль 2026</t>
        </is>
      </c>
      <c r="I61" s="57" t="n">
        <v>121800</v>
      </c>
      <c r="J61" s="57" t="n"/>
      <c r="K61" s="58" t="n">
        <v>1</v>
      </c>
      <c r="L61" s="57" t="n">
        <v>121800</v>
      </c>
      <c r="M61" s="57" t="n"/>
      <c r="N61" s="55" t="inlineStr">
        <is>
          <t>Внешняя операция</t>
        </is>
      </c>
      <c r="O61" s="55" t="inlineStr">
        <is>
          <t>Админ/офис</t>
        </is>
      </c>
      <c r="P61" s="55" t="inlineStr">
        <is>
          <t>Офис, аренда помещений, хоз.</t>
        </is>
      </c>
      <c r="Q61" s="55" t="inlineStr">
        <is>
          <t>ТОО "ALDAR EUROASIA PROPERTY MANAGEMENT"</t>
        </is>
      </c>
    </row>
    <row r="62">
      <c r="A62" s="55" t="inlineStr">
        <is>
          <t>07.07.2026</t>
        </is>
      </c>
      <c r="B62" s="55" t="inlineStr">
        <is>
          <t>ЦентрКредит</t>
        </is>
      </c>
      <c r="C62" s="55" t="inlineStr">
        <is>
          <t>KZT</t>
        </is>
      </c>
      <c r="D62" s="55" t="inlineStr">
        <is>
          <t>2401</t>
        </is>
      </c>
      <c r="E62" s="55" t="inlineStr">
        <is>
          <t>Банк ЦентрКредит для ЗП</t>
        </is>
      </c>
      <c r="F62" s="55" t="inlineStr">
        <is>
          <t>980640000093</t>
        </is>
      </c>
      <c r="G62" s="55" t="inlineStr">
        <is>
          <t>332</t>
        </is>
      </c>
      <c r="H62" s="56" t="inlineStr">
        <is>
          <t>Для зачисления на картсчета сотрудникам согласно спискам 159 091-00 тенге.</t>
        </is>
      </c>
      <c r="I62" s="57" t="n">
        <v>159091</v>
      </c>
      <c r="J62" s="57" t="n"/>
      <c r="K62" s="58" t="n">
        <v>1</v>
      </c>
      <c r="L62" s="57" t="n">
        <v>159091</v>
      </c>
      <c r="M62" s="57" t="n"/>
      <c r="N62" s="55" t="inlineStr">
        <is>
          <t>Внешняя операция</t>
        </is>
      </c>
      <c r="O62" s="55" t="inlineStr">
        <is>
          <t>ФОТ</t>
        </is>
      </c>
      <c r="P62" s="55" t="inlineStr">
        <is>
          <t>Зарплата</t>
        </is>
      </c>
      <c r="Q62" s="55" t="inlineStr">
        <is>
          <t>Банк ЦентрКредит для ЗП</t>
        </is>
      </c>
    </row>
    <row r="63">
      <c r="A63" s="55" t="inlineStr">
        <is>
          <t>07.07.2026</t>
        </is>
      </c>
      <c r="B63" s="55" t="inlineStr">
        <is>
          <t>ЦентрКредит</t>
        </is>
      </c>
      <c r="C63" s="55" t="inlineStr">
        <is>
          <t>KZT</t>
        </is>
      </c>
      <c r="D63" s="55" t="inlineStr">
        <is>
          <t>2401</t>
        </is>
      </c>
      <c r="E63" s="55" t="inlineStr">
        <is>
          <t>Товарищество с ограниченной ответственностью "АВИАТУРАГЕНТСТВО ПАКС"</t>
        </is>
      </c>
      <c r="F63" s="55" t="inlineStr">
        <is>
          <t>181040009040</t>
        </is>
      </c>
      <c r="G63" s="55" t="inlineStr">
        <is>
          <t>811</t>
        </is>
      </c>
      <c r="H63" s="56" t="inlineStr">
        <is>
          <t>Счет на оплату № 158 от 15 июня 2026 г. Договор №KZ 01/01/2025 от 14.07.2025 NQZ-ALA-NQZ / 15.06 -17.06 TASHMETOV SAKEN 465-5899002569 BAZHIKAYEV ABYLAIKHAN 465-5899002570</t>
        </is>
      </c>
      <c r="I63" s="57" t="n">
        <v>194096</v>
      </c>
      <c r="J63" s="57" t="n"/>
      <c r="K63" s="58" t="n">
        <v>1</v>
      </c>
      <c r="L63" s="57" t="n">
        <v>194096</v>
      </c>
      <c r="M63" s="57" t="n"/>
      <c r="N63" s="55" t="inlineStr">
        <is>
          <t>Внешняя операция</t>
        </is>
      </c>
      <c r="O63" s="55" t="inlineStr">
        <is>
          <t>ФОТ</t>
        </is>
      </c>
      <c r="P63" s="55" t="inlineStr">
        <is>
          <t>Командировки и подотчёт</t>
        </is>
      </c>
      <c r="Q63" s="55" t="inlineStr">
        <is>
          <t>ТОО "АВИАТУРАГЕНТСТВО ПАКС"</t>
        </is>
      </c>
    </row>
    <row r="64">
      <c r="A64" s="55" t="inlineStr">
        <is>
          <t>07.07.2026</t>
        </is>
      </c>
      <c r="B64" s="55" t="inlineStr">
        <is>
          <t>ЦентрКредит</t>
        </is>
      </c>
      <c r="C64" s="55" t="inlineStr">
        <is>
          <t>KZT</t>
        </is>
      </c>
      <c r="D64" s="55" t="inlineStr">
        <is>
          <t>2401</t>
        </is>
      </c>
      <c r="E64" s="55" t="inlineStr">
        <is>
          <t>Частная компания WayStar Service Limited</t>
        </is>
      </c>
      <c r="F64" s="55" t="inlineStr">
        <is>
          <t>260540900770</t>
        </is>
      </c>
      <c r="G64" s="55" t="inlineStr">
        <is>
          <t>411</t>
        </is>
      </c>
      <c r="H64" s="56" t="inlineStr">
        <is>
          <t>выдача займа. Без НДС. Выдача краткосрочных займов (не более одного года)</t>
        </is>
      </c>
      <c r="I64" s="57" t="n">
        <v>200000</v>
      </c>
      <c r="J64" s="57" t="n"/>
      <c r="K64" s="58" t="n">
        <v>1</v>
      </c>
      <c r="L64" s="57" t="n">
        <v>200000</v>
      </c>
      <c r="M64" s="57" t="n"/>
      <c r="N64" s="59" t="inlineStr">
        <is>
          <t>Внутренний перевод</t>
        </is>
      </c>
      <c r="O64" s="55" t="inlineStr">
        <is>
          <t>Технические</t>
        </is>
      </c>
      <c r="P64" s="55" t="inlineStr">
        <is>
          <t>Перевод между своими счетами</t>
        </is>
      </c>
      <c r="Q64" s="55" t="inlineStr"/>
    </row>
    <row r="65">
      <c r="A65" s="55" t="inlineStr">
        <is>
          <t>07.07.2026</t>
        </is>
      </c>
      <c r="B65" s="55" t="inlineStr">
        <is>
          <t>ЦентрКредит</t>
        </is>
      </c>
      <c r="C65" s="55" t="inlineStr">
        <is>
          <t>KZT</t>
        </is>
      </c>
      <c r="D65" s="55" t="inlineStr">
        <is>
          <t>2401</t>
        </is>
      </c>
      <c r="E65" s="55" t="inlineStr">
        <is>
          <t>Акционерное общество "Транстелеком"</t>
        </is>
      </c>
      <c r="F65" s="55" t="inlineStr">
        <is>
          <t>991140001226</t>
        </is>
      </c>
      <c r="G65" s="55" t="inlineStr">
        <is>
          <t>859</t>
        </is>
      </c>
      <c r="H65" s="56" t="inlineStr">
        <is>
          <t>Договор №ТТС/582-22/АСТ от 02.10.2024 г. платежи за услуги связи за май 2026Сумма 201 723-41 теңге без налога</t>
        </is>
      </c>
      <c r="I65" s="57" t="n">
        <v>201723.41</v>
      </c>
      <c r="J65" s="57" t="n"/>
      <c r="K65" s="58" t="n">
        <v>1</v>
      </c>
      <c r="L65" s="57" t="n">
        <v>201723.41</v>
      </c>
      <c r="M65" s="57" t="n"/>
      <c r="N65" s="55" t="inlineStr">
        <is>
          <t>Внешняя операция</t>
        </is>
      </c>
      <c r="O65" s="55" t="inlineStr">
        <is>
          <t>Админ/офис</t>
        </is>
      </c>
      <c r="P65" s="55" t="inlineStr">
        <is>
          <t>Связь и ИТ</t>
        </is>
      </c>
      <c r="Q65" s="55" t="inlineStr">
        <is>
          <t>Акционерное общество "Транстелеком"</t>
        </is>
      </c>
    </row>
    <row r="66">
      <c r="A66" s="55" t="inlineStr">
        <is>
          <t>07.07.2026</t>
        </is>
      </c>
      <c r="B66" s="55" t="inlineStr">
        <is>
          <t>ЦентрКредит</t>
        </is>
      </c>
      <c r="C66" s="55" t="inlineStr">
        <is>
          <t>KZT</t>
        </is>
      </c>
      <c r="D66" s="55" t="inlineStr">
        <is>
          <t>2401</t>
        </is>
      </c>
      <c r="E66" s="55" t="inlineStr">
        <is>
          <t>Товарищество с ограниченной ответственностью "АФ АГМ-Табыс"</t>
        </is>
      </c>
      <c r="F66" s="55" t="inlineStr">
        <is>
          <t>190940030685</t>
        </is>
      </c>
      <c r="G66" s="55" t="inlineStr">
        <is>
          <t>822</t>
        </is>
      </c>
      <c r="H66" s="56" t="inlineStr">
        <is>
          <t>Оплата согл акта сверки от 07.07.2026 Текущий ремонт колесных пар с обточкой 0005.889560.18, 1226.19372.2021</t>
        </is>
      </c>
      <c r="I66" s="57" t="n">
        <v>207649.28</v>
      </c>
      <c r="J66" s="57" t="n"/>
      <c r="K66" s="58" t="n">
        <v>1</v>
      </c>
      <c r="L66" s="57" t="n">
        <v>207649.28</v>
      </c>
      <c r="M66" s="57" t="n"/>
      <c r="N66" s="55" t="inlineStr">
        <is>
          <t>Внешняя операция</t>
        </is>
      </c>
      <c r="O66" s="55" t="inlineStr">
        <is>
          <t>Себестоимость</t>
        </is>
      </c>
      <c r="P66" s="55" t="inlineStr">
        <is>
          <t>Ремонт вагонов и узлов</t>
        </is>
      </c>
      <c r="Q66" s="55" t="inlineStr">
        <is>
          <t>ТОО "АФ АГМ-Табыс"</t>
        </is>
      </c>
    </row>
    <row r="67">
      <c r="A67" s="55" t="inlineStr">
        <is>
          <t>07.07.2026</t>
        </is>
      </c>
      <c r="B67" s="55" t="inlineStr">
        <is>
          <t>ЦентрКредит</t>
        </is>
      </c>
      <c r="C67" s="55" t="inlineStr">
        <is>
          <t>KZT</t>
        </is>
      </c>
      <c r="D67" s="55" t="inlineStr">
        <is>
          <t>2401</t>
        </is>
      </c>
      <c r="E67" s="55" t="inlineStr">
        <is>
          <t>Товарищество с ограниченной ответственностью "Объединенное железнодорожное хозяйство"</t>
        </is>
      </c>
      <c r="F67" s="55" t="inlineStr">
        <is>
          <t>950440001742</t>
        </is>
      </c>
      <c r="G67" s="55" t="inlineStr">
        <is>
          <t>819</t>
        </is>
      </c>
      <c r="H67" s="56" t="inlineStr">
        <is>
          <t>Договор № 37-ОЖДХ Счет на оплату № 515 от 03.07.2026 г, ТОР №51261774</t>
        </is>
      </c>
      <c r="I67" s="57" t="n">
        <v>213075.76</v>
      </c>
      <c r="J67" s="57" t="n"/>
      <c r="K67" s="58" t="n">
        <v>1</v>
      </c>
      <c r="L67" s="57" t="n">
        <v>213075.76</v>
      </c>
      <c r="M67" s="57" t="n"/>
      <c r="N67" s="55" t="inlineStr">
        <is>
          <t>Внешняя операция</t>
        </is>
      </c>
      <c r="O67" s="55" t="inlineStr">
        <is>
          <t>Себестоимость</t>
        </is>
      </c>
      <c r="P67" s="55" t="inlineStr">
        <is>
          <t>Ремонт вагонов и узлов</t>
        </is>
      </c>
      <c r="Q67" s="55" t="inlineStr">
        <is>
          <t>ТОО "Объединенное железнодорожное хозяйство"</t>
        </is>
      </c>
    </row>
    <row r="68">
      <c r="A68" s="55" t="inlineStr">
        <is>
          <t>07.07.2026</t>
        </is>
      </c>
      <c r="B68" s="55" t="inlineStr">
        <is>
          <t>ЦентрКредит</t>
        </is>
      </c>
      <c r="C68" s="55" t="inlineStr">
        <is>
          <t>KZT</t>
        </is>
      </c>
      <c r="D68" s="55" t="inlineStr">
        <is>
          <t>2401</t>
        </is>
      </c>
      <c r="E68" s="55" t="inlineStr">
        <is>
          <t>Товарищество с ограниченной ответственностью "Нұр-Альфинур"</t>
        </is>
      </c>
      <c r="F68" s="55" t="inlineStr">
        <is>
          <t>111240015961</t>
        </is>
      </c>
      <c r="G68" s="55" t="inlineStr">
        <is>
          <t>822</t>
        </is>
      </c>
      <c r="H68" s="56" t="inlineStr">
        <is>
          <t>Счет на оплату № 10000000114 от 30.06.2026 г. Средний ремонт колесной парыСумма 290 874-00 тенге в т.ч. НДС(16%) 40 120-55 тенге</t>
        </is>
      </c>
      <c r="I68" s="57" t="n">
        <v>290874</v>
      </c>
      <c r="J68" s="57" t="n"/>
      <c r="K68" s="58" t="n">
        <v>1</v>
      </c>
      <c r="L68" s="57" t="n">
        <v>290874</v>
      </c>
      <c r="M68" s="57" t="n"/>
      <c r="N68" s="55" t="inlineStr">
        <is>
          <t>Внешняя операция</t>
        </is>
      </c>
      <c r="O68" s="55" t="inlineStr">
        <is>
          <t>Себестоимость</t>
        </is>
      </c>
      <c r="P68" s="55" t="inlineStr">
        <is>
          <t>Ремонт вагонов и узлов</t>
        </is>
      </c>
      <c r="Q68" s="55" t="inlineStr">
        <is>
          <t>ТОО "Нұр-Альфинур"</t>
        </is>
      </c>
    </row>
    <row r="69">
      <c r="A69" s="55" t="inlineStr">
        <is>
          <t>07.07.2026</t>
        </is>
      </c>
      <c r="B69" s="55" t="inlineStr">
        <is>
          <t>ЦентрКредит</t>
        </is>
      </c>
      <c r="C69" s="55" t="inlineStr">
        <is>
          <t>KZT</t>
        </is>
      </c>
      <c r="D69" s="55" t="inlineStr">
        <is>
          <t>2401</t>
        </is>
      </c>
      <c r="E69" s="55" t="inlineStr">
        <is>
          <t>Товарищество с ограниченной ответственностью "LogiSoft" (ЛогиСофт)</t>
        </is>
      </c>
      <c r="F69" s="55" t="inlineStr">
        <is>
          <t>121240002971</t>
        </is>
      </c>
      <c r="G69" s="55" t="inlineStr">
        <is>
          <t>851</t>
        </is>
      </c>
      <c r="H69" s="56" t="inlineStr">
        <is>
          <t>Договор №633 от 14.02.2025г Счет на оплату № 633/7 от «07» июля 2026 г. Информационные услуги</t>
        </is>
      </c>
      <c r="I69" s="57" t="n">
        <v>300008.48</v>
      </c>
      <c r="J69" s="57" t="n"/>
      <c r="K69" s="58" t="n">
        <v>1</v>
      </c>
      <c r="L69" s="57" t="n">
        <v>300008.48</v>
      </c>
      <c r="M69" s="57" t="n"/>
      <c r="N69" s="55" t="inlineStr">
        <is>
          <t>Внешняя операция</t>
        </is>
      </c>
      <c r="O69" s="55" t="inlineStr">
        <is>
          <t>Админ/офис</t>
        </is>
      </c>
      <c r="P69" s="55" t="inlineStr">
        <is>
          <t>Связь и ИТ</t>
        </is>
      </c>
      <c r="Q69" s="55" t="inlineStr">
        <is>
          <t>ТОО "LogiSoft" (ЛогиСофт)</t>
        </is>
      </c>
    </row>
    <row r="70">
      <c r="A70" s="55" t="inlineStr">
        <is>
          <t>07.07.2026</t>
        </is>
      </c>
      <c r="B70" s="55" t="inlineStr">
        <is>
          <t>ЦентрКредит</t>
        </is>
      </c>
      <c r="C70" s="55" t="inlineStr">
        <is>
          <t>KZT</t>
        </is>
      </c>
      <c r="D70" s="55" t="inlineStr">
        <is>
          <t>2401</t>
        </is>
      </c>
      <c r="E70" s="55" t="inlineStr">
        <is>
          <t>Товарищество с ограниченной ответственностью "ALDAR EUROASIA PROPERTY MANAGEMENT"</t>
        </is>
      </c>
      <c r="F70" s="55" t="inlineStr">
        <is>
          <t>191040020896</t>
        </is>
      </c>
      <c r="G70" s="55" t="inlineStr">
        <is>
          <t>855</t>
        </is>
      </c>
      <c r="H70" s="56" t="inlineStr">
        <is>
          <t>Договор субаренды №SLA-Y-1107-02052025 от 02.05.2025г Счет на оплату № 00000003856 от 18 июня 2026 г. Аренда офиса июль 2026Сумма 4 617 380-00 тенге в т.ч. НДС(16%) 636 880-00 тенге</t>
        </is>
      </c>
      <c r="I70" s="57" t="n">
        <v>4617380</v>
      </c>
      <c r="J70" s="57" t="n"/>
      <c r="K70" s="58" t="n">
        <v>1</v>
      </c>
      <c r="L70" s="57" t="n">
        <v>4617380</v>
      </c>
      <c r="M70" s="57" t="n"/>
      <c r="N70" s="55" t="inlineStr">
        <is>
          <t>Внешняя операция</t>
        </is>
      </c>
      <c r="O70" s="55" t="inlineStr">
        <is>
          <t>Админ/офис</t>
        </is>
      </c>
      <c r="P70" s="55" t="inlineStr">
        <is>
          <t>Офис, аренда помещений, хоз.</t>
        </is>
      </c>
      <c r="Q70" s="55" t="inlineStr">
        <is>
          <t>ТОО "ALDAR EUROASIA PROPERTY MANAGEMENT"</t>
        </is>
      </c>
    </row>
    <row r="71">
      <c r="A71" s="55" t="inlineStr">
        <is>
          <t>07.07.2026</t>
        </is>
      </c>
      <c r="B71" s="55" t="inlineStr">
        <is>
          <t>ЦентрКредит</t>
        </is>
      </c>
      <c r="C71" s="55" t="inlineStr">
        <is>
          <t>KZT</t>
        </is>
      </c>
      <c r="D71" s="55" t="inlineStr">
        <is>
          <t>2401</t>
        </is>
      </c>
      <c r="E71" s="55" t="inlineStr">
        <is>
          <t>Банк ЦентрКредит для ЗП</t>
        </is>
      </c>
      <c r="F71" s="55" t="inlineStr">
        <is>
          <t>980640000093</t>
        </is>
      </c>
      <c r="G71" s="55" t="inlineStr">
        <is>
          <t>332</t>
        </is>
      </c>
      <c r="H71" s="56" t="inlineStr">
        <is>
          <t>Для зачисления на картсчета сотрудникам согласно спискам 5 000 000-00 тенге.</t>
        </is>
      </c>
      <c r="I71" s="57" t="n">
        <v>5000000</v>
      </c>
      <c r="J71" s="57" t="n"/>
      <c r="K71" s="58" t="n">
        <v>1</v>
      </c>
      <c r="L71" s="57" t="n">
        <v>5000000</v>
      </c>
      <c r="M71" s="57" t="n"/>
      <c r="N71" s="55" t="inlineStr">
        <is>
          <t>Внешняя операция</t>
        </is>
      </c>
      <c r="O71" s="55" t="inlineStr">
        <is>
          <t>ФОТ</t>
        </is>
      </c>
      <c r="P71" s="55" t="inlineStr">
        <is>
          <t>Зарплата</t>
        </is>
      </c>
      <c r="Q71" s="55" t="inlineStr">
        <is>
          <t>Банк ЦентрКредит для ЗП</t>
        </is>
      </c>
    </row>
    <row r="72">
      <c r="A72" s="55" t="inlineStr">
        <is>
          <t>07.07.2026</t>
        </is>
      </c>
      <c r="B72" s="55" t="inlineStr">
        <is>
          <t>ЦентрКредит</t>
        </is>
      </c>
      <c r="C72" s="55" t="inlineStr">
        <is>
          <t>KZT</t>
        </is>
      </c>
      <c r="D72" s="55" t="inlineStr">
        <is>
          <t>2401</t>
        </is>
      </c>
      <c r="E72" s="55" t="inlineStr">
        <is>
          <t>ТОО КТЖ-Грузовые перевозки</t>
        </is>
      </c>
      <c r="F72" s="55" t="inlineStr">
        <is>
          <t>031040001799</t>
        </is>
      </c>
      <c r="G72" s="55" t="inlineStr">
        <is>
          <t>813</t>
        </is>
      </c>
      <c r="H72" s="56" t="inlineStr">
        <is>
          <t>Без НДС, 4185494, Платежи за услуги железнодорожного транспорта</t>
        </is>
      </c>
      <c r="I72" s="57" t="n">
        <v>6000000</v>
      </c>
      <c r="J72" s="57" t="n"/>
      <c r="K72" s="58" t="n">
        <v>1</v>
      </c>
      <c r="L72" s="57" t="n">
        <v>6000000</v>
      </c>
      <c r="M72" s="57" t="n"/>
      <c r="N72" s="55" t="inlineStr">
        <is>
          <t>Внешняя операция</t>
        </is>
      </c>
      <c r="O72" s="55" t="inlineStr">
        <is>
          <t>Себестоимость</t>
        </is>
      </c>
      <c r="P72" s="55" t="inlineStr">
        <is>
          <t>Тариф КТЖ (ж/д перевозки)</t>
        </is>
      </c>
      <c r="Q72" s="55" t="inlineStr">
        <is>
          <t>ТОО «КТЖ-Грузовые перевозки»</t>
        </is>
      </c>
    </row>
    <row r="73">
      <c r="A73" s="55" t="inlineStr">
        <is>
          <t>07.07.2026</t>
        </is>
      </c>
      <c r="B73" s="55" t="inlineStr">
        <is>
          <t>ЦентрКредит</t>
        </is>
      </c>
      <c r="C73" s="55" t="inlineStr">
        <is>
          <t>KZT</t>
        </is>
      </c>
      <c r="D73" s="55" t="inlineStr">
        <is>
          <t>2401</t>
        </is>
      </c>
      <c r="E73" s="55" t="inlineStr">
        <is>
          <t>КТТ (ҚАЗТЕМІРТРАНС) АО</t>
        </is>
      </c>
      <c r="F73" s="55" t="inlineStr">
        <is>
          <t>031040000572</t>
        </is>
      </c>
      <c r="G73" s="55" t="inlineStr">
        <is>
          <t>813</t>
        </is>
      </c>
      <c r="H73" s="56" t="inlineStr">
        <is>
          <t>Счета на оплату № К-211120/26 , К-211122/26 , К-211124/26 , К-211126/26 от 07.07.2026 г. по Договору № 20-02-2026/14989-НПрк от 20 февраля 2026 от 20.02.2026 Сумма 10 450 442-40 тенге в т.ч. НДС(16%) 1 441 440-34 тенге</t>
        </is>
      </c>
      <c r="I73" s="57" t="n">
        <v>10450442.4</v>
      </c>
      <c r="J73" s="57" t="n"/>
      <c r="K73" s="58" t="n">
        <v>1</v>
      </c>
      <c r="L73" s="57" t="n">
        <v>10450442.4</v>
      </c>
      <c r="M73" s="57" t="n"/>
      <c r="N73" s="55" t="inlineStr">
        <is>
          <t>Внешняя операция</t>
        </is>
      </c>
      <c r="O73" s="55" t="inlineStr">
        <is>
          <t>Себестоимость</t>
        </is>
      </c>
      <c r="P73" s="55" t="inlineStr">
        <is>
          <t>Операторы вагонов (КТТ и др.)</t>
        </is>
      </c>
      <c r="Q73" s="55" t="inlineStr">
        <is>
          <t>АО «КазТемирТранс» (КТТ)</t>
        </is>
      </c>
    </row>
    <row r="74">
      <c r="A74" s="55" t="inlineStr">
        <is>
          <t>07.07.2026</t>
        </is>
      </c>
      <c r="B74" s="55" t="inlineStr">
        <is>
          <t>ЦентрКредит</t>
        </is>
      </c>
      <c r="C74" s="55" t="inlineStr">
        <is>
          <t>KZT</t>
        </is>
      </c>
      <c r="D74" s="55" t="inlineStr">
        <is>
          <t>2401</t>
        </is>
      </c>
      <c r="E74" s="55" t="inlineStr">
        <is>
          <t>КТТ (ҚАЗТЕМІРТРАНС) АО</t>
        </is>
      </c>
      <c r="F74" s="55" t="inlineStr">
        <is>
          <t>031040000572</t>
        </is>
      </c>
      <c r="G74" s="55" t="inlineStr">
        <is>
          <t>813</t>
        </is>
      </c>
      <c r="H74" s="56" t="inlineStr">
        <is>
          <t>К-211272/26 от 07.07.2026 по Договору № 20-02-2026/14989-НПрк от 20 февраля 2026 от 20.02.2026. Без НДС. Платежи за услуги железнодорожного транспорта</t>
        </is>
      </c>
      <c r="I74" s="57" t="n">
        <v>12696894</v>
      </c>
      <c r="J74" s="57" t="n"/>
      <c r="K74" s="58" t="n">
        <v>1</v>
      </c>
      <c r="L74" s="57" t="n">
        <v>12696894</v>
      </c>
      <c r="M74" s="57" t="n"/>
      <c r="N74" s="55" t="inlineStr">
        <is>
          <t>Внешняя операция</t>
        </is>
      </c>
      <c r="O74" s="55" t="inlineStr">
        <is>
          <t>Себестоимость</t>
        </is>
      </c>
      <c r="P74" s="55" t="inlineStr">
        <is>
          <t>Операторы вагонов (КТТ и др.)</t>
        </is>
      </c>
      <c r="Q74" s="55" t="inlineStr">
        <is>
          <t>АО «КазТемирТранс» (КТТ)</t>
        </is>
      </c>
    </row>
    <row r="75">
      <c r="A75" s="55" t="inlineStr">
        <is>
          <t>07.07.2026</t>
        </is>
      </c>
      <c r="B75" s="55" t="inlineStr">
        <is>
          <t>ЦентрКредит</t>
        </is>
      </c>
      <c r="C75" s="55" t="inlineStr">
        <is>
          <t>KZT</t>
        </is>
      </c>
      <c r="D75" s="55" t="inlineStr">
        <is>
          <t>2401</t>
        </is>
      </c>
      <c r="E75" s="55" t="inlineStr">
        <is>
          <t>Товарищество с ограниченной ответственностью "PetroComLogistics"</t>
        </is>
      </c>
      <c r="F75" s="55" t="inlineStr">
        <is>
          <t>170540018330</t>
        </is>
      </c>
      <c r="G75" s="55" t="inlineStr">
        <is>
          <t>855</t>
        </is>
      </c>
      <c r="H75" s="56" t="inlineStr">
        <is>
          <t>Договор аренды подвижного состава №04/27112025 Счет на оплату №44 от 01.07.2026 г. Аренда жд вагонов</t>
        </is>
      </c>
      <c r="I75" s="57" t="n">
        <v>14384000</v>
      </c>
      <c r="J75" s="57" t="n"/>
      <c r="K75" s="58" t="n">
        <v>1</v>
      </c>
      <c r="L75" s="57" t="n">
        <v>14384000</v>
      </c>
      <c r="M75" s="57" t="n"/>
      <c r="N75" s="55" t="inlineStr">
        <is>
          <t>Внешняя операция</t>
        </is>
      </c>
      <c r="O75" s="55" t="inlineStr">
        <is>
          <t>Себестоимость</t>
        </is>
      </c>
      <c r="P75" s="55" t="inlineStr">
        <is>
          <t>Аренда/предоставление вагонов</t>
        </is>
      </c>
      <c r="Q75" s="55" t="inlineStr">
        <is>
          <t>ТОО "PetroComLogistics"</t>
        </is>
      </c>
    </row>
    <row r="76">
      <c r="A76" s="55" t="inlineStr">
        <is>
          <t>07.07.2026</t>
        </is>
      </c>
      <c r="B76" s="55" t="inlineStr">
        <is>
          <t>ЦентрКредит</t>
        </is>
      </c>
      <c r="C76" s="55" t="inlineStr">
        <is>
          <t>KZT</t>
        </is>
      </c>
      <c r="D76" s="55" t="inlineStr">
        <is>
          <t>2401</t>
        </is>
      </c>
      <c r="E76" s="55" t="inlineStr">
        <is>
          <t>Акционерное Общество "Банк ЦентрКредит"</t>
        </is>
      </c>
      <c r="F76" s="55" t="inlineStr">
        <is>
          <t>980640000093</t>
        </is>
      </c>
      <c r="G76" s="55" t="inlineStr">
        <is>
          <t>213</t>
        </is>
      </c>
      <c r="H76" s="56" t="inlineStr">
        <is>
          <t>Покупка иностранной валюты TOD (день в день), ТОО "WayStar Group", БИН 240340014287. Заявка №619602. Дата вал. 07.07.2026. Покупка USD, продажа KZT. Курс сделки 472.66. Учетный курс 472.03. Получение услуг</t>
        </is>
      </c>
      <c r="I76" s="57" t="n">
        <v>21602121.78</v>
      </c>
      <c r="J76" s="57" t="n"/>
      <c r="K76" s="58" t="n">
        <v>1</v>
      </c>
      <c r="L76" s="57" t="n">
        <v>21602121.78</v>
      </c>
      <c r="M76" s="57" t="n"/>
      <c r="N76" s="60" t="inlineStr">
        <is>
          <t>Конвертация валют</t>
        </is>
      </c>
      <c r="O76" s="55" t="inlineStr">
        <is>
          <t>Технические</t>
        </is>
      </c>
      <c r="P76" s="55" t="inlineStr">
        <is>
          <t>Покупка/продажа валюты</t>
        </is>
      </c>
      <c r="Q76" s="55" t="inlineStr"/>
    </row>
    <row r="77">
      <c r="A77" s="55" t="inlineStr">
        <is>
          <t>07.07.2026</t>
        </is>
      </c>
      <c r="B77" s="55" t="inlineStr">
        <is>
          <t>ЦентрКредит</t>
        </is>
      </c>
      <c r="C77" s="55" t="inlineStr">
        <is>
          <t>KZT</t>
        </is>
      </c>
      <c r="D77" s="55" t="inlineStr">
        <is>
          <t>2401</t>
        </is>
      </c>
      <c r="E77" s="55" t="inlineStr">
        <is>
          <t>Акционерное Общество "Банк ЦентрКредит"</t>
        </is>
      </c>
      <c r="F77" s="55" t="inlineStr">
        <is>
          <t>980640000093</t>
        </is>
      </c>
      <c r="G77" s="55" t="inlineStr">
        <is>
          <t>213</t>
        </is>
      </c>
      <c r="H77" s="56" t="inlineStr">
        <is>
          <t>Покупка иностранной валюты TOD (день в день), ТОО "WayStar Group", БИН 240340014287. Заявка №619618. Дата вал. 07.07.2026. Покупка RUB, продажа KZT. Курс сделки 6.2573. Учетный курс 6.11. Получение услуг</t>
        </is>
      </c>
      <c r="I77" s="57" t="n">
        <v>55818019.39</v>
      </c>
      <c r="J77" s="57" t="n"/>
      <c r="K77" s="58" t="n">
        <v>1</v>
      </c>
      <c r="L77" s="57" t="n">
        <v>55818019.39</v>
      </c>
      <c r="M77" s="57" t="n"/>
      <c r="N77" s="60" t="inlineStr">
        <is>
          <t>Конвертация валют</t>
        </is>
      </c>
      <c r="O77" s="55" t="inlineStr">
        <is>
          <t>Технические</t>
        </is>
      </c>
      <c r="P77" s="55" t="inlineStr">
        <is>
          <t>Покупка/продажа валюты</t>
        </is>
      </c>
      <c r="Q77" s="55" t="inlineStr"/>
    </row>
    <row r="78">
      <c r="A78" s="55" t="inlineStr">
        <is>
          <t>07.07.2026</t>
        </is>
      </c>
      <c r="B78" s="55" t="inlineStr">
        <is>
          <t>ЦентрКредит</t>
        </is>
      </c>
      <c r="C78" s="55" t="inlineStr">
        <is>
          <t>KZT</t>
        </is>
      </c>
      <c r="D78" s="55" t="inlineStr">
        <is>
          <t>2401</t>
        </is>
      </c>
      <c r="E78" s="55" t="inlineStr">
        <is>
          <t>Товарищество с ограниченной ответственностью "WayStar Group"</t>
        </is>
      </c>
      <c r="F78" s="55" t="inlineStr">
        <is>
          <t>240340014287</t>
        </is>
      </c>
      <c r="G78" s="55" t="inlineStr">
        <is>
          <t>312</t>
        </is>
      </c>
      <c r="H78" s="56" t="inlineStr">
        <is>
          <t>Размещение вклада</t>
        </is>
      </c>
      <c r="I78" s="57" t="n">
        <v>369608236.22</v>
      </c>
      <c r="J78" s="57" t="n"/>
      <c r="K78" s="58" t="n">
        <v>1</v>
      </c>
      <c r="L78" s="57" t="n">
        <v>369608236.22</v>
      </c>
      <c r="M78" s="57" t="n"/>
      <c r="N78" s="59" t="inlineStr">
        <is>
          <t>Внутренний перевод</t>
        </is>
      </c>
      <c r="O78" s="55" t="inlineStr">
        <is>
          <t>Технические</t>
        </is>
      </c>
      <c r="P78" s="55" t="inlineStr">
        <is>
          <t>Перевод между своими счетами</t>
        </is>
      </c>
      <c r="Q78" s="55" t="inlineStr"/>
    </row>
    <row r="79">
      <c r="A79" s="55" t="inlineStr">
        <is>
          <t>07.07.2026</t>
        </is>
      </c>
      <c r="B79" s="55" t="inlineStr">
        <is>
          <t>ЦентрКредит</t>
        </is>
      </c>
      <c r="C79" s="55" t="inlineStr">
        <is>
          <t>KZT</t>
        </is>
      </c>
      <c r="D79" s="55" t="inlineStr">
        <is>
          <t>2401</t>
        </is>
      </c>
      <c r="E79" s="55" t="inlineStr">
        <is>
          <t>Акционерное общество "Фонд развития предпринимательства "Даму"</t>
        </is>
      </c>
      <c r="F79" s="55" t="inlineStr">
        <is>
          <t>970840000277</t>
        </is>
      </c>
      <c r="G79" s="55" t="inlineStr">
        <is>
          <t>490</t>
        </is>
      </c>
      <c r="H79" s="56" t="inlineStr">
        <is>
          <t>Возврат клиенту ранее погашенной задолженности по субсидированному начисленному вознаграждению Заемщик  Товарищество с ограниченной ответственностью "WayStar Group" БИН/ИИН 240340014287     ДБЗ №AQ5/2024/U/S/120240/0001L от 06.01.25</t>
        </is>
      </c>
      <c r="I79" s="57" t="n"/>
      <c r="J79" s="57" t="n">
        <v>113114.11</v>
      </c>
      <c r="K79" s="58" t="n">
        <v>1</v>
      </c>
      <c r="L79" s="57" t="n"/>
      <c r="M79" s="57" t="n">
        <v>113114.11</v>
      </c>
      <c r="N79" s="55" t="inlineStr">
        <is>
          <t>Внешняя операция</t>
        </is>
      </c>
      <c r="O79" s="55" t="inlineStr">
        <is>
          <t>Прочее</t>
        </is>
      </c>
      <c r="P79" s="55" t="inlineStr">
        <is>
          <t>Возврат средств</t>
        </is>
      </c>
      <c r="Q79" s="55" t="inlineStr">
        <is>
          <t>Акционерное общество "Фонд развития предприн</t>
        </is>
      </c>
    </row>
    <row r="80">
      <c r="A80" s="55" t="inlineStr">
        <is>
          <t>07.07.2026</t>
        </is>
      </c>
      <c r="B80" s="55" t="inlineStr">
        <is>
          <t>ЦентрКредит</t>
        </is>
      </c>
      <c r="C80" s="55" t="inlineStr">
        <is>
          <t>KZT</t>
        </is>
      </c>
      <c r="D80" s="55" t="inlineStr">
        <is>
          <t>2401</t>
        </is>
      </c>
      <c r="E80" s="55" t="inlineStr">
        <is>
          <t>Товарищество с ограниченной ответственностью "WayStar Group"</t>
        </is>
      </c>
      <c r="F80" s="55" t="inlineStr">
        <is>
          <t>240340014287</t>
        </is>
      </c>
      <c r="G80" s="55" t="inlineStr">
        <is>
          <t>316</t>
        </is>
      </c>
      <c r="H80" s="56" t="inlineStr">
        <is>
          <t>Выплата начисленного вознаграждения по депозитному договору № 01607034 от 24.07.2025 за период с 06.07.26 по 06.07.26. Вкладчик Товарищество с ограниченной ответственностью "WayStar Group".</t>
        </is>
      </c>
      <c r="I80" s="57" t="n"/>
      <c r="J80" s="57" t="n">
        <v>114076.36</v>
      </c>
      <c r="K80" s="58" t="n">
        <v>1</v>
      </c>
      <c r="L80" s="57" t="n"/>
      <c r="M80" s="57" t="n">
        <v>114076.36</v>
      </c>
      <c r="N80" s="59" t="inlineStr">
        <is>
          <t>Внутренний перевод</t>
        </is>
      </c>
      <c r="O80" s="55" t="inlineStr">
        <is>
          <t>Технические</t>
        </is>
      </c>
      <c r="P80" s="55" t="inlineStr">
        <is>
          <t>Перевод между своими счетами</t>
        </is>
      </c>
      <c r="Q80" s="55" t="inlineStr"/>
    </row>
    <row r="81">
      <c r="A81" s="55" t="inlineStr">
        <is>
          <t>07.07.2026</t>
        </is>
      </c>
      <c r="B81" s="55" t="inlineStr">
        <is>
          <t>ЦентрКредит</t>
        </is>
      </c>
      <c r="C81" s="55" t="inlineStr">
        <is>
          <t>KZT</t>
        </is>
      </c>
      <c r="D81" s="55" t="inlineStr">
        <is>
          <t>2401</t>
        </is>
      </c>
      <c r="E81" s="55" t="inlineStr">
        <is>
          <t>ТОО "WayStar Group"</t>
        </is>
      </c>
      <c r="F81" s="55" t="inlineStr">
        <is>
          <t>240340014287</t>
        </is>
      </c>
      <c r="G81" s="55" t="inlineStr">
        <is>
          <t>322</t>
        </is>
      </c>
      <c r="H81" s="56" t="inlineStr">
        <is>
          <t>Без НДС. Снятие с краткосрочного вклада (не более одного года)</t>
        </is>
      </c>
      <c r="I81" s="57" t="n"/>
      <c r="J81" s="57" t="n">
        <v>310000</v>
      </c>
      <c r="K81" s="58" t="n">
        <v>1</v>
      </c>
      <c r="L81" s="57" t="n"/>
      <c r="M81" s="57" t="n">
        <v>310000</v>
      </c>
      <c r="N81" s="59" t="inlineStr">
        <is>
          <t>Внутренний перевод</t>
        </is>
      </c>
      <c r="O81" s="55" t="inlineStr">
        <is>
          <t>Технические</t>
        </is>
      </c>
      <c r="P81" s="55" t="inlineStr">
        <is>
          <t>Перевод между своими счетами</t>
        </is>
      </c>
      <c r="Q81" s="55" t="inlineStr"/>
    </row>
    <row r="82">
      <c r="A82" s="55" t="inlineStr">
        <is>
          <t>07.07.2026</t>
        </is>
      </c>
      <c r="B82" s="55" t="inlineStr">
        <is>
          <t>ЦентрКредит</t>
        </is>
      </c>
      <c r="C82" s="55" t="inlineStr">
        <is>
          <t>KZT</t>
        </is>
      </c>
      <c r="D82" s="55" t="inlineStr">
        <is>
          <t>2401</t>
        </is>
      </c>
      <c r="E82" s="55" t="inlineStr">
        <is>
          <t>ТОО WayStar Group</t>
        </is>
      </c>
      <c r="F82" s="55" t="inlineStr">
        <is>
          <t>240340014287</t>
        </is>
      </c>
      <c r="G82" s="55" t="inlineStr">
        <is>
          <t>343</t>
        </is>
      </c>
      <c r="H82" s="56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82" s="57" t="n"/>
      <c r="J82" s="57" t="n">
        <v>3736375</v>
      </c>
      <c r="K82" s="58" t="n">
        <v>1</v>
      </c>
      <c r="L82" s="57" t="n"/>
      <c r="M82" s="57" t="n">
        <v>3736375</v>
      </c>
      <c r="N82" s="59" t="inlineStr">
        <is>
          <t>Внутренний перевод</t>
        </is>
      </c>
      <c r="O82" s="55" t="inlineStr">
        <is>
          <t>Технические</t>
        </is>
      </c>
      <c r="P82" s="55" t="inlineStr">
        <is>
          <t>Перевод между своими счетами</t>
        </is>
      </c>
      <c r="Q82" s="55" t="inlineStr"/>
    </row>
    <row r="83">
      <c r="A83" s="55" t="inlineStr">
        <is>
          <t>07.07.2026</t>
        </is>
      </c>
      <c r="B83" s="55" t="inlineStr">
        <is>
          <t>ЦентрКредит</t>
        </is>
      </c>
      <c r="C83" s="55" t="inlineStr">
        <is>
          <t>KZT</t>
        </is>
      </c>
      <c r="D83" s="55" t="inlineStr">
        <is>
          <t>2401</t>
        </is>
      </c>
      <c r="E83" s="55" t="inlineStr">
        <is>
          <t>ТОО  "WayStar Group"</t>
        </is>
      </c>
      <c r="F83" s="55" t="inlineStr">
        <is>
          <t>240340014287</t>
        </is>
      </c>
      <c r="G83" s="55" t="inlineStr">
        <is>
          <t>343</t>
        </is>
      </c>
      <c r="H83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83" s="57" t="n"/>
      <c r="J83" s="57" t="n">
        <v>160100000</v>
      </c>
      <c r="K83" s="58" t="n">
        <v>1</v>
      </c>
      <c r="L83" s="57" t="n"/>
      <c r="M83" s="57" t="n">
        <v>160100000</v>
      </c>
      <c r="N83" s="59" t="inlineStr">
        <is>
          <t>Внутренний перевод</t>
        </is>
      </c>
      <c r="O83" s="55" t="inlineStr">
        <is>
          <t>Технические</t>
        </is>
      </c>
      <c r="P83" s="55" t="inlineStr">
        <is>
          <t>Перевод между своими счетами</t>
        </is>
      </c>
      <c r="Q83" s="55" t="inlineStr"/>
    </row>
    <row r="84">
      <c r="A84" s="55" t="inlineStr">
        <is>
          <t>07.07.2026</t>
        </is>
      </c>
      <c r="B84" s="55" t="inlineStr">
        <is>
          <t>ЦентрКредит</t>
        </is>
      </c>
      <c r="C84" s="55" t="inlineStr">
        <is>
          <t>KZT</t>
        </is>
      </c>
      <c r="D84" s="55" t="inlineStr">
        <is>
          <t>2401</t>
        </is>
      </c>
      <c r="E84" s="55" t="inlineStr">
        <is>
          <t>Товарищество с ограниченной ответственностью "WayStar Group"</t>
        </is>
      </c>
      <c r="F84" s="55" t="inlineStr">
        <is>
          <t>240340014287</t>
        </is>
      </c>
      <c r="G84" s="55" t="inlineStr">
        <is>
          <t>322</t>
        </is>
      </c>
      <c r="H84" s="56" t="inlineStr">
        <is>
          <t>Частичная выплата вклада по депозитному договору № 01607034 от 07.07.2026 в размере 337832632.84 согласно ДП. Вкладчик: Товарищество с ограниченной ответственностью "WayStar Group".</t>
        </is>
      </c>
      <c r="I84" s="57" t="n"/>
      <c r="J84" s="57" t="n">
        <v>337832632.84</v>
      </c>
      <c r="K84" s="58" t="n">
        <v>1</v>
      </c>
      <c r="L84" s="57" t="n"/>
      <c r="M84" s="57" t="n">
        <v>337832632.84</v>
      </c>
      <c r="N84" s="59" t="inlineStr">
        <is>
          <t>Внутренний перевод</t>
        </is>
      </c>
      <c r="O84" s="55" t="inlineStr">
        <is>
          <t>Технические</t>
        </is>
      </c>
      <c r="P84" s="55" t="inlineStr">
        <is>
          <t>Перевод между своими счетами</t>
        </is>
      </c>
      <c r="Q84" s="55" t="inlineStr"/>
    </row>
    <row r="85">
      <c r="A85" s="55" t="inlineStr">
        <is>
          <t>08.07.2026</t>
        </is>
      </c>
      <c r="B85" s="55" t="inlineStr">
        <is>
          <t>ЦентрКредит</t>
        </is>
      </c>
      <c r="C85" s="55" t="inlineStr">
        <is>
          <t>KZT</t>
        </is>
      </c>
      <c r="D85" s="55" t="inlineStr">
        <is>
          <t>2401</t>
        </is>
      </c>
      <c r="E85" s="55" t="inlineStr">
        <is>
          <t>Товарищество с ограниченной ответственностью "Office-Expert.kz"</t>
        </is>
      </c>
      <c r="F85" s="55" t="inlineStr">
        <is>
          <t>110840005091</t>
        </is>
      </c>
      <c r="G85" s="55" t="inlineStr">
        <is>
          <t>710</t>
        </is>
      </c>
      <c r="H85" s="56" t="inlineStr">
        <is>
          <t>Счет на оплату № 897396 от 03 июля 2026 г. КанцтоварыСумма 21 655-00 тенге в т.ч. НДС(16%) 2 986-90 тенге</t>
        </is>
      </c>
      <c r="I85" s="57" t="n">
        <v>21655</v>
      </c>
      <c r="J85" s="57" t="n"/>
      <c r="K85" s="58" t="n">
        <v>1</v>
      </c>
      <c r="L85" s="57" t="n">
        <v>21655</v>
      </c>
      <c r="M85" s="57" t="n"/>
      <c r="N85" s="55" t="inlineStr">
        <is>
          <t>Внешняя операция</t>
        </is>
      </c>
      <c r="O85" s="55" t="inlineStr">
        <is>
          <t>Админ/офис</t>
        </is>
      </c>
      <c r="P85" s="55" t="inlineStr">
        <is>
          <t>Хоз. расходы и материалы</t>
        </is>
      </c>
      <c r="Q85" s="55" t="inlineStr">
        <is>
          <t>ТОО "Office-Expert.kz"</t>
        </is>
      </c>
    </row>
    <row r="86">
      <c r="A86" s="55" t="inlineStr">
        <is>
          <t>08.07.2026</t>
        </is>
      </c>
      <c r="B86" s="55" t="inlineStr">
        <is>
          <t>ЦентрКредит</t>
        </is>
      </c>
      <c r="C86" s="55" t="inlineStr">
        <is>
          <t>KZT</t>
        </is>
      </c>
      <c r="D86" s="55" t="inlineStr">
        <is>
          <t>2401</t>
        </is>
      </c>
      <c r="E86" s="55" t="inlineStr">
        <is>
          <t>ТОО КТЖ-Грузовые перевозки</t>
        </is>
      </c>
      <c r="F86" s="55" t="inlineStr">
        <is>
          <t>031040001799</t>
        </is>
      </c>
      <c r="G86" s="55" t="inlineStr">
        <is>
          <t>813</t>
        </is>
      </c>
      <c r="H86" s="56" t="inlineStr">
        <is>
          <t>Без НДС, 4185494, Платежи за услуги железнодорожного транспорта</t>
        </is>
      </c>
      <c r="I86" s="57" t="n">
        <v>15000000</v>
      </c>
      <c r="J86" s="57" t="n"/>
      <c r="K86" s="58" t="n">
        <v>1</v>
      </c>
      <c r="L86" s="57" t="n">
        <v>15000000</v>
      </c>
      <c r="M86" s="57" t="n"/>
      <c r="N86" s="55" t="inlineStr">
        <is>
          <t>Внешняя операция</t>
        </is>
      </c>
      <c r="O86" s="55" t="inlineStr">
        <is>
          <t>Себестоимость</t>
        </is>
      </c>
      <c r="P86" s="55" t="inlineStr">
        <is>
          <t>Тариф КТЖ (ж/д перевозки)</t>
        </is>
      </c>
      <c r="Q86" s="55" t="inlineStr">
        <is>
          <t>ТОО «КТЖ-Грузовые перевозки»</t>
        </is>
      </c>
    </row>
    <row r="87">
      <c r="A87" s="55" t="inlineStr">
        <is>
          <t>08.07.2026</t>
        </is>
      </c>
      <c r="B87" s="55" t="inlineStr">
        <is>
          <t>ЦентрКредит</t>
        </is>
      </c>
      <c r="C87" s="55" t="inlineStr">
        <is>
          <t>KZT</t>
        </is>
      </c>
      <c r="D87" s="55" t="inlineStr">
        <is>
          <t>2401</t>
        </is>
      </c>
      <c r="E87" s="55" t="inlineStr">
        <is>
          <t>Товарищество с ограниченной ответственностью "WayStar Group"</t>
        </is>
      </c>
      <c r="F87" s="55" t="inlineStr">
        <is>
          <t>240340014287</t>
        </is>
      </c>
      <c r="G87" s="55" t="inlineStr">
        <is>
          <t>312</t>
        </is>
      </c>
      <c r="H87" s="56" t="inlineStr">
        <is>
          <t>Размещение вклада</t>
        </is>
      </c>
      <c r="I87" s="57" t="n">
        <v>369080835.75</v>
      </c>
      <c r="J87" s="57" t="n"/>
      <c r="K87" s="58" t="n">
        <v>1</v>
      </c>
      <c r="L87" s="57" t="n">
        <v>369080835.75</v>
      </c>
      <c r="M87" s="57" t="n"/>
      <c r="N87" s="59" t="inlineStr">
        <is>
          <t>Внутренний перевод</t>
        </is>
      </c>
      <c r="O87" s="55" t="inlineStr">
        <is>
          <t>Технические</t>
        </is>
      </c>
      <c r="P87" s="55" t="inlineStr">
        <is>
          <t>Перевод между своими счетами</t>
        </is>
      </c>
      <c r="Q87" s="55" t="inlineStr"/>
    </row>
    <row r="88">
      <c r="A88" s="55" t="inlineStr">
        <is>
          <t>08.07.2026</t>
        </is>
      </c>
      <c r="B88" s="55" t="inlineStr">
        <is>
          <t>ЦентрКредит</t>
        </is>
      </c>
      <c r="C88" s="55" t="inlineStr">
        <is>
          <t>KZT</t>
        </is>
      </c>
      <c r="D88" s="55" t="inlineStr">
        <is>
          <t>2401</t>
        </is>
      </c>
      <c r="E88" s="55" t="inlineStr">
        <is>
          <t>Товарищество с ограниченной ответственностью "WayStar Group"</t>
        </is>
      </c>
      <c r="F88" s="55" t="inlineStr">
        <is>
          <t>240340014287</t>
        </is>
      </c>
      <c r="G88" s="55" t="inlineStr">
        <is>
          <t>316</t>
        </is>
      </c>
      <c r="H88" s="56" t="inlineStr">
        <is>
          <t>Выплата начисленного вознаграждения по депозитному договору № 01607034 от 24.07.2025 за период с 07.07.26 по 07.07.26. Вкладчик Товарищество с ограниченной ответственностью "WayStar Group".</t>
        </is>
      </c>
      <c r="I88" s="57" t="n"/>
      <c r="J88" s="57" t="n">
        <v>124701.39</v>
      </c>
      <c r="K88" s="58" t="n">
        <v>1</v>
      </c>
      <c r="L88" s="57" t="n"/>
      <c r="M88" s="57" t="n">
        <v>124701.39</v>
      </c>
      <c r="N88" s="59" t="inlineStr">
        <is>
          <t>Внутренний перевод</t>
        </is>
      </c>
      <c r="O88" s="55" t="inlineStr">
        <is>
          <t>Технические</t>
        </is>
      </c>
      <c r="P88" s="55" t="inlineStr">
        <is>
          <t>Перевод между своими счетами</t>
        </is>
      </c>
      <c r="Q88" s="55" t="inlineStr"/>
    </row>
    <row r="89">
      <c r="A89" s="55" t="inlineStr">
        <is>
          <t>08.07.2026</t>
        </is>
      </c>
      <c r="B89" s="55" t="inlineStr">
        <is>
          <t>ЦентрКредит</t>
        </is>
      </c>
      <c r="C89" s="55" t="inlineStr">
        <is>
          <t>KZT</t>
        </is>
      </c>
      <c r="D89" s="55" t="inlineStr">
        <is>
          <t>2401</t>
        </is>
      </c>
      <c r="E89" s="55" t="inlineStr">
        <is>
          <t>ТОО EASY BOX</t>
        </is>
      </c>
      <c r="F89" s="55" t="inlineStr">
        <is>
          <t>220640049871</t>
        </is>
      </c>
      <c r="G89" s="55" t="inlineStr">
        <is>
          <t>813</t>
        </is>
      </c>
      <c r="H89" s="56" t="inlineStr">
        <is>
          <t>Оплата согласно эсф № 00000000131 от 19.05.2026г., за услуги оперирования Платежи за услуги железнодорожного транспорта,</t>
        </is>
      </c>
      <c r="I89" s="57" t="n"/>
      <c r="J89" s="57" t="n">
        <v>921375</v>
      </c>
      <c r="K89" s="58" t="n">
        <v>1</v>
      </c>
      <c r="L89" s="57" t="n"/>
      <c r="M89" s="57" t="n">
        <v>921375</v>
      </c>
      <c r="N89" s="55" t="inlineStr">
        <is>
          <t>Внешняя операция</t>
        </is>
      </c>
      <c r="O89" s="55" t="inlineStr">
        <is>
          <t>Выручка</t>
        </is>
      </c>
      <c r="P89" s="55" t="inlineStr">
        <is>
          <t>Операционная выручка (ТЭО, вагоны)</t>
        </is>
      </c>
      <c r="Q89" s="55" t="inlineStr">
        <is>
          <t>ТОО EASY BOX</t>
        </is>
      </c>
    </row>
    <row r="90">
      <c r="A90" s="55" t="inlineStr">
        <is>
          <t>08.07.2026</t>
        </is>
      </c>
      <c r="B90" s="55" t="inlineStr">
        <is>
          <t>ЦентрКредит</t>
        </is>
      </c>
      <c r="C90" s="55" t="inlineStr">
        <is>
          <t>KZT</t>
        </is>
      </c>
      <c r="D90" s="55" t="inlineStr">
        <is>
          <t>2401</t>
        </is>
      </c>
      <c r="E90" s="55" t="inlineStr">
        <is>
          <t>ТОО WayStar Group</t>
        </is>
      </c>
      <c r="F90" s="55" t="inlineStr">
        <is>
          <t>240340014287</t>
        </is>
      </c>
      <c r="G90" s="55" t="inlineStr">
        <is>
          <t>343</t>
        </is>
      </c>
      <c r="H90" s="56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0" s="57" t="n"/>
      <c r="J90" s="57" t="n">
        <v>6177500</v>
      </c>
      <c r="K90" s="58" t="n">
        <v>1</v>
      </c>
      <c r="L90" s="57" t="n"/>
      <c r="M90" s="57" t="n">
        <v>6177500</v>
      </c>
      <c r="N90" s="59" t="inlineStr">
        <is>
          <t>Внутренний перевод</t>
        </is>
      </c>
      <c r="O90" s="55" t="inlineStr">
        <is>
          <t>Технические</t>
        </is>
      </c>
      <c r="P90" s="55" t="inlineStr">
        <is>
          <t>Перевод между своими счетами</t>
        </is>
      </c>
      <c r="Q90" s="55" t="inlineStr"/>
    </row>
    <row r="91">
      <c r="A91" s="55" t="inlineStr">
        <is>
          <t>08.07.2026</t>
        </is>
      </c>
      <c r="B91" s="55" t="inlineStr">
        <is>
          <t>ЦентрКредит</t>
        </is>
      </c>
      <c r="C91" s="55" t="inlineStr">
        <is>
          <t>KZT</t>
        </is>
      </c>
      <c r="D91" s="55" t="inlineStr">
        <is>
          <t>2401</t>
        </is>
      </c>
      <c r="E91" s="55" t="inlineStr">
        <is>
          <t>ТОО  "WayStar Group"</t>
        </is>
      </c>
      <c r="F91" s="55" t="inlineStr">
        <is>
          <t>240340014287</t>
        </is>
      </c>
      <c r="G91" s="55" t="inlineStr">
        <is>
          <t>343</t>
        </is>
      </c>
      <c r="H91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91" s="57" t="n"/>
      <c r="J91" s="57" t="n">
        <v>7450000</v>
      </c>
      <c r="K91" s="58" t="n">
        <v>1</v>
      </c>
      <c r="L91" s="57" t="n"/>
      <c r="M91" s="57" t="n">
        <v>7450000</v>
      </c>
      <c r="N91" s="59" t="inlineStr">
        <is>
          <t>Внутренний перевод</t>
        </is>
      </c>
      <c r="O91" s="55" t="inlineStr">
        <is>
          <t>Технические</t>
        </is>
      </c>
      <c r="P91" s="55" t="inlineStr">
        <is>
          <t>Перевод между своими счетами</t>
        </is>
      </c>
      <c r="Q91" s="55" t="inlineStr"/>
    </row>
    <row r="92">
      <c r="A92" s="55" t="inlineStr">
        <is>
          <t>08.07.2026</t>
        </is>
      </c>
      <c r="B92" s="55" t="inlineStr">
        <is>
          <t>ЦентрКредит</t>
        </is>
      </c>
      <c r="C92" s="55" t="inlineStr">
        <is>
          <t>KZT</t>
        </is>
      </c>
      <c r="D92" s="55" t="inlineStr">
        <is>
          <t>2401</t>
        </is>
      </c>
      <c r="E92" s="55" t="inlineStr">
        <is>
          <t>Товарищество с ограниченной ответственностью "WayStar Group"</t>
        </is>
      </c>
      <c r="F92" s="55" t="inlineStr">
        <is>
          <t>240340014287</t>
        </is>
      </c>
      <c r="G92" s="55" t="inlineStr">
        <is>
          <t>322</t>
        </is>
      </c>
      <c r="H92" s="56" t="inlineStr">
        <is>
          <t>Частичная выплата вклада по депозитному договору № 01607034 от 08.07.2026 в размере 369298236.22 согласно ДП. Вкладчик: Товарищество с ограниченной ответственностью "WayStar Group".</t>
        </is>
      </c>
      <c r="I92" s="57" t="n"/>
      <c r="J92" s="57" t="n">
        <v>369298236.22</v>
      </c>
      <c r="K92" s="58" t="n">
        <v>1</v>
      </c>
      <c r="L92" s="57" t="n"/>
      <c r="M92" s="57" t="n">
        <v>369298236.22</v>
      </c>
      <c r="N92" s="59" t="inlineStr">
        <is>
          <t>Внутренний перевод</t>
        </is>
      </c>
      <c r="O92" s="55" t="inlineStr">
        <is>
          <t>Технические</t>
        </is>
      </c>
      <c r="P92" s="55" t="inlineStr">
        <is>
          <t>Перевод между своими счетами</t>
        </is>
      </c>
      <c r="Q92" s="55" t="inlineStr"/>
    </row>
    <row r="93">
      <c r="A93" s="55" t="inlineStr">
        <is>
          <t>09.07.2026</t>
        </is>
      </c>
      <c r="B93" s="55" t="inlineStr">
        <is>
          <t>ЦентрКредит</t>
        </is>
      </c>
      <c r="C93" s="55" t="inlineStr">
        <is>
          <t>KZT</t>
        </is>
      </c>
      <c r="D93" s="55" t="inlineStr">
        <is>
          <t>2401</t>
        </is>
      </c>
      <c r="E93" s="55" t="inlineStr">
        <is>
          <t>Акционерное Общество "Банк ЦентрКредит"</t>
        </is>
      </c>
      <c r="F93" s="55" t="inlineStr">
        <is>
          <t>980741000260</t>
        </is>
      </c>
      <c r="G93" s="55" t="inlineStr">
        <is>
          <t>841</t>
        </is>
      </c>
      <c r="H93" s="56" t="inlineStr">
        <is>
          <t>Интернет-банкинг. MIP. Международные платежи. Перевод OUR, кроме валют стран СНГ с 9:00  до 13:00. Расчетный документ № 1 от 09.07.26 на сумму 180 000.00 USD, в т.ч. НДС 16%</t>
        </is>
      </c>
      <c r="I93" s="57" t="n">
        <v>100000</v>
      </c>
      <c r="J93" s="57" t="n"/>
      <c r="K93" s="58" t="n">
        <v>1</v>
      </c>
      <c r="L93" s="57" t="n">
        <v>100000</v>
      </c>
      <c r="M93" s="57" t="n"/>
      <c r="N93" s="55" t="inlineStr">
        <is>
          <t>Внешняя операция</t>
        </is>
      </c>
      <c r="O93" s="55" t="inlineStr">
        <is>
          <t>Финансовые</t>
        </is>
      </c>
      <c r="P93" s="55" t="inlineStr">
        <is>
          <t>Банковские комиссии</t>
        </is>
      </c>
      <c r="Q93" s="55" t="inlineStr">
        <is>
          <t>Акционерное Общество "Банк ЦентрКредит"</t>
        </is>
      </c>
    </row>
    <row r="94">
      <c r="A94" s="55" t="inlineStr">
        <is>
          <t>09.07.2026</t>
        </is>
      </c>
      <c r="B94" s="55" t="inlineStr">
        <is>
          <t>ЦентрКредит</t>
        </is>
      </c>
      <c r="C94" s="55" t="inlineStr">
        <is>
          <t>KZT</t>
        </is>
      </c>
      <c r="D94" s="55" t="inlineStr">
        <is>
          <t>2401</t>
        </is>
      </c>
      <c r="E94" s="55" t="inlineStr">
        <is>
          <t>Алим</t>
        </is>
      </c>
      <c r="F94" s="55" t="inlineStr">
        <is>
          <t>020420550046</t>
        </is>
      </c>
      <c r="G94" s="55" t="inlineStr">
        <is>
          <t>871</t>
        </is>
      </c>
      <c r="H94" s="56" t="inlineStr">
        <is>
          <t>Данияр Алим подотчет. Без НДС. Платежи по поездкам</t>
        </is>
      </c>
      <c r="I94" s="57" t="n">
        <v>111979</v>
      </c>
      <c r="J94" s="57" t="n"/>
      <c r="K94" s="58" t="n">
        <v>1</v>
      </c>
      <c r="L94" s="57" t="n">
        <v>111979</v>
      </c>
      <c r="M94" s="57" t="n"/>
      <c r="N94" s="55" t="inlineStr">
        <is>
          <t>Внешняя операция</t>
        </is>
      </c>
      <c r="O94" s="55" t="inlineStr">
        <is>
          <t>ФОТ</t>
        </is>
      </c>
      <c r="P94" s="55" t="inlineStr">
        <is>
          <t>Командировки и подотчёт</t>
        </is>
      </c>
      <c r="Q94" s="55" t="inlineStr">
        <is>
          <t>Алим</t>
        </is>
      </c>
    </row>
    <row r="95">
      <c r="A95" s="55" t="inlineStr">
        <is>
          <t>09.07.2026</t>
        </is>
      </c>
      <c r="B95" s="55" t="inlineStr">
        <is>
          <t>ЦентрКредит</t>
        </is>
      </c>
      <c r="C95" s="55" t="inlineStr">
        <is>
          <t>KZT</t>
        </is>
      </c>
      <c r="D95" s="55" t="inlineStr">
        <is>
          <t>2401</t>
        </is>
      </c>
      <c r="E95" s="55" t="inlineStr">
        <is>
          <t>Индивидуальный предприниматель "JOINMEDIA"</t>
        </is>
      </c>
      <c r="F95" s="55" t="inlineStr">
        <is>
          <t>970710351144</t>
        </is>
      </c>
      <c r="G95" s="55" t="inlineStr">
        <is>
          <t>859</t>
        </is>
      </c>
      <c r="H95" s="56" t="inlineStr">
        <is>
          <t>Счет на оплату №6 от 09.07.2026 г. Договор № 14/12-25 от 29.12.2025 г.Сумма 1 150 000-00 теңге без НДС</t>
        </is>
      </c>
      <c r="I95" s="57" t="n">
        <v>1150000</v>
      </c>
      <c r="J95" s="57" t="n"/>
      <c r="K95" s="58" t="n">
        <v>1</v>
      </c>
      <c r="L95" s="57" t="n">
        <v>1150000</v>
      </c>
      <c r="M95" s="57" t="n"/>
      <c r="N95" s="55" t="inlineStr">
        <is>
          <t>Внешняя операция</t>
        </is>
      </c>
      <c r="O95" s="55" t="inlineStr">
        <is>
          <t>Админ/офис</t>
        </is>
      </c>
      <c r="P95" s="55" t="inlineStr">
        <is>
          <t>Проф. услуги (бухг./юр./конс.)</t>
        </is>
      </c>
      <c r="Q95" s="55" t="inlineStr">
        <is>
          <t>Индивидуальный предприниматель "JOINMEDIA"</t>
        </is>
      </c>
    </row>
    <row r="96">
      <c r="A96" s="55" t="inlineStr">
        <is>
          <t>09.07.2026</t>
        </is>
      </c>
      <c r="B96" s="55" t="inlineStr">
        <is>
          <t>ЦентрКредит</t>
        </is>
      </c>
      <c r="C96" s="55" t="inlineStr">
        <is>
          <t>KZT</t>
        </is>
      </c>
      <c r="D96" s="55" t="inlineStr">
        <is>
          <t>2401</t>
        </is>
      </c>
      <c r="E96" s="55" t="inlineStr">
        <is>
          <t>ТОО КТЖ-Грузовые перевозки</t>
        </is>
      </c>
      <c r="F96" s="55" t="inlineStr">
        <is>
          <t>031040001799</t>
        </is>
      </c>
      <c r="G96" s="55" t="inlineStr">
        <is>
          <t>813</t>
        </is>
      </c>
      <c r="H96" s="56" t="inlineStr">
        <is>
          <t>Без НДС, 4792940, Платежи за услуги железнодорожного транспорта, 150240031511</t>
        </is>
      </c>
      <c r="I96" s="57" t="n">
        <v>1900000</v>
      </c>
      <c r="J96" s="57" t="n"/>
      <c r="K96" s="58" t="n">
        <v>1</v>
      </c>
      <c r="L96" s="57" t="n">
        <v>1900000</v>
      </c>
      <c r="M96" s="57" t="n"/>
      <c r="N96" s="55" t="inlineStr">
        <is>
          <t>Внешняя операция</t>
        </is>
      </c>
      <c r="O96" s="55" t="inlineStr">
        <is>
          <t>Себестоимость</t>
        </is>
      </c>
      <c r="P96" s="55" t="inlineStr">
        <is>
          <t>Тариф КТЖ (ж/д перевозки)</t>
        </is>
      </c>
      <c r="Q96" s="55" t="inlineStr">
        <is>
          <t>ТОО «КТЖ-Грузовые перевозки»</t>
        </is>
      </c>
    </row>
    <row r="97">
      <c r="A97" s="55" t="inlineStr">
        <is>
          <t>09.07.2026</t>
        </is>
      </c>
      <c r="B97" s="55" t="inlineStr">
        <is>
          <t>ЦентрКредит</t>
        </is>
      </c>
      <c r="C97" s="55" t="inlineStr">
        <is>
          <t>KZT</t>
        </is>
      </c>
      <c r="D97" s="55" t="inlineStr">
        <is>
          <t>2401</t>
        </is>
      </c>
      <c r="E97" s="55" t="inlineStr">
        <is>
          <t>Банк ЦентрКредит для ЗП</t>
        </is>
      </c>
      <c r="F97" s="55" t="inlineStr">
        <is>
          <t>980640000093</t>
        </is>
      </c>
      <c r="G97" s="55" t="inlineStr">
        <is>
          <t>332</t>
        </is>
      </c>
      <c r="H97" s="56" t="inlineStr">
        <is>
          <t>Для зачисления на картсчета сотрудникам согласно спискам 2 000 000-00 теңге.</t>
        </is>
      </c>
      <c r="I97" s="57" t="n">
        <v>2000000</v>
      </c>
      <c r="J97" s="57" t="n"/>
      <c r="K97" s="58" t="n">
        <v>1</v>
      </c>
      <c r="L97" s="57" t="n">
        <v>2000000</v>
      </c>
      <c r="M97" s="57" t="n"/>
      <c r="N97" s="55" t="inlineStr">
        <is>
          <t>Внешняя операция</t>
        </is>
      </c>
      <c r="O97" s="55" t="inlineStr">
        <is>
          <t>ФОТ</t>
        </is>
      </c>
      <c r="P97" s="55" t="inlineStr">
        <is>
          <t>Зарплата</t>
        </is>
      </c>
      <c r="Q97" s="55" t="inlineStr">
        <is>
          <t>Банк ЦентрКредит для ЗП</t>
        </is>
      </c>
    </row>
    <row r="98">
      <c r="A98" s="55" t="inlineStr">
        <is>
          <t>09.07.2026</t>
        </is>
      </c>
      <c r="B98" s="55" t="inlineStr">
        <is>
          <t>ЦентрКредит</t>
        </is>
      </c>
      <c r="C98" s="55" t="inlineStr">
        <is>
          <t>KZT</t>
        </is>
      </c>
      <c r="D98" s="55" t="inlineStr">
        <is>
          <t>2401</t>
        </is>
      </c>
      <c r="E98" s="55" t="inlineStr">
        <is>
          <t>Товарищество с ограниченной ответственностью "Рейл Транспортейшн"</t>
        </is>
      </c>
      <c r="F98" s="55" t="inlineStr">
        <is>
          <t>221040045601</t>
        </is>
      </c>
      <c r="G98" s="55" t="inlineStr">
        <is>
          <t>813</t>
        </is>
      </c>
      <c r="H98" s="56" t="inlineStr">
        <is>
          <t>Договор RT/151 от 12.11.2024 г INVOICE N 1353 от 03.07.2026 INVOICE N 1282 от 24/06/2026Сумма 4 366 833-75 теңге без налога</t>
        </is>
      </c>
      <c r="I98" s="57" t="n">
        <v>4366833.75</v>
      </c>
      <c r="J98" s="57" t="n"/>
      <c r="K98" s="58" t="n">
        <v>1</v>
      </c>
      <c r="L98" s="57" t="n">
        <v>4366833.75</v>
      </c>
      <c r="M98" s="57" t="n"/>
      <c r="N98" s="55" t="inlineStr">
        <is>
          <t>Внешняя операция</t>
        </is>
      </c>
      <c r="O98" s="55" t="inlineStr">
        <is>
          <t>Прочее</t>
        </is>
      </c>
      <c r="P98" s="55" t="inlineStr">
        <is>
          <t>Прочие расходы</t>
        </is>
      </c>
      <c r="Q98" s="55" t="inlineStr">
        <is>
          <t>ТОО "Рейл Транспортейшн"</t>
        </is>
      </c>
    </row>
    <row r="99">
      <c r="A99" s="55" t="inlineStr">
        <is>
          <t>09.07.2026</t>
        </is>
      </c>
      <c r="B99" s="55" t="inlineStr">
        <is>
          <t>ЦентрКредит</t>
        </is>
      </c>
      <c r="C99" s="55" t="inlineStr">
        <is>
          <t>KZT</t>
        </is>
      </c>
      <c r="D99" s="55" t="inlineStr">
        <is>
          <t>2401</t>
        </is>
      </c>
      <c r="E99" s="55" t="inlineStr">
        <is>
          <t>Товарищество с ограниченной ответственностью «InterLog Co»</t>
        </is>
      </c>
      <c r="F99" s="55" t="inlineStr">
        <is>
          <t>061040010307</t>
        </is>
      </c>
      <c r="G99" s="55" t="inlineStr">
        <is>
          <t>813</t>
        </is>
      </c>
      <c r="H99" s="56" t="inlineStr">
        <is>
          <t>Договор №017 от 30.12.2025 г. Счет на оплату №30 от 02.07.2026 г. ТЭУ за зерновозы</t>
        </is>
      </c>
      <c r="I99" s="57" t="n">
        <v>26350000</v>
      </c>
      <c r="J99" s="57" t="n"/>
      <c r="K99" s="58" t="n">
        <v>1</v>
      </c>
      <c r="L99" s="57" t="n">
        <v>26350000</v>
      </c>
      <c r="M99" s="57" t="n"/>
      <c r="N99" s="55" t="inlineStr">
        <is>
          <t>Внешняя операция</t>
        </is>
      </c>
      <c r="O99" s="55" t="inlineStr">
        <is>
          <t>Себестоимость</t>
        </is>
      </c>
      <c r="P99" s="55" t="inlineStr">
        <is>
          <t>Аренда/предоставление вагонов</t>
        </is>
      </c>
      <c r="Q99" s="55" t="inlineStr">
        <is>
          <t>ТОО «InterLog Co»</t>
        </is>
      </c>
    </row>
    <row r="100">
      <c r="A100" s="55" t="inlineStr">
        <is>
          <t>09.07.2026</t>
        </is>
      </c>
      <c r="B100" s="55" t="inlineStr">
        <is>
          <t>ЦентрКредит</t>
        </is>
      </c>
      <c r="C100" s="55" t="inlineStr">
        <is>
          <t>KZT</t>
        </is>
      </c>
      <c r="D100" s="55" t="inlineStr">
        <is>
          <t>2401</t>
        </is>
      </c>
      <c r="E100" s="55" t="inlineStr">
        <is>
          <t>Товарищество с ограниченной ответственностью "PRATA"</t>
        </is>
      </c>
      <c r="F100" s="55" t="inlineStr">
        <is>
          <t>120540009510</t>
        </is>
      </c>
      <c r="G100" s="55" t="inlineStr">
        <is>
          <t>813</t>
        </is>
      </c>
      <c r="H100" s="56" t="inlineStr">
        <is>
          <t>Договор №PR-007/2025 от 03.11.2025 г.Счет на оплату № 17 от 02.07.2026 г. ТЭУ</t>
        </is>
      </c>
      <c r="I100" s="57" t="n">
        <v>27590000</v>
      </c>
      <c r="J100" s="57" t="n"/>
      <c r="K100" s="58" t="n">
        <v>1</v>
      </c>
      <c r="L100" s="57" t="n">
        <v>27590000</v>
      </c>
      <c r="M100" s="57" t="n"/>
      <c r="N100" s="55" t="inlineStr">
        <is>
          <t>Внешняя операция</t>
        </is>
      </c>
      <c r="O100" s="55" t="inlineStr">
        <is>
          <t>Себестоимость</t>
        </is>
      </c>
      <c r="P100" s="55" t="inlineStr">
        <is>
          <t>Прочие ж/д и ТЭУ услуги</t>
        </is>
      </c>
      <c r="Q100" s="55" t="inlineStr">
        <is>
          <t>ТОО "PRATA"</t>
        </is>
      </c>
    </row>
    <row r="101">
      <c r="A101" s="55" t="inlineStr">
        <is>
          <t>09.07.2026</t>
        </is>
      </c>
      <c r="B101" s="55" t="inlineStr">
        <is>
          <t>ЦентрКредит</t>
        </is>
      </c>
      <c r="C101" s="55" t="inlineStr">
        <is>
          <t>KZT</t>
        </is>
      </c>
      <c r="D101" s="55" t="inlineStr">
        <is>
          <t>2401</t>
        </is>
      </c>
      <c r="E101" s="55" t="inlineStr">
        <is>
          <t>Товарищество с ограниченной ответственностью "АРНА"</t>
        </is>
      </c>
      <c r="F101" s="55" t="inlineStr">
        <is>
          <t>970640001862</t>
        </is>
      </c>
      <c r="G101" s="55" t="inlineStr">
        <is>
          <t>819</t>
        </is>
      </c>
      <c r="H101" s="56" t="inlineStr">
        <is>
          <t>счет на оплату № 69 от 29.06.2026 г Договор №5 от 05.02.2025г Предоставление вагонов в июле 2026 г.Сумма 33 227 040-00 теңге в т.ч. НДС(16%) 4 583 040-00 теңге</t>
        </is>
      </c>
      <c r="I101" s="57" t="n">
        <v>33227040</v>
      </c>
      <c r="J101" s="57" t="n"/>
      <c r="K101" s="58" t="n">
        <v>1</v>
      </c>
      <c r="L101" s="57" t="n">
        <v>33227040</v>
      </c>
      <c r="M101" s="57" t="n"/>
      <c r="N101" s="55" t="inlineStr">
        <is>
          <t>Внешняя операция</t>
        </is>
      </c>
      <c r="O101" s="55" t="inlineStr">
        <is>
          <t>Себестоимость</t>
        </is>
      </c>
      <c r="P101" s="55" t="inlineStr">
        <is>
          <t>Аренда/предоставление вагонов</t>
        </is>
      </c>
      <c r="Q101" s="55" t="inlineStr">
        <is>
          <t>ТОО "АРНА"</t>
        </is>
      </c>
    </row>
    <row r="102">
      <c r="A102" s="55" t="inlineStr">
        <is>
          <t>09.07.2026</t>
        </is>
      </c>
      <c r="B102" s="55" t="inlineStr">
        <is>
          <t>ЦентрКредит</t>
        </is>
      </c>
      <c r="C102" s="55" t="inlineStr">
        <is>
          <t>KZT</t>
        </is>
      </c>
      <c r="D102" s="55" t="inlineStr">
        <is>
          <t>2401</t>
        </is>
      </c>
      <c r="E102" s="55" t="inlineStr">
        <is>
          <t>ТОО "WayStar Group"</t>
        </is>
      </c>
      <c r="F102" s="55" t="inlineStr">
        <is>
          <t>240340014287</t>
        </is>
      </c>
      <c r="G102" s="55" t="inlineStr">
        <is>
          <t>342</t>
        </is>
      </c>
      <c r="H102" s="56" t="inlineStr">
        <is>
          <t>перевод в КЛС.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02" s="57" t="n">
        <v>49174488.66</v>
      </c>
      <c r="J102" s="57" t="n"/>
      <c r="K102" s="58" t="n">
        <v>1</v>
      </c>
      <c r="L102" s="57" t="n">
        <v>49174488.66</v>
      </c>
      <c r="M102" s="57" t="n"/>
      <c r="N102" s="59" t="inlineStr">
        <is>
          <t>Внутренний перевод</t>
        </is>
      </c>
      <c r="O102" s="55" t="inlineStr">
        <is>
          <t>Технические</t>
        </is>
      </c>
      <c r="P102" s="55" t="inlineStr">
        <is>
          <t>Перевод между своими счетами</t>
        </is>
      </c>
      <c r="Q102" s="55" t="inlineStr"/>
    </row>
    <row r="103">
      <c r="A103" s="55" t="inlineStr">
        <is>
          <t>09.07.2026</t>
        </is>
      </c>
      <c r="B103" s="55" t="inlineStr">
        <is>
          <t>ЦентрКредит</t>
        </is>
      </c>
      <c r="C103" s="55" t="inlineStr">
        <is>
          <t>KZT</t>
        </is>
      </c>
      <c r="D103" s="55" t="inlineStr">
        <is>
          <t>2401</t>
        </is>
      </c>
      <c r="E103" s="55" t="inlineStr">
        <is>
          <t>ТОО КТЖ-Грузовые перевозки</t>
        </is>
      </c>
      <c r="F103" s="55" t="inlineStr">
        <is>
          <t>031040001799</t>
        </is>
      </c>
      <c r="G103" s="55" t="inlineStr">
        <is>
          <t>813</t>
        </is>
      </c>
      <c r="H103" s="56" t="inlineStr">
        <is>
          <t>Без НДС, 4185494, Платежи за услуги железнодорожного транспорта</t>
        </is>
      </c>
      <c r="I103" s="57" t="n">
        <v>50000000</v>
      </c>
      <c r="J103" s="57" t="n"/>
      <c r="K103" s="58" t="n">
        <v>1</v>
      </c>
      <c r="L103" s="57" t="n">
        <v>50000000</v>
      </c>
      <c r="M103" s="57" t="n"/>
      <c r="N103" s="55" t="inlineStr">
        <is>
          <t>Внешняя операция</t>
        </is>
      </c>
      <c r="O103" s="55" t="inlineStr">
        <is>
          <t>Себестоимость</t>
        </is>
      </c>
      <c r="P103" s="55" t="inlineStr">
        <is>
          <t>Тариф КТЖ (ж/д перевозки)</t>
        </is>
      </c>
      <c r="Q103" s="55" t="inlineStr">
        <is>
          <t>ТОО «КТЖ-Грузовые перевозки»</t>
        </is>
      </c>
    </row>
    <row r="104">
      <c r="A104" s="55" t="inlineStr">
        <is>
          <t>09.07.2026</t>
        </is>
      </c>
      <c r="B104" s="55" t="inlineStr">
        <is>
          <t>ЦентрКредит</t>
        </is>
      </c>
      <c r="C104" s="55" t="inlineStr">
        <is>
          <t>KZT</t>
        </is>
      </c>
      <c r="D104" s="55" t="inlineStr">
        <is>
          <t>2401</t>
        </is>
      </c>
      <c r="E104" s="55" t="inlineStr">
        <is>
          <t>Товарищество с ограниченной ответственностью "WayStar Group"</t>
        </is>
      </c>
      <c r="F104" s="55" t="inlineStr">
        <is>
          <t>240340014287</t>
        </is>
      </c>
      <c r="G104" s="55" t="inlineStr">
        <is>
          <t>312</t>
        </is>
      </c>
      <c r="H104" s="56" t="inlineStr">
        <is>
          <t>Размещение вклада</t>
        </is>
      </c>
      <c r="I104" s="57" t="n">
        <v>55300000</v>
      </c>
      <c r="J104" s="57" t="n"/>
      <c r="K104" s="58" t="n">
        <v>1</v>
      </c>
      <c r="L104" s="57" t="n">
        <v>55300000</v>
      </c>
      <c r="M104" s="57" t="n"/>
      <c r="N104" s="59" t="inlineStr">
        <is>
          <t>Внутренний перевод</t>
        </is>
      </c>
      <c r="O104" s="55" t="inlineStr">
        <is>
          <t>Технические</t>
        </is>
      </c>
      <c r="P104" s="55" t="inlineStr">
        <is>
          <t>Перевод между своими счетами</t>
        </is>
      </c>
      <c r="Q104" s="55" t="inlineStr"/>
    </row>
    <row r="105">
      <c r="A105" s="55" t="inlineStr">
        <is>
          <t>09.07.2026</t>
        </is>
      </c>
      <c r="B105" s="55" t="inlineStr">
        <is>
          <t>ЦентрКредит</t>
        </is>
      </c>
      <c r="C105" s="55" t="inlineStr">
        <is>
          <t>KZT</t>
        </is>
      </c>
      <c r="D105" s="55" t="inlineStr">
        <is>
          <t>2401</t>
        </is>
      </c>
      <c r="E105" s="55" t="inlineStr">
        <is>
          <t>Акционерное Общество "Банк ЦентрКредит"</t>
        </is>
      </c>
      <c r="F105" s="55" t="inlineStr">
        <is>
          <t>980640000093</t>
        </is>
      </c>
      <c r="G105" s="55" t="inlineStr">
        <is>
          <t>213</t>
        </is>
      </c>
      <c r="H105" s="56" t="inlineStr">
        <is>
          <t>Покупка иностранной валюты TOD (день в день), ТОО "WayStar Group", БИН 240340014287. Заявка №624131. Дата вал. 09.07.2026. Покупка USD, продажа KZT. Курс сделки 468.33. Учетный курс 467.98. Получение услуг</t>
        </is>
      </c>
      <c r="I105" s="57" t="n">
        <v>84299400</v>
      </c>
      <c r="J105" s="57" t="n"/>
      <c r="K105" s="58" t="n">
        <v>1</v>
      </c>
      <c r="L105" s="57" t="n">
        <v>84299400</v>
      </c>
      <c r="M105" s="57" t="n"/>
      <c r="N105" s="60" t="inlineStr">
        <is>
          <t>Конвертация валют</t>
        </is>
      </c>
      <c r="O105" s="55" t="inlineStr">
        <is>
          <t>Технические</t>
        </is>
      </c>
      <c r="P105" s="55" t="inlineStr">
        <is>
          <t>Покупка/продажа валюты</t>
        </is>
      </c>
      <c r="Q105" s="55" t="inlineStr"/>
    </row>
    <row r="106">
      <c r="A106" s="55" t="inlineStr">
        <is>
          <t>09.07.2026</t>
        </is>
      </c>
      <c r="B106" s="55" t="inlineStr">
        <is>
          <t>ЦентрКредит</t>
        </is>
      </c>
      <c r="C106" s="55" t="inlineStr">
        <is>
          <t>KZT</t>
        </is>
      </c>
      <c r="D106" s="55" t="inlineStr">
        <is>
          <t>2401</t>
        </is>
      </c>
      <c r="E106" s="55" t="inlineStr">
        <is>
          <t>Товарищество с ограниченной ответственностью "WayStar Group"</t>
        </is>
      </c>
      <c r="F106" s="55" t="inlineStr">
        <is>
          <t>240340014287</t>
        </is>
      </c>
      <c r="G106" s="55" t="inlineStr">
        <is>
          <t>312</t>
        </is>
      </c>
      <c r="H106" s="56" t="inlineStr">
        <is>
          <t>Размещение вклада</t>
        </is>
      </c>
      <c r="I106" s="57" t="n">
        <v>92688764.93000001</v>
      </c>
      <c r="J106" s="57" t="n"/>
      <c r="K106" s="58" t="n">
        <v>1</v>
      </c>
      <c r="L106" s="57" t="n">
        <v>92688764.93000001</v>
      </c>
      <c r="M106" s="57" t="n"/>
      <c r="N106" s="59" t="inlineStr">
        <is>
          <t>Внутренний перевод</t>
        </is>
      </c>
      <c r="O106" s="55" t="inlineStr">
        <is>
          <t>Технические</t>
        </is>
      </c>
      <c r="P106" s="55" t="inlineStr">
        <is>
          <t>Перевод между своими счетами</t>
        </is>
      </c>
      <c r="Q106" s="55" t="inlineStr"/>
    </row>
    <row r="107">
      <c r="A107" s="55" t="inlineStr">
        <is>
          <t>09.07.2026</t>
        </is>
      </c>
      <c r="B107" s="55" t="inlineStr">
        <is>
          <t>ЦентрКредит</t>
        </is>
      </c>
      <c r="C107" s="55" t="inlineStr">
        <is>
          <t>KZT</t>
        </is>
      </c>
      <c r="D107" s="55" t="inlineStr">
        <is>
          <t>2401</t>
        </is>
      </c>
      <c r="E107" s="55" t="inlineStr">
        <is>
          <t>Товарищество с ограниченной ответственностью "WayStar Group"</t>
        </is>
      </c>
      <c r="F107" s="55" t="inlineStr">
        <is>
          <t>240340014287</t>
        </is>
      </c>
      <c r="G107" s="55" t="inlineStr">
        <is>
          <t>316</t>
        </is>
      </c>
      <c r="H107" s="56" t="inlineStr">
        <is>
          <t>Выплата начисленного вознаграждения по депозитному договору № 01607034 от 24.07.2025 за период с 08.07.26 по 08.07.26. Вкладчик Товарищество с ограниченной ответственностью "WayStar Group".</t>
        </is>
      </c>
      <c r="I107" s="57" t="n"/>
      <c r="J107" s="57" t="n">
        <v>124627.99</v>
      </c>
      <c r="K107" s="58" t="n">
        <v>1</v>
      </c>
      <c r="L107" s="57" t="n"/>
      <c r="M107" s="57" t="n">
        <v>124627.99</v>
      </c>
      <c r="N107" s="59" t="inlineStr">
        <is>
          <t>Внутренний перевод</t>
        </is>
      </c>
      <c r="O107" s="55" t="inlineStr">
        <is>
          <t>Технические</t>
        </is>
      </c>
      <c r="P107" s="55" t="inlineStr">
        <is>
          <t>Перевод между своими счетами</t>
        </is>
      </c>
      <c r="Q107" s="55" t="inlineStr"/>
    </row>
    <row r="108">
      <c r="A108" s="55" t="inlineStr">
        <is>
          <t>09.07.2026</t>
        </is>
      </c>
      <c r="B108" s="55" t="inlineStr">
        <is>
          <t>ЦентрКредит</t>
        </is>
      </c>
      <c r="C108" s="55" t="inlineStr">
        <is>
          <t>KZT</t>
        </is>
      </c>
      <c r="D108" s="55" t="inlineStr">
        <is>
          <t>2401</t>
        </is>
      </c>
      <c r="E108" s="55" t="inlineStr">
        <is>
          <t>ТОО "WayStar Group"</t>
        </is>
      </c>
      <c r="F108" s="55" t="inlineStr">
        <is>
          <t>240340014287</t>
        </is>
      </c>
      <c r="G108" s="55" t="inlineStr">
        <is>
          <t>322</t>
        </is>
      </c>
      <c r="H108" s="56" t="inlineStr">
        <is>
          <t>Без НДС. Снятие с краткосрочного вклада (не более одного года)</t>
        </is>
      </c>
      <c r="I108" s="57" t="n"/>
      <c r="J108" s="57" t="n">
        <v>1900000</v>
      </c>
      <c r="K108" s="58" t="n">
        <v>1</v>
      </c>
      <c r="L108" s="57" t="n"/>
      <c r="M108" s="57" t="n">
        <v>1900000</v>
      </c>
      <c r="N108" s="59" t="inlineStr">
        <is>
          <t>Внутренний перевод</t>
        </is>
      </c>
      <c r="O108" s="55" t="inlineStr">
        <is>
          <t>Технические</t>
        </is>
      </c>
      <c r="P108" s="55" t="inlineStr">
        <is>
          <t>Перевод между своими счетами</t>
        </is>
      </c>
      <c r="Q108" s="55" t="inlineStr"/>
    </row>
    <row r="109">
      <c r="A109" s="55" t="inlineStr">
        <is>
          <t>09.07.2026</t>
        </is>
      </c>
      <c r="B109" s="55" t="inlineStr">
        <is>
          <t>ЦентрКредит</t>
        </is>
      </c>
      <c r="C109" s="55" t="inlineStr">
        <is>
          <t>KZT</t>
        </is>
      </c>
      <c r="D109" s="55" t="inlineStr">
        <is>
          <t>2401</t>
        </is>
      </c>
      <c r="E109" s="55" t="inlineStr">
        <is>
          <t>ТОО  "WayStar Group"</t>
        </is>
      </c>
      <c r="F109" s="55" t="inlineStr">
        <is>
          <t>240340014287</t>
        </is>
      </c>
      <c r="G109" s="55" t="inlineStr">
        <is>
          <t>343</t>
        </is>
      </c>
      <c r="H109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09" s="57" t="n"/>
      <c r="J109" s="57" t="n">
        <v>57300000</v>
      </c>
      <c r="K109" s="58" t="n">
        <v>1</v>
      </c>
      <c r="L109" s="57" t="n"/>
      <c r="M109" s="57" t="n">
        <v>57300000</v>
      </c>
      <c r="N109" s="59" t="inlineStr">
        <is>
          <t>Внутренний перевод</t>
        </is>
      </c>
      <c r="O109" s="55" t="inlineStr">
        <is>
          <t>Технические</t>
        </is>
      </c>
      <c r="P109" s="55" t="inlineStr">
        <is>
          <t>Перевод между своими счетами</t>
        </is>
      </c>
      <c r="Q109" s="55" t="inlineStr"/>
    </row>
    <row r="110">
      <c r="A110" s="55" t="inlineStr">
        <is>
          <t>09.07.2026</t>
        </is>
      </c>
      <c r="B110" s="55" t="inlineStr">
        <is>
          <t>ЦентрКредит</t>
        </is>
      </c>
      <c r="C110" s="55" t="inlineStr">
        <is>
          <t>KZT</t>
        </is>
      </c>
      <c r="D110" s="55" t="inlineStr">
        <is>
          <t>2401</t>
        </is>
      </c>
      <c r="E110" s="55" t="inlineStr">
        <is>
          <t>Товарищество с ограниченной ответственностью "WayStar Group"</t>
        </is>
      </c>
      <c r="F110" s="55" t="inlineStr">
        <is>
          <t>240340014287</t>
        </is>
      </c>
      <c r="G110" s="55" t="inlineStr">
        <is>
          <t>322</t>
        </is>
      </c>
      <c r="H110" s="56" t="inlineStr">
        <is>
          <t>Частичная выплата вклада по депозитному договору № 01607034 от 09.07.2026 в размере 369080835.75 согласно ДП. Вкладчик: Товарищество с ограниченной ответственностью "WayStar Group".</t>
        </is>
      </c>
      <c r="I110" s="57" t="n"/>
      <c r="J110" s="57" t="n">
        <v>369080835.75</v>
      </c>
      <c r="K110" s="58" t="n">
        <v>1</v>
      </c>
      <c r="L110" s="57" t="n"/>
      <c r="M110" s="57" t="n">
        <v>369080835.75</v>
      </c>
      <c r="N110" s="59" t="inlineStr">
        <is>
          <t>Внутренний перевод</t>
        </is>
      </c>
      <c r="O110" s="55" t="inlineStr">
        <is>
          <t>Технические</t>
        </is>
      </c>
      <c r="P110" s="55" t="inlineStr">
        <is>
          <t>Перевод между своими счетами</t>
        </is>
      </c>
      <c r="Q110" s="55" t="inlineStr"/>
    </row>
    <row r="111">
      <c r="A111" s="55" t="inlineStr">
        <is>
          <t>10.07.2026</t>
        </is>
      </c>
      <c r="B111" s="55" t="inlineStr">
        <is>
          <t>ЦентрКредит</t>
        </is>
      </c>
      <c r="C111" s="55" t="inlineStr">
        <is>
          <t>KZT</t>
        </is>
      </c>
      <c r="D111" s="55" t="inlineStr">
        <is>
          <t>2401</t>
        </is>
      </c>
      <c r="E111" s="55" t="inlineStr">
        <is>
          <t>Частная компания WayStar Service Limited</t>
        </is>
      </c>
      <c r="F111" s="55" t="inlineStr">
        <is>
          <t>260540900770</t>
        </is>
      </c>
      <c r="G111" s="55" t="inlineStr">
        <is>
          <t>411</t>
        </is>
      </c>
      <c r="H111" s="56" t="inlineStr">
        <is>
          <t>выдача займа. Без НДС. Выдача краткосрочных займов (не более одного года)</t>
        </is>
      </c>
      <c r="I111" s="57" t="n">
        <v>120000</v>
      </c>
      <c r="J111" s="57" t="n"/>
      <c r="K111" s="58" t="n">
        <v>1</v>
      </c>
      <c r="L111" s="57" t="n">
        <v>120000</v>
      </c>
      <c r="M111" s="57" t="n"/>
      <c r="N111" s="59" t="inlineStr">
        <is>
          <t>Внутренний перевод</t>
        </is>
      </c>
      <c r="O111" s="55" t="inlineStr">
        <is>
          <t>Технические</t>
        </is>
      </c>
      <c r="P111" s="55" t="inlineStr">
        <is>
          <t>Перевод между своими счетами</t>
        </is>
      </c>
      <c r="Q111" s="55" t="inlineStr"/>
    </row>
    <row r="112">
      <c r="A112" s="55" t="inlineStr">
        <is>
          <t>10.07.2026</t>
        </is>
      </c>
      <c r="B112" s="55" t="inlineStr">
        <is>
          <t>ЦентрКредит</t>
        </is>
      </c>
      <c r="C112" s="55" t="inlineStr">
        <is>
          <t>KZT</t>
        </is>
      </c>
      <c r="D112" s="55" t="inlineStr">
        <is>
          <t>2401</t>
        </is>
      </c>
      <c r="E112" s="55" t="inlineStr">
        <is>
          <t>Товарищество с ограниченной ответственностью "Asia Railways Tracking Service (Азия Рэилвейс Трекинг Сервис)"</t>
        </is>
      </c>
      <c r="F112" s="55" t="inlineStr">
        <is>
          <t>130540005778</t>
        </is>
      </c>
      <c r="G112" s="55" t="inlineStr">
        <is>
          <t>813</t>
        </is>
      </c>
      <c r="H112" s="56" t="inlineStr">
        <is>
          <t>Счет № И-1807 от 10.07.2026 г. Договор № D-0071124 от 07.11.2024 г. Авансовая оплата за дислокацию подвижного состава</t>
        </is>
      </c>
      <c r="I112" s="57" t="n">
        <v>500000</v>
      </c>
      <c r="J112" s="57" t="n"/>
      <c r="K112" s="58" t="n">
        <v>1</v>
      </c>
      <c r="L112" s="57" t="n">
        <v>500000</v>
      </c>
      <c r="M112" s="57" t="n"/>
      <c r="N112" s="55" t="inlineStr">
        <is>
          <t>Внешняя операция</t>
        </is>
      </c>
      <c r="O112" s="55" t="inlineStr">
        <is>
          <t>Себестоимость</t>
        </is>
      </c>
      <c r="P112" s="55" t="inlineStr">
        <is>
          <t>Аренда/предоставление вагонов</t>
        </is>
      </c>
      <c r="Q112" s="55" t="inlineStr">
        <is>
          <t>ТОО "Asia Railways Tracking Service (Азия Рэ</t>
        </is>
      </c>
    </row>
    <row r="113">
      <c r="A113" s="55" t="inlineStr">
        <is>
          <t>10.07.2026</t>
        </is>
      </c>
      <c r="B113" s="55" t="inlineStr">
        <is>
          <t>ЦентрКредит</t>
        </is>
      </c>
      <c r="C113" s="55" t="inlineStr">
        <is>
          <t>KZT</t>
        </is>
      </c>
      <c r="D113" s="55" t="inlineStr">
        <is>
          <t>2401</t>
        </is>
      </c>
      <c r="E113" s="55" t="inlineStr">
        <is>
          <t>ТОО КТЖ-Грузовые перевозки</t>
        </is>
      </c>
      <c r="F113" s="55" t="inlineStr">
        <is>
          <t>031040001799</t>
        </is>
      </c>
      <c r="G113" s="55" t="inlineStr">
        <is>
          <t>813</t>
        </is>
      </c>
      <c r="H113" s="56" t="inlineStr">
        <is>
          <t>Без НДС, 4185494, Платежи за услуги железнодорожного транспорта</t>
        </is>
      </c>
      <c r="I113" s="57" t="n">
        <v>15000000</v>
      </c>
      <c r="J113" s="57" t="n"/>
      <c r="K113" s="58" t="n">
        <v>1</v>
      </c>
      <c r="L113" s="57" t="n">
        <v>15000000</v>
      </c>
      <c r="M113" s="57" t="n"/>
      <c r="N113" s="55" t="inlineStr">
        <is>
          <t>Внешняя операция</t>
        </is>
      </c>
      <c r="O113" s="55" t="inlineStr">
        <is>
          <t>Себестоимость</t>
        </is>
      </c>
      <c r="P113" s="55" t="inlineStr">
        <is>
          <t>Тариф КТЖ (ж/д перевозки)</t>
        </is>
      </c>
      <c r="Q113" s="55" t="inlineStr">
        <is>
          <t>ТОО «КТЖ-Грузовые перевозки»</t>
        </is>
      </c>
    </row>
    <row r="114">
      <c r="A114" s="55" t="inlineStr">
        <is>
          <t>10.07.2026</t>
        </is>
      </c>
      <c r="B114" s="55" t="inlineStr">
        <is>
          <t>ЦентрКредит</t>
        </is>
      </c>
      <c r="C114" s="55" t="inlineStr">
        <is>
          <t>KZT</t>
        </is>
      </c>
      <c r="D114" s="55" t="inlineStr">
        <is>
          <t>2401</t>
        </is>
      </c>
      <c r="E114" s="55" t="inlineStr">
        <is>
          <t>Товарищество с ограниченной ответственностью "WayStar Group"</t>
        </is>
      </c>
      <c r="F114" s="55" t="inlineStr">
        <is>
          <t>240340014287</t>
        </is>
      </c>
      <c r="G114" s="55" t="inlineStr">
        <is>
          <t>312</t>
        </is>
      </c>
      <c r="H114" s="56" t="inlineStr">
        <is>
          <t>Размещение вклада</t>
        </is>
      </c>
      <c r="I114" s="57" t="n">
        <v>145518094.9</v>
      </c>
      <c r="J114" s="57" t="n"/>
      <c r="K114" s="58" t="n">
        <v>1</v>
      </c>
      <c r="L114" s="57" t="n">
        <v>145518094.9</v>
      </c>
      <c r="M114" s="57" t="n"/>
      <c r="N114" s="59" t="inlineStr">
        <is>
          <t>Внутренний перевод</t>
        </is>
      </c>
      <c r="O114" s="55" t="inlineStr">
        <is>
          <t>Технические</t>
        </is>
      </c>
      <c r="P114" s="55" t="inlineStr">
        <is>
          <t>Перевод между своими счетами</t>
        </is>
      </c>
      <c r="Q114" s="55" t="inlineStr"/>
    </row>
    <row r="115">
      <c r="A115" s="55" t="inlineStr">
        <is>
          <t>10.07.2026</t>
        </is>
      </c>
      <c r="B115" s="55" t="inlineStr">
        <is>
          <t>ЦентрКредит</t>
        </is>
      </c>
      <c r="C115" s="55" t="inlineStr">
        <is>
          <t>KZT</t>
        </is>
      </c>
      <c r="D115" s="55" t="inlineStr">
        <is>
          <t>2401</t>
        </is>
      </c>
      <c r="E115" s="55" t="inlineStr">
        <is>
          <t>Товарищество с ограниченной ответственностью "WayStar Group"</t>
        </is>
      </c>
      <c r="F115" s="55" t="inlineStr">
        <is>
          <t>240340014287</t>
        </is>
      </c>
      <c r="G115" s="55" t="inlineStr">
        <is>
          <t>316</t>
        </is>
      </c>
      <c r="H115" s="56" t="inlineStr">
        <is>
          <t>Выплата начисленного вознаграждения по депозитному договору № 01607034 от 24.07.2025 за период с 09.07.26 по 09.07.26. Вкладчик Товарищество с ограниченной ответственностью "WayStar Group".</t>
        </is>
      </c>
      <c r="I115" s="57" t="n"/>
      <c r="J115" s="57" t="n">
        <v>49329.97</v>
      </c>
      <c r="K115" s="58" t="n">
        <v>1</v>
      </c>
      <c r="L115" s="57" t="n"/>
      <c r="M115" s="57" t="n">
        <v>49329.97</v>
      </c>
      <c r="N115" s="59" t="inlineStr">
        <is>
          <t>Внутренний перевод</t>
        </is>
      </c>
      <c r="O115" s="55" t="inlineStr">
        <is>
          <t>Технические</t>
        </is>
      </c>
      <c r="P115" s="55" t="inlineStr">
        <is>
          <t>Перевод между своими счетами</t>
        </is>
      </c>
      <c r="Q115" s="55" t="inlineStr"/>
    </row>
    <row r="116">
      <c r="A116" s="55" t="inlineStr">
        <is>
          <t>10.07.2026</t>
        </is>
      </c>
      <c r="B116" s="55" t="inlineStr">
        <is>
          <t>ЦентрКредит</t>
        </is>
      </c>
      <c r="C116" s="55" t="inlineStr">
        <is>
          <t>KZT</t>
        </is>
      </c>
      <c r="D116" s="55" t="inlineStr">
        <is>
          <t>2401</t>
        </is>
      </c>
      <c r="E116" s="55" t="inlineStr">
        <is>
          <t>ТОО "WayStar Group"</t>
        </is>
      </c>
      <c r="F116" s="55" t="inlineStr">
        <is>
          <t>240340014287</t>
        </is>
      </c>
      <c r="G116" s="55" t="inlineStr">
        <is>
          <t>322</t>
        </is>
      </c>
      <c r="H116" s="56" t="inlineStr">
        <is>
          <t>Без НДС. Снятие с краткосрочного вклада (не более одного года)</t>
        </is>
      </c>
      <c r="I116" s="57" t="n"/>
      <c r="J116" s="57" t="n">
        <v>15000000</v>
      </c>
      <c r="K116" s="58" t="n">
        <v>1</v>
      </c>
      <c r="L116" s="57" t="n"/>
      <c r="M116" s="57" t="n">
        <v>15000000</v>
      </c>
      <c r="N116" s="59" t="inlineStr">
        <is>
          <t>Внутренний перевод</t>
        </is>
      </c>
      <c r="O116" s="55" t="inlineStr">
        <is>
          <t>Технические</t>
        </is>
      </c>
      <c r="P116" s="55" t="inlineStr">
        <is>
          <t>Перевод между своими счетами</t>
        </is>
      </c>
      <c r="Q116" s="55" t="inlineStr"/>
    </row>
    <row r="117">
      <c r="A117" s="55" t="inlineStr">
        <is>
          <t>10.07.2026</t>
        </is>
      </c>
      <c r="B117" s="55" t="inlineStr">
        <is>
          <t>ЦентрКредит</t>
        </is>
      </c>
      <c r="C117" s="55" t="inlineStr">
        <is>
          <t>KZT</t>
        </is>
      </c>
      <c r="D117" s="55" t="inlineStr">
        <is>
          <t>2401</t>
        </is>
      </c>
      <c r="E117" s="55" t="inlineStr">
        <is>
          <t>Товарищество с ограниченной ответственностью "WayStar Group"</t>
        </is>
      </c>
      <c r="F117" s="55" t="inlineStr">
        <is>
          <t>240340014287</t>
        </is>
      </c>
      <c r="G117" s="55" t="inlineStr">
        <is>
          <t>322</t>
        </is>
      </c>
      <c r="H117" s="56" t="inlineStr">
        <is>
          <t>Частичная выплата вклада по депозитному договору № 01607034 от 10.07.2026 в размере 146088764.93 согласно ДП. Вкладчик: Товарищество с ограниченной ответственностью "WayStar Group".</t>
        </is>
      </c>
      <c r="I117" s="57" t="n"/>
      <c r="J117" s="57" t="n">
        <v>146088764.93</v>
      </c>
      <c r="K117" s="58" t="n">
        <v>1</v>
      </c>
      <c r="L117" s="57" t="n"/>
      <c r="M117" s="57" t="n">
        <v>146088764.93</v>
      </c>
      <c r="N117" s="59" t="inlineStr">
        <is>
          <t>Внутренний перевод</t>
        </is>
      </c>
      <c r="O117" s="55" t="inlineStr">
        <is>
          <t>Технические</t>
        </is>
      </c>
      <c r="P117" s="55" t="inlineStr">
        <is>
          <t>Перевод между своими счетами</t>
        </is>
      </c>
      <c r="Q117" s="55" t="inlineStr"/>
    </row>
    <row r="118">
      <c r="A118" s="55" t="inlineStr">
        <is>
          <t>11.07.2026</t>
        </is>
      </c>
      <c r="B118" s="55" t="inlineStr">
        <is>
          <t>ЦентрКредит</t>
        </is>
      </c>
      <c r="C118" s="55" t="inlineStr">
        <is>
          <t>KZT</t>
        </is>
      </c>
      <c r="D118" s="55" t="inlineStr">
        <is>
          <t>2401</t>
        </is>
      </c>
      <c r="E118" s="55" t="inlineStr">
        <is>
          <t>Товарищество с ограниченной ответственностью "WayStar Group"</t>
        </is>
      </c>
      <c r="F118" s="55" t="inlineStr">
        <is>
          <t>240340014287</t>
        </is>
      </c>
      <c r="G118" s="55" t="inlineStr">
        <is>
          <t>316</t>
        </is>
      </c>
      <c r="H118" s="56" t="inlineStr">
        <is>
          <t>Выплата начисленного вознаграждения по депозитному договору № 01607034 от 24.07.2025 за период с 10.07.26 по 10.07.26. Вкладчик Товарищество с ограниченной ответственностью "WayStar Group".</t>
        </is>
      </c>
      <c r="I118" s="57" t="n"/>
      <c r="J118" s="57" t="n">
        <v>44072.2</v>
      </c>
      <c r="K118" s="58" t="n">
        <v>1</v>
      </c>
      <c r="L118" s="57" t="n"/>
      <c r="M118" s="57" t="n">
        <v>44072.2</v>
      </c>
      <c r="N118" s="59" t="inlineStr">
        <is>
          <t>Внутренний перевод</t>
        </is>
      </c>
      <c r="O118" s="55" t="inlineStr">
        <is>
          <t>Технические</t>
        </is>
      </c>
      <c r="P118" s="55" t="inlineStr">
        <is>
          <t>Перевод между своими счетами</t>
        </is>
      </c>
      <c r="Q118" s="55" t="inlineStr"/>
    </row>
    <row r="119">
      <c r="A119" s="55" t="inlineStr">
        <is>
          <t>12.07.2026</t>
        </is>
      </c>
      <c r="B119" s="55" t="inlineStr">
        <is>
          <t>ЦентрКредит</t>
        </is>
      </c>
      <c r="C119" s="55" t="inlineStr">
        <is>
          <t>KZT</t>
        </is>
      </c>
      <c r="D119" s="55" t="inlineStr">
        <is>
          <t>2401</t>
        </is>
      </c>
      <c r="E119" s="55" t="inlineStr">
        <is>
          <t>Акционерное Общество "Банк ЦентрКредит"</t>
        </is>
      </c>
      <c r="F119" s="55" t="inlineStr">
        <is>
          <t>980640000093</t>
        </is>
      </c>
      <c r="G119" s="55" t="inlineStr">
        <is>
          <t>710</t>
        </is>
      </c>
      <c r="H119" s="56" t="inlineStr">
        <is>
          <t>Retail. Номер устройства в ПЦ, 09.07.2026 00:00:00, IRL, CC GOOGLE.COM, GOOGLE*WORKSPACE WAYST, Карта: 489988******9359 Валюты:EUR-USD| IPS: 1.1605| BCC: 1;   IPS: 1.1433</t>
        </is>
      </c>
      <c r="I119" s="57" t="n">
        <v>150184.23</v>
      </c>
      <c r="J119" s="57" t="n"/>
      <c r="K119" s="58" t="n">
        <v>1</v>
      </c>
      <c r="L119" s="57" t="n">
        <v>150184.23</v>
      </c>
      <c r="M119" s="57" t="n"/>
      <c r="N119" s="55" t="inlineStr">
        <is>
          <t>Внешняя операция</t>
        </is>
      </c>
      <c r="O119" s="55" t="inlineStr">
        <is>
          <t>Админ/офис</t>
        </is>
      </c>
      <c r="P119" s="55" t="inlineStr">
        <is>
          <t>Связь и ИТ</t>
        </is>
      </c>
      <c r="Q119" s="55" t="inlineStr">
        <is>
          <t>Акционерное Общество "Банк ЦентрКредит"</t>
        </is>
      </c>
    </row>
    <row r="120">
      <c r="A120" s="55" t="inlineStr">
        <is>
          <t>12.07.2026</t>
        </is>
      </c>
      <c r="B120" s="55" t="inlineStr">
        <is>
          <t>ЦентрКредит</t>
        </is>
      </c>
      <c r="C120" s="55" t="inlineStr">
        <is>
          <t>KZT</t>
        </is>
      </c>
      <c r="D120" s="55" t="inlineStr">
        <is>
          <t>2401</t>
        </is>
      </c>
      <c r="E120" s="55" t="inlineStr">
        <is>
          <t>Товарищество с ограниченной ответственностью "WayStar Group"</t>
        </is>
      </c>
      <c r="F120" s="55" t="inlineStr">
        <is>
          <t>240340014287</t>
        </is>
      </c>
      <c r="G120" s="55" t="inlineStr">
        <is>
          <t>316</t>
        </is>
      </c>
      <c r="H120" s="56" t="inlineStr">
        <is>
          <t>Выплата начисленного вознаграждения по депозитному договору № 01607034 от 24.07.2025 за период с 11.07.26 по 11.07.26. Вкладчик Товарищество с ограниченной ответственностью "WayStar Group".</t>
        </is>
      </c>
      <c r="I120" s="57" t="n"/>
      <c r="J120" s="57" t="n">
        <v>44072.21</v>
      </c>
      <c r="K120" s="58" t="n">
        <v>1</v>
      </c>
      <c r="L120" s="57" t="n"/>
      <c r="M120" s="57" t="n">
        <v>44072.21</v>
      </c>
      <c r="N120" s="59" t="inlineStr">
        <is>
          <t>Внутренний перевод</t>
        </is>
      </c>
      <c r="O120" s="55" t="inlineStr">
        <is>
          <t>Технические</t>
        </is>
      </c>
      <c r="P120" s="55" t="inlineStr">
        <is>
          <t>Перевод между своими счетами</t>
        </is>
      </c>
      <c r="Q120" s="55" t="inlineStr"/>
    </row>
    <row r="121">
      <c r="A121" s="55" t="inlineStr">
        <is>
          <t>13.07.2026</t>
        </is>
      </c>
      <c r="B121" s="55" t="inlineStr">
        <is>
          <t>ЦентрКредит</t>
        </is>
      </c>
      <c r="C121" s="55" t="inlineStr">
        <is>
          <t>KZT</t>
        </is>
      </c>
      <c r="D121" s="55" t="inlineStr">
        <is>
          <t>2401</t>
        </is>
      </c>
      <c r="E121" s="55" t="inlineStr">
        <is>
          <t>Товарищество с ограниченной ответственностью "WayStar Group"</t>
        </is>
      </c>
      <c r="F121" s="55" t="inlineStr">
        <is>
          <t>240340014287</t>
        </is>
      </c>
      <c r="G121" s="55" t="inlineStr">
        <is>
          <t>421</t>
        </is>
      </c>
      <c r="H121" s="56" t="inlineStr">
        <is>
          <t>Погашение вознаграждения по договору № AQ5/2024/U/S/120240/0003L от 23.06.2026. Заемщик: Товарищество с ограниченной ответственностью "WayStar Group"</t>
        </is>
      </c>
      <c r="I121" s="57" t="n">
        <v>128989.78</v>
      </c>
      <c r="J121" s="57" t="n"/>
      <c r="K121" s="58" t="n">
        <v>1</v>
      </c>
      <c r="L121" s="57" t="n">
        <v>128989.78</v>
      </c>
      <c r="M121" s="57" t="n"/>
      <c r="N121" s="59" t="inlineStr">
        <is>
          <t>Внутренний перевод</t>
        </is>
      </c>
      <c r="O121" s="55" t="inlineStr">
        <is>
          <t>Технические</t>
        </is>
      </c>
      <c r="P121" s="55" t="inlineStr">
        <is>
          <t>Перевод между своими счетами</t>
        </is>
      </c>
      <c r="Q121" s="55" t="inlineStr"/>
    </row>
    <row r="122">
      <c r="A122" s="55" t="inlineStr">
        <is>
          <t>13.07.2026</t>
        </is>
      </c>
      <c r="B122" s="55" t="inlineStr">
        <is>
          <t>ЦентрКредит</t>
        </is>
      </c>
      <c r="C122" s="55" t="inlineStr">
        <is>
          <t>KZT</t>
        </is>
      </c>
      <c r="D122" s="55" t="inlineStr">
        <is>
          <t>2401</t>
        </is>
      </c>
      <c r="E122" s="55" t="inlineStr">
        <is>
          <t>Банк ЦентрКредит для ЗП</t>
        </is>
      </c>
      <c r="F122" s="55" t="inlineStr">
        <is>
          <t>980640000093</t>
        </is>
      </c>
      <c r="G122" s="55" t="inlineStr">
        <is>
          <t>332</t>
        </is>
      </c>
      <c r="H122" s="56" t="inlineStr">
        <is>
          <t>Для зачисления на картсчета сотрудникам согласно спискам 170 000-00 теңге.</t>
        </is>
      </c>
      <c r="I122" s="57" t="n">
        <v>170000</v>
      </c>
      <c r="J122" s="57" t="n"/>
      <c r="K122" s="58" t="n">
        <v>1</v>
      </c>
      <c r="L122" s="57" t="n">
        <v>170000</v>
      </c>
      <c r="M122" s="57" t="n"/>
      <c r="N122" s="55" t="inlineStr">
        <is>
          <t>Внешняя операция</t>
        </is>
      </c>
      <c r="O122" s="55" t="inlineStr">
        <is>
          <t>ФОТ</t>
        </is>
      </c>
      <c r="P122" s="55" t="inlineStr">
        <is>
          <t>Зарплата</t>
        </is>
      </c>
      <c r="Q122" s="55" t="inlineStr">
        <is>
          <t>Банк ЦентрКредит для ЗП</t>
        </is>
      </c>
    </row>
    <row r="123">
      <c r="A123" s="55" t="inlineStr">
        <is>
          <t>13.07.2026</t>
        </is>
      </c>
      <c r="B123" s="55" t="inlineStr">
        <is>
          <t>ЦентрКредит</t>
        </is>
      </c>
      <c r="C123" s="55" t="inlineStr">
        <is>
          <t>KZT</t>
        </is>
      </c>
      <c r="D123" s="55" t="inlineStr">
        <is>
          <t>2401</t>
        </is>
      </c>
      <c r="E123" s="55" t="inlineStr">
        <is>
          <t>Товарищество с ограниченной ответственностью "WayStar Group"</t>
        </is>
      </c>
      <c r="F123" s="55" t="inlineStr">
        <is>
          <t>240340014287</t>
        </is>
      </c>
      <c r="G123" s="55" t="inlineStr">
        <is>
          <t>423</t>
        </is>
      </c>
      <c r="H123" s="56" t="inlineStr">
        <is>
          <t>Погашение вознаграждения по договору № AQ5/2024/U/S/120240/0002L от 25.11.25. Заемщик: Товарищество с ограниченной ответственностью "WayStar Group"</t>
        </is>
      </c>
      <c r="I123" s="57" t="n">
        <v>326408.76</v>
      </c>
      <c r="J123" s="57" t="n"/>
      <c r="K123" s="58" t="n">
        <v>1</v>
      </c>
      <c r="L123" s="57" t="n">
        <v>326408.76</v>
      </c>
      <c r="M123" s="57" t="n"/>
      <c r="N123" s="59" t="inlineStr">
        <is>
          <t>Внутренний перевод</t>
        </is>
      </c>
      <c r="O123" s="55" t="inlineStr">
        <is>
          <t>Технические</t>
        </is>
      </c>
      <c r="P123" s="55" t="inlineStr">
        <is>
          <t>Перевод между своими счетами</t>
        </is>
      </c>
      <c r="Q123" s="55" t="inlineStr"/>
    </row>
    <row r="124">
      <c r="A124" s="55" t="inlineStr">
        <is>
          <t>13.07.2026</t>
        </is>
      </c>
      <c r="B124" s="55" t="inlineStr">
        <is>
          <t>ЦентрКредит</t>
        </is>
      </c>
      <c r="C124" s="55" t="inlineStr">
        <is>
          <t>KZT</t>
        </is>
      </c>
      <c r="D124" s="55" t="inlineStr">
        <is>
          <t>2401</t>
        </is>
      </c>
      <c r="E124" s="55" t="inlineStr">
        <is>
          <t>Товарищество с ограниченной ответственностью "WayStar Group"</t>
        </is>
      </c>
      <c r="F124" s="55" t="inlineStr">
        <is>
          <t>240340014287</t>
        </is>
      </c>
      <c r="G124" s="55" t="inlineStr">
        <is>
          <t>421</t>
        </is>
      </c>
      <c r="H124" s="56" t="inlineStr">
        <is>
          <t>Погашение вознаграждения по договору № AQ5/2024/U/S/120240/0003L от 23.06.2026. Заемщик: Товарищество с ограниченной ответственностью "WayStar Group"</t>
        </is>
      </c>
      <c r="I124" s="57" t="n">
        <v>755767.0699999999</v>
      </c>
      <c r="J124" s="57" t="n"/>
      <c r="K124" s="58" t="n">
        <v>1</v>
      </c>
      <c r="L124" s="57" t="n">
        <v>755767.0699999999</v>
      </c>
      <c r="M124" s="57" t="n"/>
      <c r="N124" s="59" t="inlineStr">
        <is>
          <t>Внутренний перевод</t>
        </is>
      </c>
      <c r="O124" s="55" t="inlineStr">
        <is>
          <t>Технические</t>
        </is>
      </c>
      <c r="P124" s="55" t="inlineStr">
        <is>
          <t>Перевод между своими счетами</t>
        </is>
      </c>
      <c r="Q124" s="55" t="inlineStr"/>
    </row>
    <row r="125">
      <c r="A125" s="55" t="inlineStr">
        <is>
          <t>13.07.2026</t>
        </is>
      </c>
      <c r="B125" s="55" t="inlineStr">
        <is>
          <t>ЦентрКредит</t>
        </is>
      </c>
      <c r="C125" s="55" t="inlineStr">
        <is>
          <t>KZT</t>
        </is>
      </c>
      <c r="D125" s="55" t="inlineStr">
        <is>
          <t>2401</t>
        </is>
      </c>
      <c r="E125" s="55" t="inlineStr">
        <is>
          <t>ТОО КТЖ-Грузовые перевозки</t>
        </is>
      </c>
      <c r="F125" s="55" t="inlineStr">
        <is>
          <t>031040001799</t>
        </is>
      </c>
      <c r="G125" s="55" t="inlineStr">
        <is>
          <t>813</t>
        </is>
      </c>
      <c r="H125" s="56" t="inlineStr">
        <is>
          <t>Без НДС, 4185494, Платежи за услуги железнодорожного транспорта</t>
        </is>
      </c>
      <c r="I125" s="57" t="n">
        <v>5000000</v>
      </c>
      <c r="J125" s="57" t="n"/>
      <c r="K125" s="58" t="n">
        <v>1</v>
      </c>
      <c r="L125" s="57" t="n">
        <v>5000000</v>
      </c>
      <c r="M125" s="57" t="n"/>
      <c r="N125" s="55" t="inlineStr">
        <is>
          <t>Внешняя операция</t>
        </is>
      </c>
      <c r="O125" s="55" t="inlineStr">
        <is>
          <t>Себестоимость</t>
        </is>
      </c>
      <c r="P125" s="55" t="inlineStr">
        <is>
          <t>Тариф КТЖ (ж/д перевозки)</t>
        </is>
      </c>
      <c r="Q125" s="55" t="inlineStr">
        <is>
          <t>ТОО «КТЖ-Грузовые перевозки»</t>
        </is>
      </c>
    </row>
    <row r="126">
      <c r="A126" s="55" t="inlineStr">
        <is>
          <t>13.07.2026</t>
        </is>
      </c>
      <c r="B126" s="55" t="inlineStr">
        <is>
          <t>ЦентрКредит</t>
        </is>
      </c>
      <c r="C126" s="55" t="inlineStr">
        <is>
          <t>KZT</t>
        </is>
      </c>
      <c r="D126" s="55" t="inlineStr">
        <is>
          <t>2401</t>
        </is>
      </c>
      <c r="E126" s="55" t="inlineStr">
        <is>
          <t>ТОО КТЖ-Грузовые перевозки</t>
        </is>
      </c>
      <c r="F126" s="55" t="inlineStr">
        <is>
          <t>031040001799</t>
        </is>
      </c>
      <c r="G126" s="55" t="inlineStr">
        <is>
          <t>813</t>
        </is>
      </c>
      <c r="H126" s="56" t="inlineStr">
        <is>
          <t>Без НДС, 4185494, Платежи за услуги железнодорожного транспорта</t>
        </is>
      </c>
      <c r="I126" s="57" t="n">
        <v>15000000</v>
      </c>
      <c r="J126" s="57" t="n"/>
      <c r="K126" s="58" t="n">
        <v>1</v>
      </c>
      <c r="L126" s="57" t="n">
        <v>15000000</v>
      </c>
      <c r="M126" s="57" t="n"/>
      <c r="N126" s="55" t="inlineStr">
        <is>
          <t>Внешняя операция</t>
        </is>
      </c>
      <c r="O126" s="55" t="inlineStr">
        <is>
          <t>Себестоимость</t>
        </is>
      </c>
      <c r="P126" s="55" t="inlineStr">
        <is>
          <t>Тариф КТЖ (ж/д перевозки)</t>
        </is>
      </c>
      <c r="Q126" s="55" t="inlineStr">
        <is>
          <t>ТОО «КТЖ-Грузовые перевозки»</t>
        </is>
      </c>
    </row>
    <row r="127">
      <c r="A127" s="55" t="inlineStr">
        <is>
          <t>13.07.2026</t>
        </is>
      </c>
      <c r="B127" s="55" t="inlineStr">
        <is>
          <t>ЦентрКредит</t>
        </is>
      </c>
      <c r="C127" s="55" t="inlineStr">
        <is>
          <t>KZT</t>
        </is>
      </c>
      <c r="D127" s="55" t="inlineStr">
        <is>
          <t>2401</t>
        </is>
      </c>
      <c r="E127" s="55" t="inlineStr">
        <is>
          <t>Товарищество с ограниченной ответственностью "WayStar Group"</t>
        </is>
      </c>
      <c r="F127" s="55" t="inlineStr">
        <is>
          <t>240340014287</t>
        </is>
      </c>
      <c r="G127" s="55" t="inlineStr">
        <is>
          <t>312</t>
        </is>
      </c>
      <c r="H127" s="56" t="inlineStr">
        <is>
          <t>Размещение вклада</t>
        </is>
      </c>
      <c r="I127" s="57" t="n">
        <v>109265919.07</v>
      </c>
      <c r="J127" s="57" t="n"/>
      <c r="K127" s="58" t="n">
        <v>1</v>
      </c>
      <c r="L127" s="57" t="n">
        <v>109265919.07</v>
      </c>
      <c r="M127" s="57" t="n"/>
      <c r="N127" s="59" t="inlineStr">
        <is>
          <t>Внутренний перевод</t>
        </is>
      </c>
      <c r="O127" s="55" t="inlineStr">
        <is>
          <t>Технические</t>
        </is>
      </c>
      <c r="P127" s="55" t="inlineStr">
        <is>
          <t>Перевод между своими счетами</t>
        </is>
      </c>
      <c r="Q127" s="55" t="inlineStr"/>
    </row>
    <row r="128">
      <c r="A128" s="55" t="inlineStr">
        <is>
          <t>13.07.2026</t>
        </is>
      </c>
      <c r="B128" s="55" t="inlineStr">
        <is>
          <t>ЦентрКредит</t>
        </is>
      </c>
      <c r="C128" s="55" t="inlineStr">
        <is>
          <t>KZT</t>
        </is>
      </c>
      <c r="D128" s="55" t="inlineStr">
        <is>
          <t>2401</t>
        </is>
      </c>
      <c r="E128" s="55" t="inlineStr">
        <is>
          <t>Товарищество с ограниченной ответственностью "WayStar Group"</t>
        </is>
      </c>
      <c r="F128" s="55" t="inlineStr">
        <is>
          <t>240340014287</t>
        </is>
      </c>
      <c r="G128" s="55" t="inlineStr">
        <is>
          <t>316</t>
        </is>
      </c>
      <c r="H128" s="56" t="inlineStr">
        <is>
          <t>Выплата начисленного вознаграждения по депозитному договору № 01607034 от 24.07.2025 за период с 12.07.26 по 12.07.26. Вкладчик Товарищество с ограниченной ответственностью "WayStar Group".</t>
        </is>
      </c>
      <c r="I128" s="57" t="n"/>
      <c r="J128" s="57" t="n">
        <v>44072.2</v>
      </c>
      <c r="K128" s="58" t="n">
        <v>1</v>
      </c>
      <c r="L128" s="57" t="n"/>
      <c r="M128" s="57" t="n">
        <v>44072.2</v>
      </c>
      <c r="N128" s="59" t="inlineStr">
        <is>
          <t>Внутренний перевод</t>
        </is>
      </c>
      <c r="O128" s="55" t="inlineStr">
        <is>
          <t>Технические</t>
        </is>
      </c>
      <c r="P128" s="55" t="inlineStr">
        <is>
          <t>Перевод между своими счетами</t>
        </is>
      </c>
      <c r="Q128" s="55" t="inlineStr"/>
    </row>
    <row r="129">
      <c r="A129" s="55" t="inlineStr">
        <is>
          <t>13.07.2026</t>
        </is>
      </c>
      <c r="B129" s="55" t="inlineStr">
        <is>
          <t>ЦентрКредит</t>
        </is>
      </c>
      <c r="C129" s="55" t="inlineStr">
        <is>
          <t>KZT</t>
        </is>
      </c>
      <c r="D129" s="55" t="inlineStr">
        <is>
          <t>2401</t>
        </is>
      </c>
      <c r="E129" s="55" t="inlineStr">
        <is>
          <t>Товарищество с ограниченной ответственностью "WayStar Group"</t>
        </is>
      </c>
      <c r="F129" s="55" t="inlineStr">
        <is>
          <t>240340014287</t>
        </is>
      </c>
      <c r="G129" s="55" t="inlineStr">
        <is>
          <t>322</t>
        </is>
      </c>
      <c r="H129" s="56" t="inlineStr">
        <is>
          <t>Частичная выплата вклада по депозитному договору № 01607034 от 13.07.2026 в размере 130518094.9 согласно ДП. Вкладчик: Товарищество с ограниченной ответственностью "WayStar Group".</t>
        </is>
      </c>
      <c r="I129" s="57" t="n"/>
      <c r="J129" s="57" t="n">
        <v>130518094.9</v>
      </c>
      <c r="K129" s="58" t="n">
        <v>1</v>
      </c>
      <c r="L129" s="57" t="n"/>
      <c r="M129" s="57" t="n">
        <v>130518094.9</v>
      </c>
      <c r="N129" s="59" t="inlineStr">
        <is>
          <t>Внутренний перевод</t>
        </is>
      </c>
      <c r="O129" s="55" t="inlineStr">
        <is>
          <t>Технические</t>
        </is>
      </c>
      <c r="P129" s="55" t="inlineStr">
        <is>
          <t>Перевод между своими счетами</t>
        </is>
      </c>
      <c r="Q129" s="55" t="inlineStr"/>
    </row>
    <row r="130">
      <c r="A130" s="55" t="inlineStr">
        <is>
          <t>14.07.2026</t>
        </is>
      </c>
      <c r="B130" s="55" t="inlineStr">
        <is>
          <t>ЦентрКредит</t>
        </is>
      </c>
      <c r="C130" s="55" t="inlineStr">
        <is>
          <t>KZT</t>
        </is>
      </c>
      <c r="D130" s="55" t="inlineStr">
        <is>
          <t>2401</t>
        </is>
      </c>
      <c r="E130" s="55" t="inlineStr">
        <is>
          <t>Белова Полина Сергеевна</t>
        </is>
      </c>
      <c r="F130" s="55" t="inlineStr">
        <is>
          <t>990805450043</t>
        </is>
      </c>
      <c r="G130" s="55" t="inlineStr">
        <is>
          <t>871</t>
        </is>
      </c>
      <c r="H130" s="56" t="inlineStr">
        <is>
          <t>подотчет согл служебке от 14.07.2026 снэки июль. Без НДС. Платежи по поездкам</t>
        </is>
      </c>
      <c r="I130" s="57" t="n">
        <v>37500</v>
      </c>
      <c r="J130" s="57" t="n"/>
      <c r="K130" s="58" t="n">
        <v>1</v>
      </c>
      <c r="L130" s="57" t="n">
        <v>37500</v>
      </c>
      <c r="M130" s="57" t="n"/>
      <c r="N130" s="55" t="inlineStr">
        <is>
          <t>Внешняя операция</t>
        </is>
      </c>
      <c r="O130" s="55" t="inlineStr">
        <is>
          <t>ФОТ</t>
        </is>
      </c>
      <c r="P130" s="55" t="inlineStr">
        <is>
          <t>Командировки и подотчёт</t>
        </is>
      </c>
      <c r="Q130" s="55" t="inlineStr">
        <is>
          <t>Белова Полина Сергеевна</t>
        </is>
      </c>
    </row>
    <row r="131">
      <c r="A131" s="55" t="inlineStr">
        <is>
          <t>14.07.2026</t>
        </is>
      </c>
      <c r="B131" s="55" t="inlineStr">
        <is>
          <t>ЦентрКредит</t>
        </is>
      </c>
      <c r="C131" s="55" t="inlineStr">
        <is>
          <t>KZT</t>
        </is>
      </c>
      <c r="D131" s="55" t="inlineStr">
        <is>
          <t>2401</t>
        </is>
      </c>
      <c r="E131" s="55" t="inlineStr">
        <is>
          <t>Индивидуальный предприниматель "Ninety Plus Coffee"</t>
        </is>
      </c>
      <c r="F131" s="55" t="inlineStr">
        <is>
          <t>061023551492</t>
        </is>
      </c>
      <c r="G131" s="55" t="inlineStr">
        <is>
          <t>710</t>
        </is>
      </c>
      <c r="H131" s="56" t="inlineStr">
        <is>
          <t>Счет на оплату № УТ-9546 от 7 июля 2026 г. Счет на оплату № УТ-9850 от 13 июля 2026 гРабота мастера, кофе</t>
        </is>
      </c>
      <c r="I131" s="57" t="n">
        <v>50000</v>
      </c>
      <c r="J131" s="57" t="n"/>
      <c r="K131" s="58" t="n">
        <v>1</v>
      </c>
      <c r="L131" s="57" t="n">
        <v>50000</v>
      </c>
      <c r="M131" s="57" t="n"/>
      <c r="N131" s="55" t="inlineStr">
        <is>
          <t>Внешняя операция</t>
        </is>
      </c>
      <c r="O131" s="55" t="inlineStr">
        <is>
          <t>Админ/офис</t>
        </is>
      </c>
      <c r="P131" s="55" t="inlineStr">
        <is>
          <t>Хоз. расходы и материалы</t>
        </is>
      </c>
      <c r="Q131" s="55" t="inlineStr">
        <is>
          <t xml:space="preserve">Индивидуальный предприниматель "Ninety Plus </t>
        </is>
      </c>
    </row>
    <row r="132">
      <c r="A132" s="55" t="inlineStr">
        <is>
          <t>14.07.2026</t>
        </is>
      </c>
      <c r="B132" s="55" t="inlineStr">
        <is>
          <t>ЦентрКредит</t>
        </is>
      </c>
      <c r="C132" s="55" t="inlineStr">
        <is>
          <t>KZT</t>
        </is>
      </c>
      <c r="D132" s="55" t="inlineStr">
        <is>
          <t>2401</t>
        </is>
      </c>
      <c r="E132" s="55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132" s="55" t="inlineStr">
        <is>
          <t>250741018846</t>
        </is>
      </c>
      <c r="G132" s="55" t="inlineStr">
        <is>
          <t>822</t>
        </is>
      </c>
      <c r="H132" s="56" t="inlineStr">
        <is>
          <t>для ВЧД-23 Семей Счет на оплату № 39 от 30.06.2026 г. за ТОР вагона № 75007195Сумма 99 320-77 теңге в т.ч. НДС(16%) 13 699-42 теңге</t>
        </is>
      </c>
      <c r="I132" s="57" t="n">
        <v>99320.77</v>
      </c>
      <c r="J132" s="57" t="n"/>
      <c r="K132" s="58" t="n">
        <v>1</v>
      </c>
      <c r="L132" s="57" t="n">
        <v>99320.77</v>
      </c>
      <c r="M132" s="57" t="n"/>
      <c r="N132" s="55" t="inlineStr">
        <is>
          <t>Внешняя операция</t>
        </is>
      </c>
      <c r="O132" s="55" t="inlineStr">
        <is>
          <t>Себестоимость</t>
        </is>
      </c>
      <c r="P132" s="55" t="inlineStr">
        <is>
          <t>Аренда/предоставление вагонов</t>
        </is>
      </c>
      <c r="Q132" s="55" t="inlineStr">
        <is>
          <t>филиал акционерного общества "Национальная к</t>
        </is>
      </c>
    </row>
    <row r="133">
      <c r="A133" s="55" t="inlineStr">
        <is>
          <t>14.07.2026</t>
        </is>
      </c>
      <c r="B133" s="55" t="inlineStr">
        <is>
          <t>ЦентрКредит</t>
        </is>
      </c>
      <c r="C133" s="55" t="inlineStr">
        <is>
          <t>KZT</t>
        </is>
      </c>
      <c r="D133" s="55" t="inlineStr">
        <is>
          <t>2401</t>
        </is>
      </c>
      <c r="E133" s="55" t="inlineStr">
        <is>
          <t>Частная компания WayStar Service Limited</t>
        </is>
      </c>
      <c r="F133" s="55" t="inlineStr">
        <is>
          <t>260540900770</t>
        </is>
      </c>
      <c r="G133" s="55" t="inlineStr">
        <is>
          <t>411</t>
        </is>
      </c>
      <c r="H133" s="56" t="inlineStr">
        <is>
          <t>выдача займа. Без НДС. Выдача краткосрочных займов (не более одного года)</t>
        </is>
      </c>
      <c r="I133" s="57" t="n">
        <v>100000</v>
      </c>
      <c r="J133" s="57" t="n"/>
      <c r="K133" s="58" t="n">
        <v>1</v>
      </c>
      <c r="L133" s="57" t="n">
        <v>100000</v>
      </c>
      <c r="M133" s="57" t="n"/>
      <c r="N133" s="59" t="inlineStr">
        <is>
          <t>Внутренний перевод</t>
        </is>
      </c>
      <c r="O133" s="55" t="inlineStr">
        <is>
          <t>Технические</t>
        </is>
      </c>
      <c r="P133" s="55" t="inlineStr">
        <is>
          <t>Перевод между своими счетами</t>
        </is>
      </c>
      <c r="Q133" s="55" t="inlineStr"/>
    </row>
    <row r="134">
      <c r="A134" s="55" t="inlineStr">
        <is>
          <t>14.07.2026</t>
        </is>
      </c>
      <c r="B134" s="55" t="inlineStr">
        <is>
          <t>ЦентрКредит</t>
        </is>
      </c>
      <c r="C134" s="55" t="inlineStr">
        <is>
          <t>KZT</t>
        </is>
      </c>
      <c r="D134" s="55" t="inlineStr">
        <is>
          <t>2401</t>
        </is>
      </c>
      <c r="E134" s="55" t="inlineStr">
        <is>
          <t>Товарищество с ограниченной ответственностью "ТОР Арыс"</t>
        </is>
      </c>
      <c r="F134" s="55" t="inlineStr">
        <is>
          <t>190540033000</t>
        </is>
      </c>
      <c r="G134" s="55" t="inlineStr">
        <is>
          <t>822</t>
        </is>
      </c>
      <c r="H134" s="56" t="inlineStr">
        <is>
          <t>Счет на оплату № 303 от 01.07.2026 г. Тек ремонт грузового вагона №28850535, средний ремонт колесных пар</t>
        </is>
      </c>
      <c r="I134" s="57" t="n">
        <v>325440</v>
      </c>
      <c r="J134" s="57" t="n"/>
      <c r="K134" s="58" t="n">
        <v>1</v>
      </c>
      <c r="L134" s="57" t="n">
        <v>325440</v>
      </c>
      <c r="M134" s="57" t="n"/>
      <c r="N134" s="55" t="inlineStr">
        <is>
          <t>Внешняя операция</t>
        </is>
      </c>
      <c r="O134" s="55" t="inlineStr">
        <is>
          <t>Себестоимость</t>
        </is>
      </c>
      <c r="P134" s="55" t="inlineStr">
        <is>
          <t>Аренда/предоставление вагонов</t>
        </is>
      </c>
      <c r="Q134" s="55" t="inlineStr">
        <is>
          <t>ТОО "ТОР Арыс"</t>
        </is>
      </c>
    </row>
    <row r="135">
      <c r="A135" s="55" t="inlineStr">
        <is>
          <t>14.07.2026</t>
        </is>
      </c>
      <c r="B135" s="55" t="inlineStr">
        <is>
          <t>ЦентрКредит</t>
        </is>
      </c>
      <c r="C135" s="55" t="inlineStr">
        <is>
          <t>KZT</t>
        </is>
      </c>
      <c r="D135" s="55" t="inlineStr">
        <is>
          <t>2401</t>
        </is>
      </c>
      <c r="E135" s="55" t="inlineStr">
        <is>
          <t>Товарищество с ограниченной ответственностью "Нұр-Альфинур"</t>
        </is>
      </c>
      <c r="F135" s="55" t="inlineStr">
        <is>
          <t>111240015961</t>
        </is>
      </c>
      <c r="G135" s="55" t="inlineStr">
        <is>
          <t>822</t>
        </is>
      </c>
      <c r="H135" s="56" t="inlineStr">
        <is>
          <t>Счет на оплату № 1000000125 от 10.07.2026 г. Средний ремонт колесной пары с обточкой</t>
        </is>
      </c>
      <c r="I135" s="57" t="n">
        <v>581748</v>
      </c>
      <c r="J135" s="57" t="n"/>
      <c r="K135" s="58" t="n">
        <v>1</v>
      </c>
      <c r="L135" s="57" t="n">
        <v>581748</v>
      </c>
      <c r="M135" s="57" t="n"/>
      <c r="N135" s="55" t="inlineStr">
        <is>
          <t>Внешняя операция</t>
        </is>
      </c>
      <c r="O135" s="55" t="inlineStr">
        <is>
          <t>Себестоимость</t>
        </is>
      </c>
      <c r="P135" s="55" t="inlineStr">
        <is>
          <t>Ремонт вагонов и узлов</t>
        </is>
      </c>
      <c r="Q135" s="55" t="inlineStr">
        <is>
          <t>ТОО "Нұр-Альфинур"</t>
        </is>
      </c>
    </row>
    <row r="136">
      <c r="A136" s="55" t="inlineStr">
        <is>
          <t>14.07.2026</t>
        </is>
      </c>
      <c r="B136" s="55" t="inlineStr">
        <is>
          <t>ЦентрКредит</t>
        </is>
      </c>
      <c r="C136" s="55" t="inlineStr">
        <is>
          <t>KZT</t>
        </is>
      </c>
      <c r="D136" s="55" t="inlineStr">
        <is>
          <t>2401</t>
        </is>
      </c>
      <c r="E136" s="55" t="inlineStr">
        <is>
          <t>Товарищество с ограниченной ответственностью "WayStar Group"</t>
        </is>
      </c>
      <c r="F136" s="55" t="inlineStr">
        <is>
          <t>240340014287</t>
        </is>
      </c>
      <c r="G136" s="55" t="inlineStr">
        <is>
          <t>312</t>
        </is>
      </c>
      <c r="H136" s="56" t="inlineStr">
        <is>
          <t>Размещение вклада</t>
        </is>
      </c>
      <c r="I136" s="57" t="n">
        <v>110802931.26</v>
      </c>
      <c r="J136" s="57" t="n"/>
      <c r="K136" s="58" t="n">
        <v>1</v>
      </c>
      <c r="L136" s="57" t="n">
        <v>110802931.26</v>
      </c>
      <c r="M136" s="57" t="n"/>
      <c r="N136" s="59" t="inlineStr">
        <is>
          <t>Внутренний перевод</t>
        </is>
      </c>
      <c r="O136" s="55" t="inlineStr">
        <is>
          <t>Технические</t>
        </is>
      </c>
      <c r="P136" s="55" t="inlineStr">
        <is>
          <t>Перевод между своими счетами</t>
        </is>
      </c>
      <c r="Q136" s="55" t="inlineStr"/>
    </row>
    <row r="137">
      <c r="A137" s="55" t="inlineStr">
        <is>
          <t>14.07.2026</t>
        </is>
      </c>
      <c r="B137" s="55" t="inlineStr">
        <is>
          <t>ЦентрКредит</t>
        </is>
      </c>
      <c r="C137" s="55" t="inlineStr">
        <is>
          <t>KZT</t>
        </is>
      </c>
      <c r="D137" s="55" t="inlineStr">
        <is>
          <t>2401</t>
        </is>
      </c>
      <c r="E137" s="55" t="inlineStr">
        <is>
          <t>Товарищество с ограниченной ответственностью "WayStar Group"</t>
        </is>
      </c>
      <c r="F137" s="55" t="inlineStr">
        <is>
          <t>240340014287</t>
        </is>
      </c>
      <c r="G137" s="55" t="inlineStr">
        <is>
          <t>316</t>
        </is>
      </c>
      <c r="H137" s="56" t="inlineStr">
        <is>
          <t>Выплата начисленного вознаграждения по депозитному договору № 01607034 от 24.07.2025 за период с 13.07.26 по 13.07.26. Вкладчик Товарищество с ограниченной ответственностью "WayStar Group".</t>
        </is>
      </c>
      <c r="I137" s="57" t="n"/>
      <c r="J137" s="57" t="n">
        <v>36895.96</v>
      </c>
      <c r="K137" s="58" t="n">
        <v>1</v>
      </c>
      <c r="L137" s="57" t="n"/>
      <c r="M137" s="57" t="n">
        <v>36895.96</v>
      </c>
      <c r="N137" s="59" t="inlineStr">
        <is>
          <t>Внутренний перевод</t>
        </is>
      </c>
      <c r="O137" s="55" t="inlineStr">
        <is>
          <t>Технические</t>
        </is>
      </c>
      <c r="P137" s="55" t="inlineStr">
        <is>
          <t>Перевод между своими счетами</t>
        </is>
      </c>
      <c r="Q137" s="55" t="inlineStr"/>
    </row>
    <row r="138">
      <c r="A138" s="55" t="inlineStr">
        <is>
          <t>14.07.2026</t>
        </is>
      </c>
      <c r="B138" s="55" t="inlineStr">
        <is>
          <t>ЦентрКредит</t>
        </is>
      </c>
      <c r="C138" s="55" t="inlineStr">
        <is>
          <t>KZT</t>
        </is>
      </c>
      <c r="D138" s="55" t="inlineStr">
        <is>
          <t>2401</t>
        </is>
      </c>
      <c r="E138" s="55" t="inlineStr">
        <is>
          <t>ТОО Rhenus Intermodal Systems</t>
        </is>
      </c>
      <c r="F138" s="55" t="inlineStr">
        <is>
          <t>081040014452</t>
        </is>
      </c>
      <c r="G138" s="55" t="inlineStr">
        <is>
          <t>814</t>
        </is>
      </c>
      <c r="H138" s="56" t="inlineStr">
        <is>
          <t>оплата эсф 183 от 30.06.26 оперирование ПС Платежи за услуги иного сухопутного транспорта,</t>
        </is>
      </c>
      <c r="I138" s="57" t="n"/>
      <c r="J138" s="57" t="n">
        <v>911375</v>
      </c>
      <c r="K138" s="58" t="n">
        <v>1</v>
      </c>
      <c r="L138" s="57" t="n"/>
      <c r="M138" s="57" t="n">
        <v>911375</v>
      </c>
      <c r="N138" s="55" t="inlineStr">
        <is>
          <t>Внешняя операция</t>
        </is>
      </c>
      <c r="O138" s="55" t="inlineStr">
        <is>
          <t>Выручка</t>
        </is>
      </c>
      <c r="P138" s="55" t="inlineStr">
        <is>
          <t>Операционная выручка (ТЭО, вагоны)</t>
        </is>
      </c>
      <c r="Q138" s="55" t="inlineStr">
        <is>
          <t>ТОО Rhenus Intermodal Systems</t>
        </is>
      </c>
    </row>
    <row r="139">
      <c r="A139" s="55" t="inlineStr">
        <is>
          <t>14.07.2026</t>
        </is>
      </c>
      <c r="B139" s="55" t="inlineStr">
        <is>
          <t>ЦентрКредит</t>
        </is>
      </c>
      <c r="C139" s="55" t="inlineStr">
        <is>
          <t>KZT</t>
        </is>
      </c>
      <c r="D139" s="55" t="inlineStr">
        <is>
          <t>2401</t>
        </is>
      </c>
      <c r="E139" s="55" t="inlineStr">
        <is>
          <t>ТОО «Atasu Global Trans»</t>
        </is>
      </c>
      <c r="F139" s="55" t="inlineStr">
        <is>
          <t>190140030884</t>
        </is>
      </c>
      <c r="G139" s="55" t="inlineStr">
        <is>
          <t>813</t>
        </is>
      </c>
      <c r="H139" s="56" t="inlineStr">
        <is>
          <t>За услуги. по счету №163 от 26.06.2026 за жд.услуги</t>
        </is>
      </c>
      <c r="I139" s="57" t="n"/>
      <c r="J139" s="57" t="n">
        <v>1782750</v>
      </c>
      <c r="K139" s="58" t="n">
        <v>1</v>
      </c>
      <c r="L139" s="57" t="n"/>
      <c r="M139" s="57" t="n">
        <v>1782750</v>
      </c>
      <c r="N139" s="55" t="inlineStr">
        <is>
          <t>Внешняя операция</t>
        </is>
      </c>
      <c r="O139" s="55" t="inlineStr">
        <is>
          <t>Выручка</t>
        </is>
      </c>
      <c r="P139" s="55" t="inlineStr">
        <is>
          <t>Операционная выручка (ТЭО, вагоны)</t>
        </is>
      </c>
      <c r="Q139" s="55" t="inlineStr">
        <is>
          <t>ТОО «Atasu Global Trans»</t>
        </is>
      </c>
    </row>
    <row r="140">
      <c r="A140" s="55" t="inlineStr">
        <is>
          <t>14.07.2026</t>
        </is>
      </c>
      <c r="B140" s="55" t="inlineStr">
        <is>
          <t>ЦентрКредит</t>
        </is>
      </c>
      <c r="C140" s="55" t="inlineStr">
        <is>
          <t>KZT</t>
        </is>
      </c>
      <c r="D140" s="55" t="inlineStr">
        <is>
          <t>2401</t>
        </is>
      </c>
      <c r="E140" s="55" t="inlineStr">
        <is>
          <t>Товарищество с ограниченной ответственностью "WayStar Group"</t>
        </is>
      </c>
      <c r="F140" s="55" t="inlineStr">
        <is>
          <t>240340014287</t>
        </is>
      </c>
      <c r="G140" s="55" t="inlineStr">
        <is>
          <t>322</t>
        </is>
      </c>
      <c r="H140" s="56" t="inlineStr">
        <is>
          <t>Частичная выплата вклада по депозитному договору № 01607034 от 14.07.2026 в размере 109265919.07 согласно ДП. Вкладчик: Товарищество с ограниченной ответственностью "WayStar Group".</t>
        </is>
      </c>
      <c r="I140" s="57" t="n"/>
      <c r="J140" s="57" t="n">
        <v>109265919.07</v>
      </c>
      <c r="K140" s="58" t="n">
        <v>1</v>
      </c>
      <c r="L140" s="57" t="n"/>
      <c r="M140" s="57" t="n">
        <v>109265919.07</v>
      </c>
      <c r="N140" s="59" t="inlineStr">
        <is>
          <t>Внутренний перевод</t>
        </is>
      </c>
      <c r="O140" s="55" t="inlineStr">
        <is>
          <t>Технические</t>
        </is>
      </c>
      <c r="P140" s="55" t="inlineStr">
        <is>
          <t>Перевод между своими счетами</t>
        </is>
      </c>
      <c r="Q140" s="55" t="inlineStr"/>
    </row>
    <row r="141">
      <c r="A141" s="55" t="inlineStr">
        <is>
          <t>15.07.2026</t>
        </is>
      </c>
      <c r="B141" s="55" t="inlineStr">
        <is>
          <t>ЦентрКредит</t>
        </is>
      </c>
      <c r="C141" s="55" t="inlineStr">
        <is>
          <t>KZT</t>
        </is>
      </c>
      <c r="D141" s="55" t="inlineStr">
        <is>
          <t>2401</t>
        </is>
      </c>
      <c r="E141" s="55" t="inlineStr">
        <is>
          <t>Банк ЦентрКредит для ЗП</t>
        </is>
      </c>
      <c r="F141" s="55" t="inlineStr">
        <is>
          <t>980640000093</t>
        </is>
      </c>
      <c r="G141" s="55" t="inlineStr">
        <is>
          <t>332</t>
        </is>
      </c>
      <c r="H141" s="56" t="inlineStr">
        <is>
          <t>Для зачисления на картсчета сотрудникам согласно спискам 105 847-00 теңге.</t>
        </is>
      </c>
      <c r="I141" s="57" t="n">
        <v>105847</v>
      </c>
      <c r="J141" s="57" t="n"/>
      <c r="K141" s="58" t="n">
        <v>1</v>
      </c>
      <c r="L141" s="57" t="n">
        <v>105847</v>
      </c>
      <c r="M141" s="57" t="n"/>
      <c r="N141" s="55" t="inlineStr">
        <is>
          <t>Внешняя операция</t>
        </is>
      </c>
      <c r="O141" s="55" t="inlineStr">
        <is>
          <t>ФОТ</t>
        </is>
      </c>
      <c r="P141" s="55" t="inlineStr">
        <is>
          <t>Зарплата</t>
        </is>
      </c>
      <c r="Q141" s="55" t="inlineStr">
        <is>
          <t>Банк ЦентрКредит для ЗП</t>
        </is>
      </c>
    </row>
    <row r="142">
      <c r="A142" s="55" t="inlineStr">
        <is>
          <t>15.07.2026</t>
        </is>
      </c>
      <c r="B142" s="55" t="inlineStr">
        <is>
          <t>ЦентрКредит</t>
        </is>
      </c>
      <c r="C142" s="55" t="inlineStr">
        <is>
          <t>KZT</t>
        </is>
      </c>
      <c r="D142" s="55" t="inlineStr">
        <is>
          <t>2401</t>
        </is>
      </c>
      <c r="E142" s="55" t="inlineStr">
        <is>
          <t>Товарищество с ограниченной ответственностью "Shiny river"</t>
        </is>
      </c>
      <c r="F142" s="55" t="inlineStr">
        <is>
          <t>251240008624</t>
        </is>
      </c>
      <c r="G142" s="55" t="inlineStr">
        <is>
          <t>872</t>
        </is>
      </c>
      <c r="H142" s="56" t="inlineStr">
        <is>
          <t>счет на оплату № 763 от 14.07.2026 г. ПроживаниеСумма 250 000-00 теңге без НДС</t>
        </is>
      </c>
      <c r="I142" s="57" t="n">
        <v>250000</v>
      </c>
      <c r="J142" s="57" t="n"/>
      <c r="K142" s="58" t="n">
        <v>1</v>
      </c>
      <c r="L142" s="57" t="n">
        <v>250000</v>
      </c>
      <c r="M142" s="57" t="n"/>
      <c r="N142" s="55" t="inlineStr">
        <is>
          <t>Внешняя операция</t>
        </is>
      </c>
      <c r="O142" s="55" t="inlineStr">
        <is>
          <t>ФОТ</t>
        </is>
      </c>
      <c r="P142" s="55" t="inlineStr">
        <is>
          <t>Командировки и подотчёт</t>
        </is>
      </c>
      <c r="Q142" s="55" t="inlineStr">
        <is>
          <t>ТОО "Shiny river"</t>
        </is>
      </c>
    </row>
    <row r="143">
      <c r="A143" s="55" t="inlineStr">
        <is>
          <t>15.07.2026</t>
        </is>
      </c>
      <c r="B143" s="55" t="inlineStr">
        <is>
          <t>ЦентрКредит</t>
        </is>
      </c>
      <c r="C143" s="55" t="inlineStr">
        <is>
          <t>KZT</t>
        </is>
      </c>
      <c r="D143" s="55" t="inlineStr">
        <is>
          <t>2401</t>
        </is>
      </c>
      <c r="E143" s="55" t="inlineStr">
        <is>
          <t>ТОО КТЖ-Грузовые перевозки</t>
        </is>
      </c>
      <c r="F143" s="55" t="inlineStr">
        <is>
          <t>031040001799</t>
        </is>
      </c>
      <c r="G143" s="55" t="inlineStr">
        <is>
          <t>813</t>
        </is>
      </c>
      <c r="H143" s="56" t="inlineStr">
        <is>
          <t>Без НДС, 4185494, Платежи за услуги железнодорожного транспорта</t>
        </is>
      </c>
      <c r="I143" s="57" t="n">
        <v>10000000</v>
      </c>
      <c r="J143" s="57" t="n"/>
      <c r="K143" s="58" t="n">
        <v>1</v>
      </c>
      <c r="L143" s="57" t="n">
        <v>10000000</v>
      </c>
      <c r="M143" s="57" t="n"/>
      <c r="N143" s="55" t="inlineStr">
        <is>
          <t>Внешняя операция</t>
        </is>
      </c>
      <c r="O143" s="55" t="inlineStr">
        <is>
          <t>Себестоимость</t>
        </is>
      </c>
      <c r="P143" s="55" t="inlineStr">
        <is>
          <t>Тариф КТЖ (ж/д перевозки)</t>
        </is>
      </c>
      <c r="Q143" s="55" t="inlineStr">
        <is>
          <t>ТОО «КТЖ-Грузовые перевозки»</t>
        </is>
      </c>
    </row>
    <row r="144">
      <c r="A144" s="55" t="inlineStr">
        <is>
          <t>15.07.2026</t>
        </is>
      </c>
      <c r="B144" s="55" t="inlineStr">
        <is>
          <t>ЦентрКредит</t>
        </is>
      </c>
      <c r="C144" s="55" t="inlineStr">
        <is>
          <t>KZT</t>
        </is>
      </c>
      <c r="D144" s="55" t="inlineStr">
        <is>
          <t>2401</t>
        </is>
      </c>
      <c r="E144" s="55" t="inlineStr">
        <is>
          <t>КТТ (ҚАЗТЕМІРТРАНС) АО</t>
        </is>
      </c>
      <c r="F144" s="55" t="inlineStr">
        <is>
          <t>031040000572</t>
        </is>
      </c>
      <c r="G144" s="55" t="inlineStr">
        <is>
          <t>813</t>
        </is>
      </c>
      <c r="H144" s="56" t="inlineStr">
        <is>
          <t>К-212950/26 от 13.07.2026 по Договору № 20-02-2026/14989-НПрк от 20 февраля 2026 от 20.02.2026</t>
        </is>
      </c>
      <c r="I144" s="57" t="n">
        <v>11391492</v>
      </c>
      <c r="J144" s="57" t="n"/>
      <c r="K144" s="58" t="n">
        <v>1</v>
      </c>
      <c r="L144" s="57" t="n">
        <v>11391492</v>
      </c>
      <c r="M144" s="57" t="n"/>
      <c r="N144" s="55" t="inlineStr">
        <is>
          <t>Внешняя операция</t>
        </is>
      </c>
      <c r="O144" s="55" t="inlineStr">
        <is>
          <t>Себестоимость</t>
        </is>
      </c>
      <c r="P144" s="55" t="inlineStr">
        <is>
          <t>Операторы вагонов (КТТ и др.)</t>
        </is>
      </c>
      <c r="Q144" s="55" t="inlineStr">
        <is>
          <t>АО «КазТемирТранс» (КТТ)</t>
        </is>
      </c>
    </row>
    <row r="145">
      <c r="A145" s="55" t="inlineStr">
        <is>
          <t>15.07.2026</t>
        </is>
      </c>
      <c r="B145" s="55" t="inlineStr">
        <is>
          <t>ЦентрКредит</t>
        </is>
      </c>
      <c r="C145" s="55" t="inlineStr">
        <is>
          <t>KZT</t>
        </is>
      </c>
      <c r="D145" s="55" t="inlineStr">
        <is>
          <t>2401</t>
        </is>
      </c>
      <c r="E145" s="55" t="inlineStr">
        <is>
          <t>Товарищество с ограниченной ответственностью "WayStar Group"</t>
        </is>
      </c>
      <c r="F145" s="55" t="inlineStr">
        <is>
          <t>240340014287</t>
        </is>
      </c>
      <c r="G145" s="55" t="inlineStr">
        <is>
          <t>312</t>
        </is>
      </c>
      <c r="H145" s="56" t="inlineStr">
        <is>
          <t>Размещение вклада</t>
        </is>
      </c>
      <c r="I145" s="57" t="n">
        <v>89198854.22</v>
      </c>
      <c r="J145" s="57" t="n"/>
      <c r="K145" s="58" t="n">
        <v>1</v>
      </c>
      <c r="L145" s="57" t="n">
        <v>89198854.22</v>
      </c>
      <c r="M145" s="57" t="n"/>
      <c r="N145" s="59" t="inlineStr">
        <is>
          <t>Внутренний перевод</t>
        </is>
      </c>
      <c r="O145" s="55" t="inlineStr">
        <is>
          <t>Технические</t>
        </is>
      </c>
      <c r="P145" s="55" t="inlineStr">
        <is>
          <t>Перевод между своими счетами</t>
        </is>
      </c>
      <c r="Q145" s="55" t="inlineStr"/>
    </row>
    <row r="146">
      <c r="A146" s="55" t="inlineStr">
        <is>
          <t>15.07.2026</t>
        </is>
      </c>
      <c r="B146" s="55" t="inlineStr">
        <is>
          <t>ЦентрКредит</t>
        </is>
      </c>
      <c r="C146" s="55" t="inlineStr">
        <is>
          <t>KZT</t>
        </is>
      </c>
      <c r="D146" s="55" t="inlineStr">
        <is>
          <t>2401</t>
        </is>
      </c>
      <c r="E146" s="55" t="inlineStr">
        <is>
          <t>Товарищество с ограниченной ответственностью "WayStar Group"</t>
        </is>
      </c>
      <c r="F146" s="55" t="inlineStr">
        <is>
          <t>240340014287</t>
        </is>
      </c>
      <c r="G146" s="55" t="inlineStr">
        <is>
          <t>316</t>
        </is>
      </c>
      <c r="H146" s="56" t="inlineStr">
        <is>
          <t>Выплата начисленного вознаграждения по депозитному договору № 01607034 от 24.07.2025 за период с 14.07.26 по 14.07.26. Вкладчик Товарищество с ограниченной ответственностью "WayStar Group".</t>
        </is>
      </c>
      <c r="I146" s="57" t="n"/>
      <c r="J146" s="57" t="n">
        <v>37414.96</v>
      </c>
      <c r="K146" s="58" t="n">
        <v>1</v>
      </c>
      <c r="L146" s="57" t="n"/>
      <c r="M146" s="57" t="n">
        <v>37414.96</v>
      </c>
      <c r="N146" s="59" t="inlineStr">
        <is>
          <t>Внутренний перевод</t>
        </is>
      </c>
      <c r="O146" s="55" t="inlineStr">
        <is>
          <t>Технические</t>
        </is>
      </c>
      <c r="P146" s="55" t="inlineStr">
        <is>
          <t>Перевод между своими счетами</t>
        </is>
      </c>
      <c r="Q146" s="55" t="inlineStr"/>
    </row>
    <row r="147">
      <c r="A147" s="55" t="inlineStr">
        <is>
          <t>15.07.2026</t>
        </is>
      </c>
      <c r="B147" s="55" t="inlineStr">
        <is>
          <t>ЦентрКредит</t>
        </is>
      </c>
      <c r="C147" s="55" t="inlineStr">
        <is>
          <t>KZT</t>
        </is>
      </c>
      <c r="D147" s="55" t="inlineStr">
        <is>
          <t>2401</t>
        </is>
      </c>
      <c r="E147" s="55" t="inlineStr">
        <is>
          <t>ТОО "WayStar Group"</t>
        </is>
      </c>
      <c r="F147" s="55" t="inlineStr">
        <is>
          <t>240340014287</t>
        </is>
      </c>
      <c r="G147" s="55" t="inlineStr">
        <is>
          <t>322</t>
        </is>
      </c>
      <c r="H147" s="56" t="inlineStr">
        <is>
          <t>Без НДС. Снятие с краткосрочного вклада (не более одного года)</t>
        </is>
      </c>
      <c r="I147" s="57" t="n"/>
      <c r="J147" s="57" t="n">
        <v>105847</v>
      </c>
      <c r="K147" s="58" t="n">
        <v>1</v>
      </c>
      <c r="L147" s="57" t="n"/>
      <c r="M147" s="57" t="n">
        <v>105847</v>
      </c>
      <c r="N147" s="59" t="inlineStr">
        <is>
          <t>Внутренний перевод</t>
        </is>
      </c>
      <c r="O147" s="55" t="inlineStr">
        <is>
          <t>Технические</t>
        </is>
      </c>
      <c r="P147" s="55" t="inlineStr">
        <is>
          <t>Перевод между своими счетами</t>
        </is>
      </c>
      <c r="Q147" s="55" t="inlineStr"/>
    </row>
    <row r="148">
      <c r="A148" s="55" t="inlineStr">
        <is>
          <t>15.07.2026</t>
        </is>
      </c>
      <c r="B148" s="55" t="inlineStr">
        <is>
          <t>ЦентрКредит</t>
        </is>
      </c>
      <c r="C148" s="55" t="inlineStr">
        <is>
          <t>KZT</t>
        </is>
      </c>
      <c r="D148" s="55" t="inlineStr">
        <is>
          <t>2401</t>
        </is>
      </c>
      <c r="E148" s="55" t="inlineStr">
        <is>
          <t>Товарищество с ограниченной ответственностью "WayStar Group"</t>
        </is>
      </c>
      <c r="F148" s="55" t="inlineStr">
        <is>
          <t>240340014287</t>
        </is>
      </c>
      <c r="G148" s="55" t="inlineStr">
        <is>
          <t>322</t>
        </is>
      </c>
      <c r="H148" s="56" t="inlineStr">
        <is>
          <t>Частичная выплата вклада по депозитному договору № 01607034 от 15.07.2026 в размере 110802931.26 согласно ДП. Вкладчик: Товарищество с ограниченной ответственностью "WayStar Group".</t>
        </is>
      </c>
      <c r="I148" s="57" t="n"/>
      <c r="J148" s="57" t="n">
        <v>110802931.26</v>
      </c>
      <c r="K148" s="58" t="n">
        <v>1</v>
      </c>
      <c r="L148" s="57" t="n"/>
      <c r="M148" s="57" t="n">
        <v>110802931.26</v>
      </c>
      <c r="N148" s="59" t="inlineStr">
        <is>
          <t>Внутренний перевод</t>
        </is>
      </c>
      <c r="O148" s="55" t="inlineStr">
        <is>
          <t>Технические</t>
        </is>
      </c>
      <c r="P148" s="55" t="inlineStr">
        <is>
          <t>Перевод между своими счетами</t>
        </is>
      </c>
      <c r="Q148" s="55" t="inlineStr"/>
    </row>
    <row r="149">
      <c r="A149" s="55" t="inlineStr">
        <is>
          <t>16.07.2026</t>
        </is>
      </c>
      <c r="B149" s="55" t="inlineStr">
        <is>
          <t>ЦентрКредит</t>
        </is>
      </c>
      <c r="C149" s="55" t="inlineStr">
        <is>
          <t>KZT</t>
        </is>
      </c>
      <c r="D149" s="55" t="inlineStr">
        <is>
          <t>2401</t>
        </is>
      </c>
      <c r="E149" s="55" t="inlineStr">
        <is>
          <t>Акционерное Общество "Банк ЦентрКредит"</t>
        </is>
      </c>
      <c r="F149" s="55" t="inlineStr">
        <is>
          <t>980741000260</t>
        </is>
      </c>
      <c r="G149" s="55" t="inlineStr">
        <is>
          <t>841</t>
        </is>
      </c>
      <c r="H149" s="56" t="inlineStr">
        <is>
          <t>Интернет-банкинг. MIP. Международные платежи. Перевод OUR, кроме валют стран СНГ с 9:00  до 13:00. Расчетный документ № 2 от 16.07.26 на сумму 110 000.00 USD, в т.ч. НДС 16%</t>
        </is>
      </c>
      <c r="I149" s="57" t="n">
        <v>100000</v>
      </c>
      <c r="J149" s="57" t="n"/>
      <c r="K149" s="58" t="n">
        <v>1</v>
      </c>
      <c r="L149" s="57" t="n">
        <v>100000</v>
      </c>
      <c r="M149" s="57" t="n"/>
      <c r="N149" s="55" t="inlineStr">
        <is>
          <t>Внешняя операция</t>
        </is>
      </c>
      <c r="O149" s="55" t="inlineStr">
        <is>
          <t>Финансовые</t>
        </is>
      </c>
      <c r="P149" s="55" t="inlineStr">
        <is>
          <t>Банковские комиссии</t>
        </is>
      </c>
      <c r="Q149" s="55" t="inlineStr">
        <is>
          <t>Акционерное Общество "Банк ЦентрКредит"</t>
        </is>
      </c>
    </row>
    <row r="150">
      <c r="A150" s="55" t="inlineStr">
        <is>
          <t>16.07.2026</t>
        </is>
      </c>
      <c r="B150" s="55" t="inlineStr">
        <is>
          <t>ЦентрКредит</t>
        </is>
      </c>
      <c r="C150" s="55" t="inlineStr">
        <is>
          <t>KZT</t>
        </is>
      </c>
      <c r="D150" s="55" t="inlineStr">
        <is>
          <t>2401</t>
        </is>
      </c>
      <c r="E150" s="55" t="inlineStr">
        <is>
          <t>Акционерное общество "Банк "Bank RBK"</t>
        </is>
      </c>
      <c r="F150" s="55" t="inlineStr">
        <is>
          <t>920440001102</t>
        </is>
      </c>
      <c r="G150" s="55" t="inlineStr">
        <is>
          <t>332</t>
        </is>
      </c>
      <c r="H150" s="56" t="inlineStr">
        <is>
          <t>Для зачисления на картсчета сотрудникам согласно спискам 1 500 000-00 теңге.</t>
        </is>
      </c>
      <c r="I150" s="57" t="n">
        <v>1500000</v>
      </c>
      <c r="J150" s="57" t="n"/>
      <c r="K150" s="58" t="n">
        <v>1</v>
      </c>
      <c r="L150" s="57" t="n">
        <v>1500000</v>
      </c>
      <c r="M150" s="57" t="n"/>
      <c r="N150" s="55" t="inlineStr">
        <is>
          <t>Внешняя операция</t>
        </is>
      </c>
      <c r="O150" s="55" t="inlineStr">
        <is>
          <t>ФОТ</t>
        </is>
      </c>
      <c r="P150" s="55" t="inlineStr">
        <is>
          <t>Зарплата</t>
        </is>
      </c>
      <c r="Q150" s="55" t="inlineStr">
        <is>
          <t>Акционерное общество "Банк "Bank RBK"</t>
        </is>
      </c>
    </row>
    <row r="151">
      <c r="A151" s="55" t="inlineStr">
        <is>
          <t>16.07.2026</t>
        </is>
      </c>
      <c r="B151" s="55" t="inlineStr">
        <is>
          <t>ЦентрКредит</t>
        </is>
      </c>
      <c r="C151" s="55" t="inlineStr">
        <is>
          <t>KZT</t>
        </is>
      </c>
      <c r="D151" s="55" t="inlineStr">
        <is>
          <t>2401</t>
        </is>
      </c>
      <c r="E151" s="55" t="inlineStr">
        <is>
          <t>Акционерное общество "Банк "Bank RBK"</t>
        </is>
      </c>
      <c r="F151" s="55" t="inlineStr">
        <is>
          <t>920440001102</t>
        </is>
      </c>
      <c r="G151" s="55" t="inlineStr">
        <is>
          <t>332</t>
        </is>
      </c>
      <c r="H151" s="56" t="inlineStr">
        <is>
          <t>Для зачисления на картсчета сотрудникам согласно спискам 2 000 000-00 теңге.</t>
        </is>
      </c>
      <c r="I151" s="57" t="n">
        <v>2000000</v>
      </c>
      <c r="J151" s="57" t="n"/>
      <c r="K151" s="58" t="n">
        <v>1</v>
      </c>
      <c r="L151" s="57" t="n">
        <v>2000000</v>
      </c>
      <c r="M151" s="57" t="n"/>
      <c r="N151" s="55" t="inlineStr">
        <is>
          <t>Внешняя операция</t>
        </is>
      </c>
      <c r="O151" s="55" t="inlineStr">
        <is>
          <t>ФОТ</t>
        </is>
      </c>
      <c r="P151" s="55" t="inlineStr">
        <is>
          <t>Зарплата</t>
        </is>
      </c>
      <c r="Q151" s="55" t="inlineStr">
        <is>
          <t>Акционерное общество "Банк "Bank RBK"</t>
        </is>
      </c>
    </row>
    <row r="152">
      <c r="A152" s="55" t="inlineStr">
        <is>
          <t>16.07.2026</t>
        </is>
      </c>
      <c r="B152" s="55" t="inlineStr">
        <is>
          <t>ЦентрКредит</t>
        </is>
      </c>
      <c r="C152" s="55" t="inlineStr">
        <is>
          <t>KZT</t>
        </is>
      </c>
      <c r="D152" s="55" t="inlineStr">
        <is>
          <t>2401</t>
        </is>
      </c>
      <c r="E152" s="55" t="inlineStr">
        <is>
          <t>Товарищество с ограниченной ответственностью "WayStar Group"</t>
        </is>
      </c>
      <c r="F152" s="55" t="inlineStr">
        <is>
          <t>240340014287</t>
        </is>
      </c>
      <c r="G152" s="55" t="inlineStr">
        <is>
          <t>312</t>
        </is>
      </c>
      <c r="H152" s="56" t="inlineStr">
        <is>
          <t>Размещение вклада</t>
        </is>
      </c>
      <c r="I152" s="57" t="n">
        <v>5423800</v>
      </c>
      <c r="J152" s="57" t="n"/>
      <c r="K152" s="58" t="n">
        <v>1</v>
      </c>
      <c r="L152" s="57" t="n">
        <v>5423800</v>
      </c>
      <c r="M152" s="57" t="n"/>
      <c r="N152" s="59" t="inlineStr">
        <is>
          <t>Внутренний перевод</t>
        </is>
      </c>
      <c r="O152" s="55" t="inlineStr">
        <is>
          <t>Технические</t>
        </is>
      </c>
      <c r="P152" s="55" t="inlineStr">
        <is>
          <t>Перевод между своими счетами</t>
        </is>
      </c>
      <c r="Q152" s="55" t="inlineStr"/>
    </row>
    <row r="153">
      <c r="A153" s="55" t="inlineStr">
        <is>
          <t>16.07.2026</t>
        </is>
      </c>
      <c r="B153" s="55" t="inlineStr">
        <is>
          <t>ЦентрКредит</t>
        </is>
      </c>
      <c r="C153" s="55" t="inlineStr">
        <is>
          <t>KZT</t>
        </is>
      </c>
      <c r="D153" s="55" t="inlineStr">
        <is>
          <t>2401</t>
        </is>
      </c>
      <c r="E153" s="55" t="inlineStr">
        <is>
          <t>Акционерное Общество "Банк ЦентрКредит"</t>
        </is>
      </c>
      <c r="F153" s="55" t="inlineStr">
        <is>
          <t>980640000093</t>
        </is>
      </c>
      <c r="G153" s="55" t="inlineStr">
        <is>
          <t>213</t>
        </is>
      </c>
      <c r="H153" s="56" t="inlineStr">
        <is>
          <t>Покупка иностранной валюты TOD (день в день), ТОО "WayStar Group", БИН 240340014287. Заявка №633135. Дата вал. 16.07.2026. Покупка USD, продажа KZT. Курс сделки 473.34. Учетный курс 469.71. Получение услуг</t>
        </is>
      </c>
      <c r="I153" s="57" t="n">
        <v>52067400</v>
      </c>
      <c r="J153" s="57" t="n"/>
      <c r="K153" s="58" t="n">
        <v>1</v>
      </c>
      <c r="L153" s="57" t="n">
        <v>52067400</v>
      </c>
      <c r="M153" s="57" t="n"/>
      <c r="N153" s="60" t="inlineStr">
        <is>
          <t>Конвертация валют</t>
        </is>
      </c>
      <c r="O153" s="55" t="inlineStr">
        <is>
          <t>Технические</t>
        </is>
      </c>
      <c r="P153" s="55" t="inlineStr">
        <is>
          <t>Покупка/продажа валюты</t>
        </is>
      </c>
      <c r="Q153" s="55" t="inlineStr"/>
    </row>
    <row r="154">
      <c r="A154" s="55" t="inlineStr">
        <is>
          <t>16.07.2026</t>
        </is>
      </c>
      <c r="B154" s="55" t="inlineStr">
        <is>
          <t>ЦентрКредит</t>
        </is>
      </c>
      <c r="C154" s="55" t="inlineStr">
        <is>
          <t>KZT</t>
        </is>
      </c>
      <c r="D154" s="55" t="inlineStr">
        <is>
          <t>2401</t>
        </is>
      </c>
      <c r="E154" s="55" t="inlineStr">
        <is>
          <t>Товарищество с ограниченной ответственностью "WayStar Group"</t>
        </is>
      </c>
      <c r="F154" s="55" t="inlineStr">
        <is>
          <t>240340014287</t>
        </is>
      </c>
      <c r="G154" s="55" t="inlineStr">
        <is>
          <t>312</t>
        </is>
      </c>
      <c r="H154" s="56" t="inlineStr">
        <is>
          <t>Размещение вклада</t>
        </is>
      </c>
      <c r="I154" s="57" t="n">
        <v>54455691.36</v>
      </c>
      <c r="J154" s="57" t="n"/>
      <c r="K154" s="58" t="n">
        <v>1</v>
      </c>
      <c r="L154" s="57" t="n">
        <v>54455691.36</v>
      </c>
      <c r="M154" s="57" t="n"/>
      <c r="N154" s="59" t="inlineStr">
        <is>
          <t>Внутренний перевод</t>
        </is>
      </c>
      <c r="O154" s="55" t="inlineStr">
        <is>
          <t>Технические</t>
        </is>
      </c>
      <c r="P154" s="55" t="inlineStr">
        <is>
          <t>Перевод между своими счетами</t>
        </is>
      </c>
      <c r="Q154" s="55" t="inlineStr"/>
    </row>
    <row r="155">
      <c r="A155" s="55" t="inlineStr">
        <is>
          <t>16.07.2026</t>
        </is>
      </c>
      <c r="B155" s="55" t="inlineStr">
        <is>
          <t>ЦентрКредит</t>
        </is>
      </c>
      <c r="C155" s="55" t="inlineStr">
        <is>
          <t>KZT</t>
        </is>
      </c>
      <c r="D155" s="55" t="inlineStr">
        <is>
          <t>2401</t>
        </is>
      </c>
      <c r="E155" s="55" t="inlineStr">
        <is>
          <t>Товарищество с ограниченной ответственностью "WayStar Group"</t>
        </is>
      </c>
      <c r="F155" s="55" t="inlineStr">
        <is>
          <t>240340014287</t>
        </is>
      </c>
      <c r="G155" s="55" t="inlineStr">
        <is>
          <t>316</t>
        </is>
      </c>
      <c r="H155" s="56" t="inlineStr">
        <is>
          <t>Выплата начисленного вознаграждения по депозитному договору № 01607034 от 24.07.2025 за период с 15.07.26 по 15.07.26. Вкладчик Товарищество с ограниченной ответственностью "WayStar Group".</t>
        </is>
      </c>
      <c r="I155" s="57" t="n"/>
      <c r="J155" s="57" t="n">
        <v>30084.14</v>
      </c>
      <c r="K155" s="58" t="n">
        <v>1</v>
      </c>
      <c r="L155" s="57" t="n"/>
      <c r="M155" s="57" t="n">
        <v>30084.14</v>
      </c>
      <c r="N155" s="59" t="inlineStr">
        <is>
          <t>Внутренний перевод</t>
        </is>
      </c>
      <c r="O155" s="55" t="inlineStr">
        <is>
          <t>Технические</t>
        </is>
      </c>
      <c r="P155" s="55" t="inlineStr">
        <is>
          <t>Перевод между своими счетами</t>
        </is>
      </c>
      <c r="Q155" s="55" t="inlineStr"/>
    </row>
    <row r="156">
      <c r="A156" s="55" t="inlineStr">
        <is>
          <t>16.07.2026</t>
        </is>
      </c>
      <c r="B156" s="55" t="inlineStr">
        <is>
          <t>ЦентрКредит</t>
        </is>
      </c>
      <c r="C156" s="55" t="inlineStr">
        <is>
          <t>KZT</t>
        </is>
      </c>
      <c r="D156" s="55" t="inlineStr">
        <is>
          <t>2401</t>
        </is>
      </c>
      <c r="E156" s="55" t="inlineStr">
        <is>
          <t>Товарищество с ограниченной ответственностью "Максат-2030"</t>
        </is>
      </c>
      <c r="F156" s="55" t="inlineStr">
        <is>
          <t>000340002422</t>
        </is>
      </c>
      <c r="G156" s="55" t="inlineStr">
        <is>
          <t>813</t>
        </is>
      </c>
      <c r="H156" s="56" t="inlineStr">
        <is>
          <t>Оплата за услуги по оперированию вагонов, контейнеров. ЭСФ №113 от 30.06.2026. Платежи за услуги железнодорожного транспорта</t>
        </is>
      </c>
      <c r="I156" s="57" t="n"/>
      <c r="J156" s="57" t="n">
        <v>846250</v>
      </c>
      <c r="K156" s="58" t="n">
        <v>1</v>
      </c>
      <c r="L156" s="57" t="n"/>
      <c r="M156" s="57" t="n">
        <v>846250</v>
      </c>
      <c r="N156" s="55" t="inlineStr">
        <is>
          <t>Внешняя операция</t>
        </is>
      </c>
      <c r="O156" s="55" t="inlineStr">
        <is>
          <t>Выручка</t>
        </is>
      </c>
      <c r="P156" s="55" t="inlineStr">
        <is>
          <t>Операционная выручка (ТЭО, вагоны)</t>
        </is>
      </c>
      <c r="Q156" s="55" t="inlineStr">
        <is>
          <t>ТОО "Максат-2030"</t>
        </is>
      </c>
    </row>
    <row r="157">
      <c r="A157" s="55" t="inlineStr">
        <is>
          <t>16.07.2026</t>
        </is>
      </c>
      <c r="B157" s="55" t="inlineStr">
        <is>
          <t>ЦентрКредит</t>
        </is>
      </c>
      <c r="C157" s="55" t="inlineStr">
        <is>
          <t>KZT</t>
        </is>
      </c>
      <c r="D157" s="55" t="inlineStr">
        <is>
          <t>2401</t>
        </is>
      </c>
      <c r="E157" s="55" t="inlineStr">
        <is>
          <t>ТОО WayStar Group</t>
        </is>
      </c>
      <c r="F157" s="55" t="inlineStr">
        <is>
          <t>240340014287</t>
        </is>
      </c>
      <c r="G157" s="55" t="inlineStr">
        <is>
          <t>343</t>
        </is>
      </c>
      <c r="H157" s="56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7" s="57" t="n"/>
      <c r="J157" s="57" t="n">
        <v>4577550</v>
      </c>
      <c r="K157" s="58" t="n">
        <v>1</v>
      </c>
      <c r="L157" s="57" t="n"/>
      <c r="M157" s="57" t="n">
        <v>4577550</v>
      </c>
      <c r="N157" s="59" t="inlineStr">
        <is>
          <t>Внутренний перевод</t>
        </is>
      </c>
      <c r="O157" s="55" t="inlineStr">
        <is>
          <t>Технические</t>
        </is>
      </c>
      <c r="P157" s="55" t="inlineStr">
        <is>
          <t>Перевод между своими счетами</t>
        </is>
      </c>
      <c r="Q157" s="55" t="inlineStr"/>
    </row>
    <row r="158">
      <c r="A158" s="55" t="inlineStr">
        <is>
          <t>16.07.2026</t>
        </is>
      </c>
      <c r="B158" s="55" t="inlineStr">
        <is>
          <t>ЦентрКредит</t>
        </is>
      </c>
      <c r="C158" s="55" t="inlineStr">
        <is>
          <t>KZT</t>
        </is>
      </c>
      <c r="D158" s="55" t="inlineStr">
        <is>
          <t>2401</t>
        </is>
      </c>
      <c r="E158" s="55" t="inlineStr">
        <is>
          <t>ТОО  "WayStar Group"</t>
        </is>
      </c>
      <c r="F158" s="55" t="inlineStr">
        <is>
          <t>240340014287</t>
        </is>
      </c>
      <c r="G158" s="55" t="inlineStr">
        <is>
          <t>343</t>
        </is>
      </c>
      <c r="H158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58" s="57" t="n"/>
      <c r="J158" s="57" t="n">
        <v>21000000</v>
      </c>
      <c r="K158" s="58" t="n">
        <v>1</v>
      </c>
      <c r="L158" s="57" t="n"/>
      <c r="M158" s="57" t="n">
        <v>21000000</v>
      </c>
      <c r="N158" s="59" t="inlineStr">
        <is>
          <t>Внутренний перевод</t>
        </is>
      </c>
      <c r="O158" s="55" t="inlineStr">
        <is>
          <t>Технические</t>
        </is>
      </c>
      <c r="P158" s="55" t="inlineStr">
        <is>
          <t>Перевод между своими счетами</t>
        </is>
      </c>
      <c r="Q158" s="55" t="inlineStr"/>
    </row>
    <row r="159">
      <c r="A159" s="55" t="inlineStr">
        <is>
          <t>16.07.2026</t>
        </is>
      </c>
      <c r="B159" s="55" t="inlineStr">
        <is>
          <t>ЦентрКредит</t>
        </is>
      </c>
      <c r="C159" s="55" t="inlineStr">
        <is>
          <t>KZT</t>
        </is>
      </c>
      <c r="D159" s="55" t="inlineStr">
        <is>
          <t>2401</t>
        </is>
      </c>
      <c r="E159" s="55" t="inlineStr">
        <is>
          <t>Товарищество с ограниченной ответственностью "WayStar Group"</t>
        </is>
      </c>
      <c r="F159" s="55" t="inlineStr">
        <is>
          <t>240340014287</t>
        </is>
      </c>
      <c r="G159" s="55" t="inlineStr">
        <is>
          <t>322</t>
        </is>
      </c>
      <c r="H159" s="56" t="inlineStr">
        <is>
          <t>Частичная выплата вклада по депозитному договору № 01607034 от 16.07.2026 в размере 89093007.22 согласно ДП. Вкладчик: Товарищество с ограниченной ответственностью "WayStar Group".</t>
        </is>
      </c>
      <c r="I159" s="57" t="n"/>
      <c r="J159" s="57" t="n">
        <v>89093007.22</v>
      </c>
      <c r="K159" s="58" t="n">
        <v>1</v>
      </c>
      <c r="L159" s="57" t="n"/>
      <c r="M159" s="57" t="n">
        <v>89093007.22</v>
      </c>
      <c r="N159" s="59" t="inlineStr">
        <is>
          <t>Внутренний перевод</t>
        </is>
      </c>
      <c r="O159" s="55" t="inlineStr">
        <is>
          <t>Технические</t>
        </is>
      </c>
      <c r="P159" s="55" t="inlineStr">
        <is>
          <t>Перевод между своими счетами</t>
        </is>
      </c>
      <c r="Q159" s="55" t="inlineStr"/>
    </row>
    <row r="160">
      <c r="A160" s="55" t="inlineStr">
        <is>
          <t>17.07.2026</t>
        </is>
      </c>
      <c r="B160" s="55" t="inlineStr">
        <is>
          <t>ЦентрКредит</t>
        </is>
      </c>
      <c r="C160" s="55" t="inlineStr">
        <is>
          <t>KZT</t>
        </is>
      </c>
      <c r="D160" s="55" t="inlineStr">
        <is>
          <t>2401</t>
        </is>
      </c>
      <c r="E160" s="55" t="inlineStr">
        <is>
          <t>Товарищество с ограниченной ответственностью "WayStar Group"</t>
        </is>
      </c>
      <c r="F160" s="55" t="inlineStr">
        <is>
          <t>240340014287</t>
        </is>
      </c>
      <c r="G160" s="55" t="inlineStr">
        <is>
          <t>343</t>
        </is>
      </c>
      <c r="H160" s="56" t="inlineStr">
        <is>
          <t>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0" s="57" t="n">
        <v>50000</v>
      </c>
      <c r="J160" s="57" t="n"/>
      <c r="K160" s="58" t="n">
        <v>1</v>
      </c>
      <c r="L160" s="57" t="n">
        <v>50000</v>
      </c>
      <c r="M160" s="57" t="n"/>
      <c r="N160" s="59" t="inlineStr">
        <is>
          <t>Внутренний перевод</t>
        </is>
      </c>
      <c r="O160" s="55" t="inlineStr">
        <is>
          <t>Технические</t>
        </is>
      </c>
      <c r="P160" s="55" t="inlineStr">
        <is>
          <t>Перевод между своими счетами</t>
        </is>
      </c>
      <c r="Q160" s="55" t="inlineStr"/>
    </row>
    <row r="161">
      <c r="A161" s="55" t="inlineStr">
        <is>
          <t>17.07.2026</t>
        </is>
      </c>
      <c r="B161" s="55" t="inlineStr">
        <is>
          <t>ЦентрКредит</t>
        </is>
      </c>
      <c r="C161" s="55" t="inlineStr">
        <is>
          <t>KZT</t>
        </is>
      </c>
      <c r="D161" s="55" t="inlineStr">
        <is>
          <t>2401</t>
        </is>
      </c>
      <c r="E161" s="55" t="inlineStr">
        <is>
          <t>Частная компания WayStar Service Limited</t>
        </is>
      </c>
      <c r="F161" s="55" t="inlineStr">
        <is>
          <t>260540900770</t>
        </is>
      </c>
      <c r="G161" s="55" t="inlineStr">
        <is>
          <t>411</t>
        </is>
      </c>
      <c r="H161" s="56" t="inlineStr">
        <is>
          <t>выдача займа. Без НДС. Выдача краткосрочных займов (не более одного года)</t>
        </is>
      </c>
      <c r="I161" s="57" t="n">
        <v>200000</v>
      </c>
      <c r="J161" s="57" t="n"/>
      <c r="K161" s="58" t="n">
        <v>1</v>
      </c>
      <c r="L161" s="57" t="n">
        <v>200000</v>
      </c>
      <c r="M161" s="57" t="n"/>
      <c r="N161" s="59" t="inlineStr">
        <is>
          <t>Внутренний перевод</t>
        </is>
      </c>
      <c r="O161" s="55" t="inlineStr">
        <is>
          <t>Технические</t>
        </is>
      </c>
      <c r="P161" s="55" t="inlineStr">
        <is>
          <t>Перевод между своими счетами</t>
        </is>
      </c>
      <c r="Q161" s="55" t="inlineStr"/>
    </row>
    <row r="162">
      <c r="A162" s="55" t="inlineStr">
        <is>
          <t>17.07.2026</t>
        </is>
      </c>
      <c r="B162" s="55" t="inlineStr">
        <is>
          <t>ЦентрКредит</t>
        </is>
      </c>
      <c r="C162" s="55" t="inlineStr">
        <is>
          <t>KZT</t>
        </is>
      </c>
      <c r="D162" s="55" t="inlineStr">
        <is>
          <t>2401</t>
        </is>
      </c>
      <c r="E162" s="55" t="inlineStr">
        <is>
          <t>Банк ЦентрКредит для ЗП</t>
        </is>
      </c>
      <c r="F162" s="55" t="inlineStr">
        <is>
          <t>980640000093</t>
        </is>
      </c>
      <c r="G162" s="55" t="inlineStr">
        <is>
          <t>332</t>
        </is>
      </c>
      <c r="H162" s="56" t="inlineStr">
        <is>
          <t>Для зачисления на картсчета сотрудникам согласно спискам 377 869-00 теңге.</t>
        </is>
      </c>
      <c r="I162" s="57" t="n">
        <v>377869</v>
      </c>
      <c r="J162" s="57" t="n"/>
      <c r="K162" s="58" t="n">
        <v>1</v>
      </c>
      <c r="L162" s="57" t="n">
        <v>377869</v>
      </c>
      <c r="M162" s="57" t="n"/>
      <c r="N162" s="55" t="inlineStr">
        <is>
          <t>Внешняя операция</t>
        </is>
      </c>
      <c r="O162" s="55" t="inlineStr">
        <is>
          <t>ФОТ</t>
        </is>
      </c>
      <c r="P162" s="55" t="inlineStr">
        <is>
          <t>Зарплата</t>
        </is>
      </c>
      <c r="Q162" s="55" t="inlineStr">
        <is>
          <t>Банк ЦентрКредит для ЗП</t>
        </is>
      </c>
    </row>
    <row r="163">
      <c r="A163" s="55" t="inlineStr">
        <is>
          <t>17.07.2026</t>
        </is>
      </c>
      <c r="B163" s="55" t="inlineStr">
        <is>
          <t>ЦентрКредит</t>
        </is>
      </c>
      <c r="C163" s="55" t="inlineStr">
        <is>
          <t>KZT</t>
        </is>
      </c>
      <c r="D163" s="55" t="inlineStr">
        <is>
          <t>2401</t>
        </is>
      </c>
      <c r="E163" s="55" t="inlineStr">
        <is>
          <t>ТОО КТЖ-Грузовые перевозки</t>
        </is>
      </c>
      <c r="F163" s="55" t="inlineStr">
        <is>
          <t>031040001799</t>
        </is>
      </c>
      <c r="G163" s="55" t="inlineStr">
        <is>
          <t>813</t>
        </is>
      </c>
      <c r="H163" s="56" t="inlineStr">
        <is>
          <t>Без НДС, 4185494, Платежи за услуги железнодорожного транспорта</t>
        </is>
      </c>
      <c r="I163" s="57" t="n">
        <v>20000000</v>
      </c>
      <c r="J163" s="57" t="n"/>
      <c r="K163" s="58" t="n">
        <v>1</v>
      </c>
      <c r="L163" s="57" t="n">
        <v>20000000</v>
      </c>
      <c r="M163" s="57" t="n"/>
      <c r="N163" s="55" t="inlineStr">
        <is>
          <t>Внешняя операция</t>
        </is>
      </c>
      <c r="O163" s="55" t="inlineStr">
        <is>
          <t>Себестоимость</t>
        </is>
      </c>
      <c r="P163" s="55" t="inlineStr">
        <is>
          <t>Тариф КТЖ (ж/д перевозки)</t>
        </is>
      </c>
      <c r="Q163" s="55" t="inlineStr">
        <is>
          <t>ТОО «КТЖ-Грузовые перевозки»</t>
        </is>
      </c>
    </row>
    <row r="164">
      <c r="A164" s="55" t="inlineStr">
        <is>
          <t>17.07.2026</t>
        </is>
      </c>
      <c r="B164" s="55" t="inlineStr">
        <is>
          <t>ЦентрКредит</t>
        </is>
      </c>
      <c r="C164" s="55" t="inlineStr">
        <is>
          <t>KZT</t>
        </is>
      </c>
      <c r="D164" s="55" t="inlineStr">
        <is>
          <t>2401</t>
        </is>
      </c>
      <c r="E164" s="55" t="inlineStr">
        <is>
          <t>Товарищество с ограниченной ответственностью "WayStar Group"</t>
        </is>
      </c>
      <c r="F164" s="55" t="inlineStr">
        <is>
          <t>240340014287</t>
        </is>
      </c>
      <c r="G164" s="55" t="inlineStr">
        <is>
          <t>312</t>
        </is>
      </c>
      <c r="H164" s="56" t="inlineStr">
        <is>
          <t>Размещение вклада</t>
        </is>
      </c>
      <c r="I164" s="57" t="n">
        <v>74371841.95</v>
      </c>
      <c r="J164" s="57" t="n"/>
      <c r="K164" s="58" t="n">
        <v>1</v>
      </c>
      <c r="L164" s="57" t="n">
        <v>74371841.95</v>
      </c>
      <c r="M164" s="57" t="n"/>
      <c r="N164" s="59" t="inlineStr">
        <is>
          <t>Внутренний перевод</t>
        </is>
      </c>
      <c r="O164" s="55" t="inlineStr">
        <is>
          <t>Технические</t>
        </is>
      </c>
      <c r="P164" s="55" t="inlineStr">
        <is>
          <t>Перевод между своими счетами</t>
        </is>
      </c>
      <c r="Q164" s="55" t="inlineStr"/>
    </row>
    <row r="165">
      <c r="A165" s="55" t="inlineStr">
        <is>
          <t>17.07.2026</t>
        </is>
      </c>
      <c r="B165" s="55" t="inlineStr">
        <is>
          <t>ЦентрКредит</t>
        </is>
      </c>
      <c r="C165" s="55" t="inlineStr">
        <is>
          <t>KZT</t>
        </is>
      </c>
      <c r="D165" s="55" t="inlineStr">
        <is>
          <t>2401</t>
        </is>
      </c>
      <c r="E165" s="55" t="inlineStr">
        <is>
          <t>Товарищество с ограниченной ответственностью "WayStar Group"</t>
        </is>
      </c>
      <c r="F165" s="55" t="inlineStr">
        <is>
          <t>240340014287</t>
        </is>
      </c>
      <c r="G165" s="55" t="inlineStr">
        <is>
          <t>316</t>
        </is>
      </c>
      <c r="H165" s="56" t="inlineStr">
        <is>
          <t>Выплата начисленного вознаграждения по депозитному договору № 01607034 от 24.07.2025 за период с 16.07.26 по 16.07.26. Вкладчик Товарищество с ограниченной ответственностью "WayStar Group".</t>
        </is>
      </c>
      <c r="I165" s="57" t="n"/>
      <c r="J165" s="57" t="n">
        <v>20219.59</v>
      </c>
      <c r="K165" s="58" t="n">
        <v>1</v>
      </c>
      <c r="L165" s="57" t="n"/>
      <c r="M165" s="57" t="n">
        <v>20219.59</v>
      </c>
      <c r="N165" s="59" t="inlineStr">
        <is>
          <t>Внутренний перевод</t>
        </is>
      </c>
      <c r="O165" s="55" t="inlineStr">
        <is>
          <t>Технические</t>
        </is>
      </c>
      <c r="P165" s="55" t="inlineStr">
        <is>
          <t>Перевод между своими счетами</t>
        </is>
      </c>
      <c r="Q165" s="55" t="inlineStr"/>
    </row>
    <row r="166">
      <c r="A166" s="55" t="inlineStr">
        <is>
          <t>17.07.2026</t>
        </is>
      </c>
      <c r="B166" s="55" t="inlineStr">
        <is>
          <t>ЦентрКредит</t>
        </is>
      </c>
      <c r="C166" s="55" t="inlineStr">
        <is>
          <t>KZT</t>
        </is>
      </c>
      <c r="D166" s="55" t="inlineStr">
        <is>
          <t>2401</t>
        </is>
      </c>
      <c r="E166" s="55" t="inlineStr">
        <is>
          <t>ТОО  "WayStar Group"</t>
        </is>
      </c>
      <c r="F166" s="55" t="inlineStr">
        <is>
          <t>240340014287</t>
        </is>
      </c>
      <c r="G166" s="55" t="inlineStr">
        <is>
          <t>343</t>
        </is>
      </c>
      <c r="H166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66" s="57" t="n"/>
      <c r="J166" s="57" t="n">
        <v>7000000</v>
      </c>
      <c r="K166" s="58" t="n">
        <v>1</v>
      </c>
      <c r="L166" s="57" t="n"/>
      <c r="M166" s="57" t="n">
        <v>7000000</v>
      </c>
      <c r="N166" s="59" t="inlineStr">
        <is>
          <t>Внутренний перевод</t>
        </is>
      </c>
      <c r="O166" s="55" t="inlineStr">
        <is>
          <t>Технические</t>
        </is>
      </c>
      <c r="P166" s="55" t="inlineStr">
        <is>
          <t>Перевод между своими счетами</t>
        </is>
      </c>
      <c r="Q166" s="55" t="inlineStr"/>
    </row>
    <row r="167">
      <c r="A167" s="55" t="inlineStr">
        <is>
          <t>17.07.2026</t>
        </is>
      </c>
      <c r="B167" s="55" t="inlineStr">
        <is>
          <t>ЦентрКредит</t>
        </is>
      </c>
      <c r="C167" s="55" t="inlineStr">
        <is>
          <t>KZT</t>
        </is>
      </c>
      <c r="D167" s="55" t="inlineStr">
        <is>
          <t>2401</t>
        </is>
      </c>
      <c r="E167" s="55" t="inlineStr">
        <is>
          <t>ТОО Евразиан Каспиан Транс</t>
        </is>
      </c>
      <c r="F167" s="55" t="inlineStr">
        <is>
          <t>190740001575</t>
        </is>
      </c>
      <c r="G167" s="55" t="inlineStr">
        <is>
          <t>813</t>
        </is>
      </c>
      <c r="H167" s="56" t="inlineStr">
        <is>
          <t>Оплата соглсно счета 177 от 7 июля (в том числе НДС = 1117241.37) Платежи за услуги железнодорожного транспорта,</t>
        </is>
      </c>
      <c r="I167" s="57" t="n"/>
      <c r="J167" s="57" t="n">
        <v>8100000</v>
      </c>
      <c r="K167" s="58" t="n">
        <v>1</v>
      </c>
      <c r="L167" s="57" t="n"/>
      <c r="M167" s="57" t="n">
        <v>8100000</v>
      </c>
      <c r="N167" s="55" t="inlineStr">
        <is>
          <t>Внешняя операция</t>
        </is>
      </c>
      <c r="O167" s="55" t="inlineStr">
        <is>
          <t>Выручка</t>
        </is>
      </c>
      <c r="P167" s="55" t="inlineStr">
        <is>
          <t>Операционная выручка (ТЭО, вагоны)</t>
        </is>
      </c>
      <c r="Q167" s="55" t="inlineStr">
        <is>
          <t>ТОО Евразиан Каспиан Транс</t>
        </is>
      </c>
    </row>
    <row r="168">
      <c r="A168" s="55" t="inlineStr">
        <is>
          <t>17.07.2026</t>
        </is>
      </c>
      <c r="B168" s="55" t="inlineStr">
        <is>
          <t>ЦентрКредит</t>
        </is>
      </c>
      <c r="C168" s="55" t="inlineStr">
        <is>
          <t>KZT</t>
        </is>
      </c>
      <c r="D168" s="55" t="inlineStr">
        <is>
          <t>2401</t>
        </is>
      </c>
      <c r="E168" s="55" t="inlineStr">
        <is>
          <t>ТОО "WayStar Group"</t>
        </is>
      </c>
      <c r="F168" s="55" t="inlineStr">
        <is>
          <t>240340014287</t>
        </is>
      </c>
      <c r="G168" s="55" t="inlineStr">
        <is>
          <t>322</t>
        </is>
      </c>
      <c r="H168" s="56" t="inlineStr">
        <is>
          <t>Без НДС. Снятие с краткосрочного вклада (не более одного года)</t>
        </is>
      </c>
      <c r="I168" s="57" t="n"/>
      <c r="J168" s="57" t="n">
        <v>20000000</v>
      </c>
      <c r="K168" s="58" t="n">
        <v>1</v>
      </c>
      <c r="L168" s="57" t="n"/>
      <c r="M168" s="57" t="n">
        <v>20000000</v>
      </c>
      <c r="N168" s="59" t="inlineStr">
        <is>
          <t>Внутренний перевод</t>
        </is>
      </c>
      <c r="O168" s="55" t="inlineStr">
        <is>
          <t>Технические</t>
        </is>
      </c>
      <c r="P168" s="55" t="inlineStr">
        <is>
          <t>Перевод между своими счетами</t>
        </is>
      </c>
      <c r="Q168" s="55" t="inlineStr"/>
    </row>
    <row r="169">
      <c r="A169" s="55" t="inlineStr">
        <is>
          <t>17.07.2026</t>
        </is>
      </c>
      <c r="B169" s="55" t="inlineStr">
        <is>
          <t>ЦентрКредит</t>
        </is>
      </c>
      <c r="C169" s="55" t="inlineStr">
        <is>
          <t>KZT</t>
        </is>
      </c>
      <c r="D169" s="55" t="inlineStr">
        <is>
          <t>2401</t>
        </is>
      </c>
      <c r="E169" s="55" t="inlineStr">
        <is>
          <t>Товарищество с ограниченной ответственностью "WayStar Group"</t>
        </is>
      </c>
      <c r="F169" s="55" t="inlineStr">
        <is>
          <t>240340014287</t>
        </is>
      </c>
      <c r="G169" s="55" t="inlineStr">
        <is>
          <t>322</t>
        </is>
      </c>
      <c r="H169" s="56" t="inlineStr">
        <is>
          <t>Частичная выплата вклада по депозитному договору № 01607034 от 17.07.2026 в размере 59879491.36 согласно ДП. Вкладчик: Товарищество с ограниченной ответственностью "WayStar Group".</t>
        </is>
      </c>
      <c r="I169" s="57" t="n"/>
      <c r="J169" s="57" t="n">
        <v>59879491.36</v>
      </c>
      <c r="K169" s="58" t="n">
        <v>1</v>
      </c>
      <c r="L169" s="57" t="n"/>
      <c r="M169" s="57" t="n">
        <v>59879491.36</v>
      </c>
      <c r="N169" s="59" t="inlineStr">
        <is>
          <t>Внутренний перевод</t>
        </is>
      </c>
      <c r="O169" s="55" t="inlineStr">
        <is>
          <t>Технические</t>
        </is>
      </c>
      <c r="P169" s="55" t="inlineStr">
        <is>
          <t>Перевод между своими счетами</t>
        </is>
      </c>
      <c r="Q169" s="55" t="inlineStr"/>
    </row>
    <row r="170">
      <c r="A170" s="55" t="inlineStr">
        <is>
          <t>18.07.2026</t>
        </is>
      </c>
      <c r="B170" s="55" t="inlineStr">
        <is>
          <t>ЦентрКредит</t>
        </is>
      </c>
      <c r="C170" s="55" t="inlineStr">
        <is>
          <t>KZT</t>
        </is>
      </c>
      <c r="D170" s="55" t="inlineStr">
        <is>
          <t>2401</t>
        </is>
      </c>
      <c r="E170" s="55" t="inlineStr">
        <is>
          <t>Товарищество с ограниченной ответственностью "WayStar Group"</t>
        </is>
      </c>
      <c r="F170" s="55" t="inlineStr">
        <is>
          <t>240340014287</t>
        </is>
      </c>
      <c r="G170" s="55" t="inlineStr">
        <is>
          <t>316</t>
        </is>
      </c>
      <c r="H170" s="56" t="inlineStr">
        <is>
          <t>Выплата начисленного вознаграждения по депозитному договору № 01607034 от 24.07.2025 за период с 17.07.26 по 17.07.26. Вкладчик Товарищество с ограниченной ответственностью "WayStar Group".</t>
        </is>
      </c>
      <c r="I170" s="57" t="n"/>
      <c r="J170" s="57" t="n">
        <v>18359.8</v>
      </c>
      <c r="K170" s="58" t="n">
        <v>1</v>
      </c>
      <c r="L170" s="57" t="n"/>
      <c r="M170" s="57" t="n">
        <v>18359.8</v>
      </c>
      <c r="N170" s="59" t="inlineStr">
        <is>
          <t>Внутренний перевод</t>
        </is>
      </c>
      <c r="O170" s="55" t="inlineStr">
        <is>
          <t>Технические</t>
        </is>
      </c>
      <c r="P170" s="55" t="inlineStr">
        <is>
          <t>Перевод между своими счетами</t>
        </is>
      </c>
      <c r="Q170" s="55" t="inlineStr"/>
    </row>
    <row r="171">
      <c r="A171" s="55" t="inlineStr">
        <is>
          <t>19.07.2026</t>
        </is>
      </c>
      <c r="B171" s="55" t="inlineStr">
        <is>
          <t>ЦентрКредит</t>
        </is>
      </c>
      <c r="C171" s="55" t="inlineStr">
        <is>
          <t>KZT</t>
        </is>
      </c>
      <c r="D171" s="55" t="inlineStr">
        <is>
          <t>2401</t>
        </is>
      </c>
      <c r="E171" s="55" t="inlineStr">
        <is>
          <t>ТОО КТЖ-Грузовые перевозки</t>
        </is>
      </c>
      <c r="F171" s="55" t="inlineStr">
        <is>
          <t>031040001799</t>
        </is>
      </c>
      <c r="G171" s="55" t="inlineStr">
        <is>
          <t>813</t>
        </is>
      </c>
      <c r="H171" s="56" t="inlineStr">
        <is>
          <t>Без НДС, 4185494, Платежи за услуги железнодорожного транспорта</t>
        </is>
      </c>
      <c r="I171" s="57" t="n">
        <v>5000000</v>
      </c>
      <c r="J171" s="57" t="n"/>
      <c r="K171" s="58" t="n">
        <v>1</v>
      </c>
      <c r="L171" s="57" t="n">
        <v>5000000</v>
      </c>
      <c r="M171" s="57" t="n"/>
      <c r="N171" s="55" t="inlineStr">
        <is>
          <t>Внешняя операция</t>
        </is>
      </c>
      <c r="O171" s="55" t="inlineStr">
        <is>
          <t>Себестоимость</t>
        </is>
      </c>
      <c r="P171" s="55" t="inlineStr">
        <is>
          <t>Тариф КТЖ (ж/д перевозки)</t>
        </is>
      </c>
      <c r="Q171" s="55" t="inlineStr">
        <is>
          <t>ТОО «КТЖ-Грузовые перевозки»</t>
        </is>
      </c>
    </row>
    <row r="172">
      <c r="A172" s="55" t="inlineStr">
        <is>
          <t>19.07.2026</t>
        </is>
      </c>
      <c r="B172" s="55" t="inlineStr">
        <is>
          <t>ЦентрКредит</t>
        </is>
      </c>
      <c r="C172" s="55" t="inlineStr">
        <is>
          <t>KZT</t>
        </is>
      </c>
      <c r="D172" s="55" t="inlineStr">
        <is>
          <t>2401</t>
        </is>
      </c>
      <c r="E172" s="55" t="inlineStr">
        <is>
          <t>Товарищество с ограниченной ответственностью "WayStar Group"</t>
        </is>
      </c>
      <c r="F172" s="55" t="inlineStr">
        <is>
          <t>240340014287</t>
        </is>
      </c>
      <c r="G172" s="55" t="inlineStr">
        <is>
          <t>316</t>
        </is>
      </c>
      <c r="H172" s="56" t="inlineStr">
        <is>
          <t>Выплата начисленного вознаграждения по депозитному договору № 01607034 от 24.07.2025 за период с 18.07.26 по 18.07.26. Вкладчик Товарищество с ограниченной ответственностью "WayStar Group".</t>
        </is>
      </c>
      <c r="I172" s="57" t="n"/>
      <c r="J172" s="57" t="n">
        <v>18359.8</v>
      </c>
      <c r="K172" s="58" t="n">
        <v>1</v>
      </c>
      <c r="L172" s="57" t="n"/>
      <c r="M172" s="57" t="n">
        <v>18359.8</v>
      </c>
      <c r="N172" s="59" t="inlineStr">
        <is>
          <t>Внутренний перевод</t>
        </is>
      </c>
      <c r="O172" s="55" t="inlineStr">
        <is>
          <t>Технические</t>
        </is>
      </c>
      <c r="P172" s="55" t="inlineStr">
        <is>
          <t>Перевод между своими счетами</t>
        </is>
      </c>
      <c r="Q172" s="55" t="inlineStr"/>
    </row>
    <row r="173">
      <c r="A173" s="55" t="inlineStr">
        <is>
          <t>19.07.2026</t>
        </is>
      </c>
      <c r="B173" s="55" t="inlineStr">
        <is>
          <t>ЦентрКредит</t>
        </is>
      </c>
      <c r="C173" s="55" t="inlineStr">
        <is>
          <t>KZT</t>
        </is>
      </c>
      <c r="D173" s="55" t="inlineStr">
        <is>
          <t>2401</t>
        </is>
      </c>
      <c r="E173" s="55" t="inlineStr">
        <is>
          <t>ТОО "WayStar Group"</t>
        </is>
      </c>
      <c r="F173" s="55" t="inlineStr">
        <is>
          <t>240340014287</t>
        </is>
      </c>
      <c r="G173" s="55" t="inlineStr">
        <is>
          <t>321</t>
        </is>
      </c>
      <c r="H173" s="56" t="inlineStr">
        <is>
          <t>Без НДС. Снятие со вклада до востребования (открытых на основании договора банковского вклада)</t>
        </is>
      </c>
      <c r="I173" s="57" t="n"/>
      <c r="J173" s="57" t="n">
        <v>5000000</v>
      </c>
      <c r="K173" s="58" t="n">
        <v>1</v>
      </c>
      <c r="L173" s="57" t="n"/>
      <c r="M173" s="57" t="n">
        <v>5000000</v>
      </c>
      <c r="N173" s="59" t="inlineStr">
        <is>
          <t>Внутренний перевод</t>
        </is>
      </c>
      <c r="O173" s="55" t="inlineStr">
        <is>
          <t>Технические</t>
        </is>
      </c>
      <c r="P173" s="55" t="inlineStr">
        <is>
          <t>Перевод между своими счетами</t>
        </is>
      </c>
      <c r="Q173" s="55" t="inlineStr"/>
    </row>
    <row r="174">
      <c r="A174" s="55" t="inlineStr">
        <is>
          <t>20.07.2026</t>
        </is>
      </c>
      <c r="B174" s="55" t="inlineStr">
        <is>
          <t>ЦентрКредит</t>
        </is>
      </c>
      <c r="C174" s="55" t="inlineStr">
        <is>
          <t>KZT</t>
        </is>
      </c>
      <c r="D174" s="55" t="inlineStr">
        <is>
          <t>2401</t>
        </is>
      </c>
      <c r="E174" s="55" t="inlineStr">
        <is>
          <t>Товарищество с ограниченной ответственностью "WayStar Group"</t>
        </is>
      </c>
      <c r="F174" s="55" t="inlineStr">
        <is>
          <t>240340014287</t>
        </is>
      </c>
      <c r="G174" s="55" t="inlineStr">
        <is>
          <t>343</t>
        </is>
      </c>
      <c r="H174" s="56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4" s="57" t="n">
        <v>600</v>
      </c>
      <c r="J174" s="57" t="n"/>
      <c r="K174" s="58" t="n">
        <v>1</v>
      </c>
      <c r="L174" s="57" t="n">
        <v>600</v>
      </c>
      <c r="M174" s="57" t="n"/>
      <c r="N174" s="59" t="inlineStr">
        <is>
          <t>Внутренний перевод</t>
        </is>
      </c>
      <c r="O174" s="55" t="inlineStr">
        <is>
          <t>Технические</t>
        </is>
      </c>
      <c r="P174" s="55" t="inlineStr">
        <is>
          <t>Перевод между своими счетами</t>
        </is>
      </c>
      <c r="Q174" s="55" t="inlineStr"/>
    </row>
    <row r="175">
      <c r="A175" s="55" t="inlineStr">
        <is>
          <t>20.07.2026</t>
        </is>
      </c>
      <c r="B175" s="55" t="inlineStr">
        <is>
          <t>ЦентрКредит</t>
        </is>
      </c>
      <c r="C175" s="55" t="inlineStr">
        <is>
          <t>KZT</t>
        </is>
      </c>
      <c r="D175" s="55" t="inlineStr">
        <is>
          <t>2401</t>
        </is>
      </c>
      <c r="E175" s="55" t="inlineStr">
        <is>
          <t>Акционерное Общество "Банк ЦентрКредит"</t>
        </is>
      </c>
      <c r="F175" s="55" t="inlineStr">
        <is>
          <t>980741000260</t>
        </is>
      </c>
      <c r="G175" s="55" t="inlineStr">
        <is>
          <t>841</t>
        </is>
      </c>
      <c r="H175" s="56" t="inlineStr">
        <is>
          <t>PS. Платежная система. Комиссия за перевод заемных средств Расчетный документ № 1534 от 20.07.26 на сумму 687 045.00 KZT, в т.ч. НДС 16%</t>
        </is>
      </c>
      <c r="I175" s="57" t="n">
        <v>27481.8</v>
      </c>
      <c r="J175" s="57" t="n"/>
      <c r="K175" s="58" t="n">
        <v>1</v>
      </c>
      <c r="L175" s="57" t="n">
        <v>27481.8</v>
      </c>
      <c r="M175" s="57" t="n"/>
      <c r="N175" s="55" t="inlineStr">
        <is>
          <t>Внешняя операция</t>
        </is>
      </c>
      <c r="O175" s="55" t="inlineStr">
        <is>
          <t>Финансовые</t>
        </is>
      </c>
      <c r="P175" s="55" t="inlineStr">
        <is>
          <t>Банковские комиссии</t>
        </is>
      </c>
      <c r="Q175" s="55" t="inlineStr">
        <is>
          <t>Акционерное Общество "Банк ЦентрКредит"</t>
        </is>
      </c>
    </row>
    <row r="176">
      <c r="A176" s="55" t="inlineStr">
        <is>
          <t>20.07.2026</t>
        </is>
      </c>
      <c r="B176" s="55" t="inlineStr">
        <is>
          <t>ЦентрКредит</t>
        </is>
      </c>
      <c r="C176" s="55" t="inlineStr">
        <is>
          <t>KZT</t>
        </is>
      </c>
      <c r="D176" s="55" t="inlineStr">
        <is>
          <t>2401</t>
        </is>
      </c>
      <c r="E176" s="55" t="inlineStr">
        <is>
          <t>Товарищество с ограниченной ответственностью "DV job"</t>
        </is>
      </c>
      <c r="F176" s="55" t="inlineStr">
        <is>
          <t>240640003450</t>
        </is>
      </c>
      <c r="G176" s="55" t="inlineStr">
        <is>
          <t>859</t>
        </is>
      </c>
      <c r="H176" s="56" t="inlineStr">
        <is>
          <t>СЧЕТ НА ОПЛАТУ № DVJ-2026-000047 от 17.07.2026</t>
        </is>
      </c>
      <c r="I176" s="57" t="n">
        <v>29900</v>
      </c>
      <c r="J176" s="57" t="n"/>
      <c r="K176" s="58" t="n">
        <v>1</v>
      </c>
      <c r="L176" s="57" t="n">
        <v>29900</v>
      </c>
      <c r="M176" s="57" t="n"/>
      <c r="N176" s="55" t="inlineStr">
        <is>
          <t>Внешняя операция</t>
        </is>
      </c>
      <c r="O176" s="55" t="inlineStr">
        <is>
          <t>Админ/офис</t>
        </is>
      </c>
      <c r="P176" s="55" t="inlineStr">
        <is>
          <t>Проф. услуги (бухг./юр./конс.)</t>
        </is>
      </c>
      <c r="Q176" s="55" t="inlineStr">
        <is>
          <t>ТОО "DV job"</t>
        </is>
      </c>
    </row>
    <row r="177">
      <c r="A177" s="55" t="inlineStr">
        <is>
          <t>20.07.2026</t>
        </is>
      </c>
      <c r="B177" s="55" t="inlineStr">
        <is>
          <t>ЦентрКредит</t>
        </is>
      </c>
      <c r="C177" s="55" t="inlineStr">
        <is>
          <t>KZT</t>
        </is>
      </c>
      <c r="D177" s="55" t="inlineStr">
        <is>
          <t>2401</t>
        </is>
      </c>
      <c r="E177" s="55" t="inlineStr">
        <is>
          <t>Акционерное Общество "Банк ЦентрКредит"</t>
        </is>
      </c>
      <c r="F177" s="55" t="inlineStr">
        <is>
          <t>980741000260</t>
        </is>
      </c>
      <c r="G177" s="55" t="inlineStr">
        <is>
          <t>841</t>
        </is>
      </c>
      <c r="H177" s="56" t="inlineStr">
        <is>
          <t>PS. Платежная система. Комиссия за перевод заемных средств Расчетный документ № 1532 от 20.07.26 на сумму 16 540 500.33 KZT, в т.ч. НДС 16%</t>
        </is>
      </c>
      <c r="I177" s="57" t="n">
        <v>661620.01</v>
      </c>
      <c r="J177" s="57" t="n"/>
      <c r="K177" s="58" t="n">
        <v>1</v>
      </c>
      <c r="L177" s="57" t="n">
        <v>661620.01</v>
      </c>
      <c r="M177" s="57" t="n"/>
      <c r="N177" s="55" t="inlineStr">
        <is>
          <t>Внешняя операция</t>
        </is>
      </c>
      <c r="O177" s="55" t="inlineStr">
        <is>
          <t>Финансовые</t>
        </is>
      </c>
      <c r="P177" s="55" t="inlineStr">
        <is>
          <t>Банковские комиссии</t>
        </is>
      </c>
      <c r="Q177" s="55" t="inlineStr">
        <is>
          <t>Акционерное Общество "Банк ЦентрКредит"</t>
        </is>
      </c>
    </row>
    <row r="178">
      <c r="A178" s="55" t="inlineStr">
        <is>
          <t>20.07.2026</t>
        </is>
      </c>
      <c r="B178" s="55" t="inlineStr">
        <is>
          <t>ЦентрКредит</t>
        </is>
      </c>
      <c r="C178" s="55" t="inlineStr">
        <is>
          <t>KZT</t>
        </is>
      </c>
      <c r="D178" s="55" t="inlineStr">
        <is>
          <t>2401</t>
        </is>
      </c>
      <c r="E178" s="55" t="inlineStr">
        <is>
          <t>Товарищество с ограниченной ответственностью "WayStar Group"</t>
        </is>
      </c>
      <c r="F178" s="55" t="inlineStr">
        <is>
          <t>240340014287</t>
        </is>
      </c>
      <c r="G178" s="55" t="inlineStr">
        <is>
          <t>343</t>
        </is>
      </c>
      <c r="H178" s="56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78" s="57" t="n">
        <v>16539443.52</v>
      </c>
      <c r="J178" s="57" t="n"/>
      <c r="K178" s="58" t="n">
        <v>1</v>
      </c>
      <c r="L178" s="57" t="n">
        <v>16539443.52</v>
      </c>
      <c r="M178" s="57" t="n"/>
      <c r="N178" s="59" t="inlineStr">
        <is>
          <t>Внутренний перевод</t>
        </is>
      </c>
      <c r="O178" s="55" t="inlineStr">
        <is>
          <t>Технические</t>
        </is>
      </c>
      <c r="P178" s="55" t="inlineStr">
        <is>
          <t>Перевод между своими счетами</t>
        </is>
      </c>
      <c r="Q178" s="55" t="inlineStr"/>
    </row>
    <row r="179">
      <c r="A179" s="55" t="inlineStr">
        <is>
          <t>20.07.2026</t>
        </is>
      </c>
      <c r="B179" s="55" t="inlineStr">
        <is>
          <t>ЦентрКредит</t>
        </is>
      </c>
      <c r="C179" s="55" t="inlineStr">
        <is>
          <t>KZT</t>
        </is>
      </c>
      <c r="D179" s="55" t="inlineStr">
        <is>
          <t>2401</t>
        </is>
      </c>
      <c r="E179" s="55" t="inlineStr">
        <is>
          <t>Товарищество с ограниченной ответственностью "WayStar Group"</t>
        </is>
      </c>
      <c r="F179" s="55" t="inlineStr">
        <is>
          <t>240340014287</t>
        </is>
      </c>
      <c r="G179" s="55" t="inlineStr">
        <is>
          <t>312</t>
        </is>
      </c>
      <c r="H179" s="56" t="inlineStr">
        <is>
          <t>Размещение вклада</t>
        </is>
      </c>
      <c r="I179" s="57" t="n">
        <v>49395333</v>
      </c>
      <c r="J179" s="57" t="n"/>
      <c r="K179" s="58" t="n">
        <v>1</v>
      </c>
      <c r="L179" s="57" t="n">
        <v>49395333</v>
      </c>
      <c r="M179" s="57" t="n"/>
      <c r="N179" s="59" t="inlineStr">
        <is>
          <t>Внутренний перевод</t>
        </is>
      </c>
      <c r="O179" s="55" t="inlineStr">
        <is>
          <t>Технические</t>
        </is>
      </c>
      <c r="P179" s="55" t="inlineStr">
        <is>
          <t>Перевод между своими счетами</t>
        </is>
      </c>
      <c r="Q179" s="55" t="inlineStr"/>
    </row>
    <row r="180">
      <c r="A180" s="55" t="inlineStr">
        <is>
          <t>20.07.2026</t>
        </is>
      </c>
      <c r="B180" s="55" t="inlineStr">
        <is>
          <t>ЦентрКредит</t>
        </is>
      </c>
      <c r="C180" s="55" t="inlineStr">
        <is>
          <t>KZT</t>
        </is>
      </c>
      <c r="D180" s="55" t="inlineStr">
        <is>
          <t>2401</t>
        </is>
      </c>
      <c r="E180" s="55" t="inlineStr">
        <is>
          <t>Товарищество с ограниченной ответственностью "WayStar Group"</t>
        </is>
      </c>
      <c r="F180" s="55" t="inlineStr">
        <is>
          <t>240340014287</t>
        </is>
      </c>
      <c r="G180" s="55" t="inlineStr">
        <is>
          <t>343</t>
        </is>
      </c>
      <c r="H180" s="56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80" s="57" t="n">
        <v>54394333</v>
      </c>
      <c r="J180" s="57" t="n"/>
      <c r="K180" s="58" t="n">
        <v>1</v>
      </c>
      <c r="L180" s="57" t="n">
        <v>54394333</v>
      </c>
      <c r="M180" s="57" t="n"/>
      <c r="N180" s="59" t="inlineStr">
        <is>
          <t>Внутренний перевод</t>
        </is>
      </c>
      <c r="O180" s="55" t="inlineStr">
        <is>
          <t>Технические</t>
        </is>
      </c>
      <c r="P180" s="55" t="inlineStr">
        <is>
          <t>Перевод между своими счетами</t>
        </is>
      </c>
      <c r="Q180" s="55" t="inlineStr"/>
    </row>
    <row r="181">
      <c r="A181" s="55" t="inlineStr">
        <is>
          <t>20.07.2026</t>
        </is>
      </c>
      <c r="B181" s="55" t="inlineStr">
        <is>
          <t>ЦентрКредит</t>
        </is>
      </c>
      <c r="C181" s="55" t="inlineStr">
        <is>
          <t>KZT</t>
        </is>
      </c>
      <c r="D181" s="55" t="inlineStr">
        <is>
          <t>2401</t>
        </is>
      </c>
      <c r="E181" s="55" t="inlineStr">
        <is>
          <t>Данияр Алим</t>
        </is>
      </c>
      <c r="F181" s="55" t="inlineStr">
        <is>
          <t>020420550046</t>
        </is>
      </c>
      <c r="G181" s="55" t="inlineStr">
        <is>
          <t>421</t>
        </is>
      </c>
      <c r="H181" s="56" t="inlineStr">
        <is>
          <t>Перевод с счета KZ658562204136676815 на счета KZ768562203136652401 через систему BCC.KZ. ИИН получателя - 240340014287. '||'Получатель - KZ768562203136652401.</t>
        </is>
      </c>
      <c r="I181" s="57" t="n"/>
      <c r="J181" s="57" t="n">
        <v>600</v>
      </c>
      <c r="K181" s="58" t="n">
        <v>1</v>
      </c>
      <c r="L181" s="57" t="n"/>
      <c r="M181" s="57" t="n">
        <v>600</v>
      </c>
      <c r="N181" s="55" t="inlineStr">
        <is>
          <t>Внешняя операция</t>
        </is>
      </c>
      <c r="O181" s="55" t="inlineStr">
        <is>
          <t>Выручка</t>
        </is>
      </c>
      <c r="P181" s="55" t="inlineStr">
        <is>
          <t>Операционная выручка (ТЭО, вагоны)</t>
        </is>
      </c>
      <c r="Q181" s="55" t="inlineStr">
        <is>
          <t>Данияр Алим</t>
        </is>
      </c>
    </row>
    <row r="182">
      <c r="A182" s="55" t="inlineStr">
        <is>
          <t>20.07.2026</t>
        </is>
      </c>
      <c r="B182" s="55" t="inlineStr">
        <is>
          <t>ЦентрКредит</t>
        </is>
      </c>
      <c r="C182" s="55" t="inlineStr">
        <is>
          <t>KZT</t>
        </is>
      </c>
      <c r="D182" s="55" t="inlineStr">
        <is>
          <t>2401</t>
        </is>
      </c>
      <c r="E182" s="55" t="inlineStr">
        <is>
          <t>Товарищество с ограниченной ответственностью "WayStar Group"</t>
        </is>
      </c>
      <c r="F182" s="55" t="inlineStr">
        <is>
          <t>240340014287</t>
        </is>
      </c>
      <c r="G182" s="55" t="inlineStr">
        <is>
          <t>316</t>
        </is>
      </c>
      <c r="H182" s="56" t="inlineStr">
        <is>
          <t>Выплата начисленного вознаграждения по депозитному договору № 01607034 от 24.07.2025 за период с 19.07.26 по 19.07.26. Вкладчик Товарищество с ограниченной ответственностью "WayStar Group".</t>
        </is>
      </c>
      <c r="I182" s="57" t="n"/>
      <c r="J182" s="57" t="n">
        <v>16671.45</v>
      </c>
      <c r="K182" s="58" t="n">
        <v>1</v>
      </c>
      <c r="L182" s="57" t="n"/>
      <c r="M182" s="57" t="n">
        <v>16671.45</v>
      </c>
      <c r="N182" s="59" t="inlineStr">
        <is>
          <t>Внутренний перевод</t>
        </is>
      </c>
      <c r="O182" s="55" t="inlineStr">
        <is>
          <t>Технические</t>
        </is>
      </c>
      <c r="P182" s="55" t="inlineStr">
        <is>
          <t>Перевод между своими счетами</t>
        </is>
      </c>
      <c r="Q182" s="55" t="inlineStr"/>
    </row>
    <row r="183">
      <c r="A183" s="55" t="inlineStr">
        <is>
          <t>20.07.2026</t>
        </is>
      </c>
      <c r="B183" s="55" t="inlineStr">
        <is>
          <t>ЦентрКредит</t>
        </is>
      </c>
      <c r="C183" s="55" t="inlineStr">
        <is>
          <t>KZT</t>
        </is>
      </c>
      <c r="D183" s="55" t="inlineStr">
        <is>
          <t>2401</t>
        </is>
      </c>
      <c r="E183" s="55" t="inlineStr">
        <is>
          <t>ТОО "WayStar Group"</t>
        </is>
      </c>
      <c r="F183" s="55" t="inlineStr">
        <is>
          <t>240340014287</t>
        </is>
      </c>
      <c r="G183" s="55" t="inlineStr">
        <is>
          <t>342</t>
        </is>
      </c>
      <c r="H183" s="56" t="inlineStr">
        <is>
          <t>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83" s="57" t="n"/>
      <c r="J183" s="57" t="n">
        <v>687045</v>
      </c>
      <c r="K183" s="58" t="n">
        <v>1</v>
      </c>
      <c r="L183" s="57" t="n"/>
      <c r="M183" s="57" t="n">
        <v>687045</v>
      </c>
      <c r="N183" s="59" t="inlineStr">
        <is>
          <t>Внутренний перевод</t>
        </is>
      </c>
      <c r="O183" s="55" t="inlineStr">
        <is>
          <t>Технические</t>
        </is>
      </c>
      <c r="P183" s="55" t="inlineStr">
        <is>
          <t>Перевод между своими счетами</t>
        </is>
      </c>
      <c r="Q183" s="55" t="inlineStr"/>
    </row>
    <row r="184">
      <c r="A184" s="55" t="inlineStr">
        <is>
          <t>20.07.2026</t>
        </is>
      </c>
      <c r="B184" s="55" t="inlineStr">
        <is>
          <t>ЦентрКредит</t>
        </is>
      </c>
      <c r="C184" s="55" t="inlineStr">
        <is>
          <t>KZT</t>
        </is>
      </c>
      <c r="D184" s="55" t="inlineStr">
        <is>
          <t>2401</t>
        </is>
      </c>
      <c r="E184" s="55" t="inlineStr">
        <is>
          <t>Серикбаев Адиль Даниярович</t>
        </is>
      </c>
      <c r="F184" s="55" t="inlineStr">
        <is>
          <t>940422350422</t>
        </is>
      </c>
      <c r="G184" s="55" t="inlineStr">
        <is>
          <t>421</t>
        </is>
      </c>
      <c r="H184" s="56" t="inlineStr">
        <is>
          <t>Перевод с счета KZ568562204138042155 на счета KZ768562203136652401 через систему BCC.KZ. ИИН получателя - 240340014287. '||'Получатель - KZ768562203136652401. погашение краткосрочного займа</t>
        </is>
      </c>
      <c r="I184" s="57" t="n"/>
      <c r="J184" s="57" t="n">
        <v>5000000</v>
      </c>
      <c r="K184" s="58" t="n">
        <v>1</v>
      </c>
      <c r="L184" s="57" t="n"/>
      <c r="M184" s="57" t="n">
        <v>5000000</v>
      </c>
      <c r="N184" s="55" t="inlineStr">
        <is>
          <t>Внешняя операция</t>
        </is>
      </c>
      <c r="O184" s="55" t="inlineStr">
        <is>
          <t>Финансовые</t>
        </is>
      </c>
      <c r="P184" s="55" t="inlineStr">
        <is>
          <t>Возврат выданных займов</t>
        </is>
      </c>
      <c r="Q184" s="55" t="inlineStr">
        <is>
          <t>Серикбаев Адиль Даниярович</t>
        </is>
      </c>
    </row>
    <row r="185">
      <c r="A185" s="55" t="inlineStr">
        <is>
          <t>20.07.2026</t>
        </is>
      </c>
      <c r="B185" s="55" t="inlineStr">
        <is>
          <t>ЦентрКредит</t>
        </is>
      </c>
      <c r="C185" s="55" t="inlineStr">
        <is>
          <t>KZT</t>
        </is>
      </c>
      <c r="D185" s="55" t="inlineStr">
        <is>
          <t>2401</t>
        </is>
      </c>
      <c r="E185" s="55" t="inlineStr">
        <is>
          <t>ТОО "WayStar Group"</t>
        </is>
      </c>
      <c r="F185" s="55" t="inlineStr">
        <is>
          <t>240340014287</t>
        </is>
      </c>
      <c r="G185" s="55" t="inlineStr">
        <is>
          <t>342</t>
        </is>
      </c>
      <c r="H185" s="56" t="inlineStr">
        <is>
          <t>на расчетный счет. Без НДС. Переводы клиентом денег с одного своего текущего счета, открытого в банке, филиале банка-нерезидента Республики Казахстан, на другой свой текущий счет, открытый в данном банке, в филиале данного банка-нерезидента Республики Казахстан</t>
        </is>
      </c>
      <c r="I185" s="57" t="n"/>
      <c r="J185" s="57" t="n">
        <v>16540500.33</v>
      </c>
      <c r="K185" s="58" t="n">
        <v>1</v>
      </c>
      <c r="L185" s="57" t="n"/>
      <c r="M185" s="57" t="n">
        <v>16540500.33</v>
      </c>
      <c r="N185" s="59" t="inlineStr">
        <is>
          <t>Внутренний перевод</t>
        </is>
      </c>
      <c r="O185" s="55" t="inlineStr">
        <is>
          <t>Технические</t>
        </is>
      </c>
      <c r="P185" s="55" t="inlineStr">
        <is>
          <t>Перевод между своими счетами</t>
        </is>
      </c>
      <c r="Q185" s="55" t="inlineStr"/>
    </row>
    <row r="186">
      <c r="A186" s="55" t="inlineStr">
        <is>
          <t>20.07.2026</t>
        </is>
      </c>
      <c r="B186" s="55" t="inlineStr">
        <is>
          <t>ЦентрКредит</t>
        </is>
      </c>
      <c r="C186" s="55" t="inlineStr">
        <is>
          <t>KZT</t>
        </is>
      </c>
      <c r="D186" s="55" t="inlineStr">
        <is>
          <t>2401</t>
        </is>
      </c>
      <c r="E186" s="55" t="inlineStr">
        <is>
          <t>Товарищество с ограниченной ответственностью "WayStar Group"</t>
        </is>
      </c>
      <c r="F186" s="55" t="inlineStr">
        <is>
          <t>240340014287</t>
        </is>
      </c>
      <c r="G186" s="55" t="inlineStr">
        <is>
          <t>322</t>
        </is>
      </c>
      <c r="H186" s="56" t="inlineStr">
        <is>
          <t>Частичная выплата вклада по депозитному договору № 01607034 от 20.07.2026 в размере 49371841.95 согласно ДП. Вкладчик: Товарищество с ограниченной ответственностью "WayStar Group".</t>
        </is>
      </c>
      <c r="I186" s="57" t="n"/>
      <c r="J186" s="57" t="n">
        <v>49371841.95</v>
      </c>
      <c r="K186" s="58" t="n">
        <v>1</v>
      </c>
      <c r="L186" s="57" t="n"/>
      <c r="M186" s="57" t="n">
        <v>49371841.95</v>
      </c>
      <c r="N186" s="59" t="inlineStr">
        <is>
          <t>Внутренний перевод</t>
        </is>
      </c>
      <c r="O186" s="55" t="inlineStr">
        <is>
          <t>Технические</t>
        </is>
      </c>
      <c r="P186" s="55" t="inlineStr">
        <is>
          <t>Перевод между своими счетами</t>
        </is>
      </c>
      <c r="Q186" s="55" t="inlineStr"/>
    </row>
    <row r="187">
      <c r="A187" s="55" t="inlineStr">
        <is>
          <t>20.07.2026</t>
        </is>
      </c>
      <c r="B187" s="55" t="inlineStr">
        <is>
          <t>ЦентрКредит</t>
        </is>
      </c>
      <c r="C187" s="55" t="inlineStr">
        <is>
          <t>KZT</t>
        </is>
      </c>
      <c r="D187" s="55" t="inlineStr">
        <is>
          <t>2401</t>
        </is>
      </c>
      <c r="E187" s="55" t="inlineStr">
        <is>
          <t>ТОО "WayStar Group"</t>
        </is>
      </c>
      <c r="F187" s="55" t="inlineStr">
        <is>
          <t>240340014287</t>
        </is>
      </c>
      <c r="G187" s="55" t="inlineStr">
        <is>
          <t>322</t>
        </is>
      </c>
      <c r="H187" s="56" t="inlineStr">
        <is>
          <t>с депозита на расчетный счет. Без НДС. Снятие с краткосрочного вклада (не более одного года)</t>
        </is>
      </c>
      <c r="I187" s="57" t="n"/>
      <c r="J187" s="57" t="n">
        <v>49395333</v>
      </c>
      <c r="K187" s="58" t="n">
        <v>1</v>
      </c>
      <c r="L187" s="57" t="n"/>
      <c r="M187" s="57" t="n">
        <v>49395333</v>
      </c>
      <c r="N187" s="59" t="inlineStr">
        <is>
          <t>Внутренний перевод</t>
        </is>
      </c>
      <c r="O187" s="55" t="inlineStr">
        <is>
          <t>Технические</t>
        </is>
      </c>
      <c r="P187" s="55" t="inlineStr">
        <is>
          <t>Перевод между своими счетами</t>
        </is>
      </c>
      <c r="Q187" s="55" t="inlineStr"/>
    </row>
    <row r="188">
      <c r="A188" s="55" t="inlineStr">
        <is>
          <t>21.07.2026</t>
        </is>
      </c>
      <c r="B188" s="55" t="inlineStr">
        <is>
          <t>ЦентрКредит</t>
        </is>
      </c>
      <c r="C188" s="55" t="inlineStr">
        <is>
          <t>KZT</t>
        </is>
      </c>
      <c r="D188" s="55" t="inlineStr">
        <is>
          <t>2401</t>
        </is>
      </c>
      <c r="E188" s="55" t="inlineStr">
        <is>
          <t>Аубакиров Алимбек Ерикович</t>
        </is>
      </c>
      <c r="F188" s="55" t="inlineStr">
        <is>
          <t>950331351686</t>
        </is>
      </c>
      <c r="G188" s="55" t="inlineStr">
        <is>
          <t>871</t>
        </is>
      </c>
      <c r="H188" s="56" t="inlineStr">
        <is>
          <t>Суточные расходы на проезд в Астана- Актау -Астана 22.07-24.07.2026 года сроком на 3 кд*12МРП (4325тг МРП). Без НДС. Платежи по поездкам</t>
        </is>
      </c>
      <c r="I188" s="57" t="n">
        <v>51900</v>
      </c>
      <c r="J188" s="57" t="n"/>
      <c r="K188" s="58" t="n">
        <v>1</v>
      </c>
      <c r="L188" s="57" t="n">
        <v>51900</v>
      </c>
      <c r="M188" s="57" t="n"/>
      <c r="N188" s="55" t="inlineStr">
        <is>
          <t>Внешняя операция</t>
        </is>
      </c>
      <c r="O188" s="55" t="inlineStr">
        <is>
          <t>ФОТ</t>
        </is>
      </c>
      <c r="P188" s="55" t="inlineStr">
        <is>
          <t>Командировки и подотчёт</t>
        </is>
      </c>
      <c r="Q188" s="55" t="inlineStr">
        <is>
          <t>Аубакиров Алимбек Ерикович</t>
        </is>
      </c>
    </row>
    <row r="189">
      <c r="A189" s="55" t="inlineStr">
        <is>
          <t>21.07.2026</t>
        </is>
      </c>
      <c r="B189" s="55" t="inlineStr">
        <is>
          <t>ЦентрКредит</t>
        </is>
      </c>
      <c r="C189" s="55" t="inlineStr">
        <is>
          <t>KZT</t>
        </is>
      </c>
      <c r="D189" s="55" t="inlineStr">
        <is>
          <t>2401</t>
        </is>
      </c>
      <c r="E189" s="55" t="inlineStr">
        <is>
          <t>Производственный кооператив "ИБРАЕВ+К"</t>
        </is>
      </c>
      <c r="F189" s="55" t="inlineStr">
        <is>
          <t>000940000567</t>
        </is>
      </c>
      <c r="G189" s="55" t="inlineStr">
        <is>
          <t>822</t>
        </is>
      </c>
      <c r="H189" s="56" t="inlineStr">
        <is>
          <t>Счет на оплату № 46 от 21.07.2026 г. Текущий ремонт колесной пары</t>
        </is>
      </c>
      <c r="I189" s="57" t="n">
        <v>116000</v>
      </c>
      <c r="J189" s="57" t="n"/>
      <c r="K189" s="58" t="n">
        <v>1</v>
      </c>
      <c r="L189" s="57" t="n">
        <v>116000</v>
      </c>
      <c r="M189" s="57" t="n"/>
      <c r="N189" s="55" t="inlineStr">
        <is>
          <t>Внешняя операция</t>
        </is>
      </c>
      <c r="O189" s="55" t="inlineStr">
        <is>
          <t>Себестоимость</t>
        </is>
      </c>
      <c r="P189" s="55" t="inlineStr">
        <is>
          <t>Ремонт вагонов и узлов</t>
        </is>
      </c>
      <c r="Q189" s="55" t="inlineStr">
        <is>
          <t>Производственный кооператив "ИБРАЕВ+К"</t>
        </is>
      </c>
    </row>
    <row r="190">
      <c r="A190" s="55" t="inlineStr">
        <is>
          <t>21.07.2026</t>
        </is>
      </c>
      <c r="B190" s="55" t="inlineStr">
        <is>
          <t>ЦентрКредит</t>
        </is>
      </c>
      <c r="C190" s="55" t="inlineStr">
        <is>
          <t>KZT</t>
        </is>
      </c>
      <c r="D190" s="55" t="inlineStr">
        <is>
          <t>2401</t>
        </is>
      </c>
      <c r="E190" s="55" t="inlineStr">
        <is>
          <t>Товарищество с ограниченной ответственностью "Asia Railways Tracking Service (Азия Рэилвейс Трекинг Сервис)"</t>
        </is>
      </c>
      <c r="F190" s="55" t="inlineStr">
        <is>
          <t>130540005778</t>
        </is>
      </c>
      <c r="G190" s="55" t="inlineStr">
        <is>
          <t>813</t>
        </is>
      </c>
      <c r="H190" s="56" t="inlineStr">
        <is>
          <t>Счет № И-1831 от 21.07.2026 г. Договор № D-0071124 от 07.11.2024 г. Авансовая оплата за дислокацию подвижного состава Сумма 500 000-00 теңге в т.ч. НДС(16%) 68 965-52 теңге</t>
        </is>
      </c>
      <c r="I190" s="57" t="n">
        <v>500000</v>
      </c>
      <c r="J190" s="57" t="n"/>
      <c r="K190" s="58" t="n">
        <v>1</v>
      </c>
      <c r="L190" s="57" t="n">
        <v>500000</v>
      </c>
      <c r="M190" s="57" t="n"/>
      <c r="N190" s="55" t="inlineStr">
        <is>
          <t>Внешняя операция</t>
        </is>
      </c>
      <c r="O190" s="55" t="inlineStr">
        <is>
          <t>Себестоимость</t>
        </is>
      </c>
      <c r="P190" s="55" t="inlineStr">
        <is>
          <t>Аренда/предоставление вагонов</t>
        </is>
      </c>
      <c r="Q190" s="55" t="inlineStr">
        <is>
          <t>ТОО "Asia Railways Tracking Service (Азия Рэ</t>
        </is>
      </c>
    </row>
    <row r="191">
      <c r="A191" s="55" t="inlineStr">
        <is>
          <t>21.07.2026</t>
        </is>
      </c>
      <c r="B191" s="55" t="inlineStr">
        <is>
          <t>ЦентрКредит</t>
        </is>
      </c>
      <c r="C191" s="55" t="inlineStr">
        <is>
          <t>KZT</t>
        </is>
      </c>
      <c r="D191" s="55" t="inlineStr">
        <is>
          <t>2401</t>
        </is>
      </c>
      <c r="E191" s="55" t="inlineStr">
        <is>
          <t>Товарищество с ограниченной ответственностью "Kumo Trans"</t>
        </is>
      </c>
      <c r="F191" s="55" t="inlineStr">
        <is>
          <t>200340013599</t>
        </is>
      </c>
      <c r="G191" s="55" t="inlineStr">
        <is>
          <t>813</t>
        </is>
      </c>
      <c r="H191" s="56" t="inlineStr">
        <is>
          <t>Счет на оплату №KT-000072 от 15.07.2026 г. Шемонаиха - Ахангаран</t>
        </is>
      </c>
      <c r="I191" s="57" t="n">
        <v>960000</v>
      </c>
      <c r="J191" s="57" t="n"/>
      <c r="K191" s="58" t="n">
        <v>1</v>
      </c>
      <c r="L191" s="57" t="n">
        <v>960000</v>
      </c>
      <c r="M191" s="57" t="n"/>
      <c r="N191" s="55" t="inlineStr">
        <is>
          <t>Внешняя операция</t>
        </is>
      </c>
      <c r="O191" s="55" t="inlineStr">
        <is>
          <t>Прочее</t>
        </is>
      </c>
      <c r="P191" s="55" t="inlineStr">
        <is>
          <t>Прочие расходы</t>
        </is>
      </c>
      <c r="Q191" s="55" t="inlineStr">
        <is>
          <t>ТОО "Kumo Trans"</t>
        </is>
      </c>
    </row>
    <row r="192">
      <c r="A192" s="55" t="inlineStr">
        <is>
          <t>21.07.2026</t>
        </is>
      </c>
      <c r="B192" s="55" t="inlineStr">
        <is>
          <t>ЦентрКредит</t>
        </is>
      </c>
      <c r="C192" s="55" t="inlineStr">
        <is>
          <t>KZT</t>
        </is>
      </c>
      <c r="D192" s="55" t="inlineStr">
        <is>
          <t>2401</t>
        </is>
      </c>
      <c r="E192" s="55" t="inlineStr">
        <is>
          <t>ТОО КТЖ-Грузовые перевозки</t>
        </is>
      </c>
      <c r="F192" s="55" t="inlineStr">
        <is>
          <t>031040001799</t>
        </is>
      </c>
      <c r="G192" s="55" t="inlineStr">
        <is>
          <t>813</t>
        </is>
      </c>
      <c r="H192" s="56" t="inlineStr">
        <is>
          <t>Без НДС, 4185494, Платежи за услуги железнодорожного транспорта</t>
        </is>
      </c>
      <c r="I192" s="57" t="n">
        <v>5000000</v>
      </c>
      <c r="J192" s="57" t="n"/>
      <c r="K192" s="58" t="n">
        <v>1</v>
      </c>
      <c r="L192" s="57" t="n">
        <v>5000000</v>
      </c>
      <c r="M192" s="57" t="n"/>
      <c r="N192" s="55" t="inlineStr">
        <is>
          <t>Внешняя операция</t>
        </is>
      </c>
      <c r="O192" s="55" t="inlineStr">
        <is>
          <t>Себестоимость</t>
        </is>
      </c>
      <c r="P192" s="55" t="inlineStr">
        <is>
          <t>Тариф КТЖ (ж/д перевозки)</t>
        </is>
      </c>
      <c r="Q192" s="55" t="inlineStr">
        <is>
          <t>ТОО «КТЖ-Грузовые перевозки»</t>
        </is>
      </c>
    </row>
    <row r="193">
      <c r="A193" s="55" t="inlineStr">
        <is>
          <t>21.07.2026</t>
        </is>
      </c>
      <c r="B193" s="55" t="inlineStr">
        <is>
          <t>ЦентрКредит</t>
        </is>
      </c>
      <c r="C193" s="55" t="inlineStr">
        <is>
          <t>KZT</t>
        </is>
      </c>
      <c r="D193" s="55" t="inlineStr">
        <is>
          <t>2401</t>
        </is>
      </c>
      <c r="E193" s="55" t="inlineStr">
        <is>
          <t>Товарищество с ограниченной ответственностью "WayStar Group"</t>
        </is>
      </c>
      <c r="F193" s="55" t="inlineStr">
        <is>
          <t>240340014287</t>
        </is>
      </c>
      <c r="G193" s="55" t="inlineStr">
        <is>
          <t>312</t>
        </is>
      </c>
      <c r="H193" s="56" t="inlineStr">
        <is>
          <t>Размещение вклада</t>
        </is>
      </c>
      <c r="I193" s="57" t="n">
        <v>13372100</v>
      </c>
      <c r="J193" s="57" t="n"/>
      <c r="K193" s="58" t="n">
        <v>1</v>
      </c>
      <c r="L193" s="57" t="n">
        <v>13372100</v>
      </c>
      <c r="M193" s="57" t="n"/>
      <c r="N193" s="59" t="inlineStr">
        <is>
          <t>Внутренний перевод</t>
        </is>
      </c>
      <c r="O193" s="55" t="inlineStr">
        <is>
          <t>Технические</t>
        </is>
      </c>
      <c r="P193" s="55" t="inlineStr">
        <is>
          <t>Перевод между своими счетами</t>
        </is>
      </c>
      <c r="Q193" s="55" t="inlineStr"/>
    </row>
    <row r="194">
      <c r="A194" s="55" t="inlineStr">
        <is>
          <t>21.07.2026</t>
        </is>
      </c>
      <c r="B194" s="55" t="inlineStr">
        <is>
          <t>ЦентрКредит</t>
        </is>
      </c>
      <c r="C194" s="55" t="inlineStr">
        <is>
          <t>KZT</t>
        </is>
      </c>
      <c r="D194" s="55" t="inlineStr">
        <is>
          <t>2401</t>
        </is>
      </c>
      <c r="E194" s="55" t="inlineStr">
        <is>
          <t>ТОО КТЖ-Грузовые перевозки</t>
        </is>
      </c>
      <c r="F194" s="55" t="inlineStr">
        <is>
          <t>031040001799</t>
        </is>
      </c>
      <c r="G194" s="55" t="inlineStr">
        <is>
          <t>813</t>
        </is>
      </c>
      <c r="H194" s="56" t="inlineStr">
        <is>
          <t>Без НДС, 4185494, Платежи за услуги железнодорожного транспорта</t>
        </is>
      </c>
      <c r="I194" s="57" t="n">
        <v>14700000</v>
      </c>
      <c r="J194" s="57" t="n"/>
      <c r="K194" s="58" t="n">
        <v>1</v>
      </c>
      <c r="L194" s="57" t="n">
        <v>14700000</v>
      </c>
      <c r="M194" s="57" t="n"/>
      <c r="N194" s="55" t="inlineStr">
        <is>
          <t>Внешняя операция</t>
        </is>
      </c>
      <c r="O194" s="55" t="inlineStr">
        <is>
          <t>Себестоимость</t>
        </is>
      </c>
      <c r="P194" s="55" t="inlineStr">
        <is>
          <t>Тариф КТЖ (ж/д перевозки)</t>
        </is>
      </c>
      <c r="Q194" s="55" t="inlineStr">
        <is>
          <t>ТОО «КТЖ-Грузовые перевозки»</t>
        </is>
      </c>
    </row>
    <row r="195">
      <c r="A195" s="55" t="inlineStr">
        <is>
          <t>21.07.2026</t>
        </is>
      </c>
      <c r="B195" s="55" t="inlineStr">
        <is>
          <t>ЦентрКредит</t>
        </is>
      </c>
      <c r="C195" s="55" t="inlineStr">
        <is>
          <t>KZT</t>
        </is>
      </c>
      <c r="D195" s="55" t="inlineStr">
        <is>
          <t>2401</t>
        </is>
      </c>
      <c r="E195" s="55" t="inlineStr">
        <is>
          <t>Серикбаев Адиль Даниярович</t>
        </is>
      </c>
      <c r="F195" s="55" t="inlineStr">
        <is>
          <t>940422350422</t>
        </is>
      </c>
      <c r="G195" s="55" t="inlineStr">
        <is>
          <t>421</t>
        </is>
      </c>
      <c r="H195" s="56" t="inlineStr">
        <is>
          <t>Перевод с счета KZ568562204138042155 на счета KZ768562203136652401 через систему BCC.KZ. ИИН получателя - 240340014287. '||'Получатель - KZ768562203136652401. погашение краткосрочного займа</t>
        </is>
      </c>
      <c r="I195" s="57" t="n"/>
      <c r="J195" s="57" t="n">
        <v>1000000</v>
      </c>
      <c r="K195" s="58" t="n">
        <v>1</v>
      </c>
      <c r="L195" s="57" t="n"/>
      <c r="M195" s="57" t="n">
        <v>1000000</v>
      </c>
      <c r="N195" s="55" t="inlineStr">
        <is>
          <t>Внешняя операция</t>
        </is>
      </c>
      <c r="O195" s="55" t="inlineStr">
        <is>
          <t>Финансовые</t>
        </is>
      </c>
      <c r="P195" s="55" t="inlineStr">
        <is>
          <t>Возврат выданных займов</t>
        </is>
      </c>
      <c r="Q195" s="55" t="inlineStr">
        <is>
          <t>Серикбаев Адиль Даниярович</t>
        </is>
      </c>
    </row>
    <row r="196">
      <c r="A196" s="55" t="inlineStr">
        <is>
          <t>21.07.2026</t>
        </is>
      </c>
      <c r="B196" s="55" t="inlineStr">
        <is>
          <t>ЦентрКредит</t>
        </is>
      </c>
      <c r="C196" s="55" t="inlineStr">
        <is>
          <t>KZT</t>
        </is>
      </c>
      <c r="D196" s="55" t="inlineStr">
        <is>
          <t>2401</t>
        </is>
      </c>
      <c r="E196" s="55" t="inlineStr">
        <is>
          <t>ТОО Агро-Трейд-2030</t>
        </is>
      </c>
      <c r="F196" s="55" t="inlineStr">
        <is>
          <t>150240031511</t>
        </is>
      </c>
      <c r="G196" s="55" t="inlineStr">
        <is>
          <t>813</t>
        </is>
      </c>
      <c r="H196" s="56" t="inlineStr">
        <is>
          <t>Предоставление подвижного состава по Договору №2025/12-55 ТЭУ от 23.12.2025 г., с-но счета на оплату №194 от 17.07.2026 г. Сумма 8 700 000-00 теңге без НДС Платежи за услуги железнодорожного транспорта,</t>
        </is>
      </c>
      <c r="I196" s="57" t="n"/>
      <c r="J196" s="57" t="n">
        <v>8700000</v>
      </c>
      <c r="K196" s="58" t="n">
        <v>1</v>
      </c>
      <c r="L196" s="57" t="n"/>
      <c r="M196" s="57" t="n">
        <v>8700000</v>
      </c>
      <c r="N196" s="55" t="inlineStr">
        <is>
          <t>Внешняя операция</t>
        </is>
      </c>
      <c r="O196" s="55" t="inlineStr">
        <is>
          <t>Выручка</t>
        </is>
      </c>
      <c r="P196" s="55" t="inlineStr">
        <is>
          <t>Операционная выручка (ТЭО, вагоны)</t>
        </is>
      </c>
      <c r="Q196" s="55" t="inlineStr">
        <is>
          <t>ТОО Агро-Трейд-2030</t>
        </is>
      </c>
    </row>
    <row r="197">
      <c r="A197" s="55" t="inlineStr">
        <is>
          <t>21.07.2026</t>
        </is>
      </c>
      <c r="B197" s="55" t="inlineStr">
        <is>
          <t>ЦентрКредит</t>
        </is>
      </c>
      <c r="C197" s="55" t="inlineStr">
        <is>
          <t>KZT</t>
        </is>
      </c>
      <c r="D197" s="55" t="inlineStr">
        <is>
          <t>2401</t>
        </is>
      </c>
      <c r="E197" s="55" t="inlineStr">
        <is>
          <t>ТОО  "WayStar Group"</t>
        </is>
      </c>
      <c r="F197" s="55" t="inlineStr">
        <is>
          <t>240340014287</t>
        </is>
      </c>
      <c r="G197" s="55" t="inlineStr">
        <is>
          <t>343</t>
        </is>
      </c>
      <c r="H197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197" s="57" t="n"/>
      <c r="J197" s="57" t="n">
        <v>25000000</v>
      </c>
      <c r="K197" s="58" t="n">
        <v>1</v>
      </c>
      <c r="L197" s="57" t="n"/>
      <c r="M197" s="57" t="n">
        <v>25000000</v>
      </c>
      <c r="N197" s="59" t="inlineStr">
        <is>
          <t>Внутренний перевод</t>
        </is>
      </c>
      <c r="O197" s="55" t="inlineStr">
        <is>
          <t>Технические</t>
        </is>
      </c>
      <c r="P197" s="55" t="inlineStr">
        <is>
          <t>Перевод между своими счетами</t>
        </is>
      </c>
      <c r="Q197" s="55" t="inlineStr"/>
    </row>
    <row r="198">
      <c r="A198" s="55" t="inlineStr">
        <is>
          <t>22.07.2026</t>
        </is>
      </c>
      <c r="B198" s="55" t="inlineStr">
        <is>
          <t>ЦентрКредит</t>
        </is>
      </c>
      <c r="C198" s="55" t="inlineStr">
        <is>
          <t>KZT</t>
        </is>
      </c>
      <c r="D198" s="55" t="inlineStr">
        <is>
          <t>2401</t>
        </is>
      </c>
      <c r="E198" s="55" t="inlineStr">
        <is>
          <t>Индивидуальный предприниматель "Курасов С.Н."</t>
        </is>
      </c>
      <c r="F198" s="55" t="inlineStr">
        <is>
          <t>770118300229</t>
        </is>
      </c>
      <c r="G198" s="55" t="inlineStr">
        <is>
          <t>851</t>
        </is>
      </c>
      <c r="H198" s="56" t="inlineStr">
        <is>
          <t>Договор № 119 от 12.06.2026 г.Счет на оплату № 228 от 30 июня 2026 г. Информационно-техническое сопровождение за июнь 2026</t>
        </is>
      </c>
      <c r="I198" s="57" t="n">
        <v>10767</v>
      </c>
      <c r="J198" s="57" t="n"/>
      <c r="K198" s="58" t="n">
        <v>1</v>
      </c>
      <c r="L198" s="57" t="n">
        <v>10767</v>
      </c>
      <c r="M198" s="57" t="n"/>
      <c r="N198" s="55" t="inlineStr">
        <is>
          <t>Внешняя операция</t>
        </is>
      </c>
      <c r="O198" s="55" t="inlineStr">
        <is>
          <t>Админ/офис</t>
        </is>
      </c>
      <c r="P198" s="55" t="inlineStr">
        <is>
          <t>Связь и ИТ</t>
        </is>
      </c>
      <c r="Q198" s="55" t="inlineStr">
        <is>
          <t>Индивидуальный предприниматель "Курасов С.Н.</t>
        </is>
      </c>
    </row>
    <row r="199">
      <c r="A199" s="55" t="inlineStr">
        <is>
          <t>22.07.2026</t>
        </is>
      </c>
      <c r="B199" s="55" t="inlineStr">
        <is>
          <t>ЦентрКредит</t>
        </is>
      </c>
      <c r="C199" s="55" t="inlineStr">
        <is>
          <t>KZT</t>
        </is>
      </c>
      <c r="D199" s="55" t="inlineStr">
        <is>
          <t>2401</t>
        </is>
      </c>
      <c r="E199" s="55" t="inlineStr">
        <is>
          <t>Индивидуальный предприниматель "Курасов С.Н."</t>
        </is>
      </c>
      <c r="F199" s="55" t="inlineStr">
        <is>
          <t>770118300229</t>
        </is>
      </c>
      <c r="G199" s="55" t="inlineStr">
        <is>
          <t>851</t>
        </is>
      </c>
      <c r="H199" s="56" t="inlineStr">
        <is>
          <t>Договор № 118 от 01.05.2026г. Счет на оплату № 227 от 29 июня 2026 г.. Информационно-техническое сопровождение за июнь 2026</t>
        </is>
      </c>
      <c r="I199" s="57" t="n">
        <v>160000</v>
      </c>
      <c r="J199" s="57" t="n"/>
      <c r="K199" s="58" t="n">
        <v>1</v>
      </c>
      <c r="L199" s="57" t="n">
        <v>160000</v>
      </c>
      <c r="M199" s="57" t="n"/>
      <c r="N199" s="55" t="inlineStr">
        <is>
          <t>Внешняя операция</t>
        </is>
      </c>
      <c r="O199" s="55" t="inlineStr">
        <is>
          <t>Админ/офис</t>
        </is>
      </c>
      <c r="P199" s="55" t="inlineStr">
        <is>
          <t>Связь и ИТ</t>
        </is>
      </c>
      <c r="Q199" s="55" t="inlineStr">
        <is>
          <t>Индивидуальный предприниматель "Курасов С.Н.</t>
        </is>
      </c>
    </row>
    <row r="200">
      <c r="A200" s="55" t="inlineStr">
        <is>
          <t>22.07.2026</t>
        </is>
      </c>
      <c r="B200" s="55" t="inlineStr">
        <is>
          <t>ЦентрКредит</t>
        </is>
      </c>
      <c r="C200" s="55" t="inlineStr">
        <is>
          <t>KZT</t>
        </is>
      </c>
      <c r="D200" s="55" t="inlineStr">
        <is>
          <t>2401</t>
        </is>
      </c>
      <c r="E200" s="55" t="inlineStr">
        <is>
          <t>Частная компания WayStar Service Limited</t>
        </is>
      </c>
      <c r="F200" s="55" t="inlineStr">
        <is>
          <t>260540900770</t>
        </is>
      </c>
      <c r="G200" s="55" t="inlineStr">
        <is>
          <t>411</t>
        </is>
      </c>
      <c r="H200" s="56" t="inlineStr">
        <is>
          <t>выдача займа. Без НДС. Выдача краткосрочных займов (не более одного года)</t>
        </is>
      </c>
      <c r="I200" s="57" t="n">
        <v>200000</v>
      </c>
      <c r="J200" s="57" t="n"/>
      <c r="K200" s="58" t="n">
        <v>1</v>
      </c>
      <c r="L200" s="57" t="n">
        <v>200000</v>
      </c>
      <c r="M200" s="57" t="n"/>
      <c r="N200" s="59" t="inlineStr">
        <is>
          <t>Внутренний перевод</t>
        </is>
      </c>
      <c r="O200" s="55" t="inlineStr">
        <is>
          <t>Технические</t>
        </is>
      </c>
      <c r="P200" s="55" t="inlineStr">
        <is>
          <t>Перевод между своими счетами</t>
        </is>
      </c>
      <c r="Q200" s="55" t="inlineStr"/>
    </row>
    <row r="201">
      <c r="A201" s="55" t="inlineStr">
        <is>
          <t>22.07.2026</t>
        </is>
      </c>
      <c r="B201" s="55" t="inlineStr">
        <is>
          <t>ЦентрКредит</t>
        </is>
      </c>
      <c r="C201" s="55" t="inlineStr">
        <is>
          <t>KZT</t>
        </is>
      </c>
      <c r="D201" s="55" t="inlineStr">
        <is>
          <t>2401</t>
        </is>
      </c>
      <c r="E201" s="55" t="inlineStr">
        <is>
          <t>Пшебельский Богдан Евгеньевич</t>
        </is>
      </c>
      <c r="F201" s="55" t="inlineStr">
        <is>
          <t>990924350887</t>
        </is>
      </c>
      <c r="G201" s="55" t="inlineStr">
        <is>
          <t>119</t>
        </is>
      </c>
      <c r="H201" s="56" t="inlineStr">
        <is>
          <t>Выдача денег согласно Договору спонсорства №1 от 30.12.2025. Без НДС. Прочие безвозмездные переводы денег</t>
        </is>
      </c>
      <c r="I201" s="57" t="n">
        <v>200000</v>
      </c>
      <c r="J201" s="57" t="n"/>
      <c r="K201" s="58" t="n">
        <v>1</v>
      </c>
      <c r="L201" s="57" t="n">
        <v>200000</v>
      </c>
      <c r="M201" s="57" t="n"/>
      <c r="N201" s="55" t="inlineStr">
        <is>
          <t>Внешняя операция</t>
        </is>
      </c>
      <c r="O201" s="55" t="inlineStr">
        <is>
          <t>Прочее</t>
        </is>
      </c>
      <c r="P201" s="55" t="inlineStr">
        <is>
          <t>Спонсорство / благотвор.</t>
        </is>
      </c>
      <c r="Q201" s="55" t="inlineStr">
        <is>
          <t>Пшебельский Богдан Евгеньевич</t>
        </is>
      </c>
    </row>
    <row r="202">
      <c r="A202" s="55" t="inlineStr">
        <is>
          <t>22.07.2026</t>
        </is>
      </c>
      <c r="B202" s="55" t="inlineStr">
        <is>
          <t>ЦентрКредит</t>
        </is>
      </c>
      <c r="C202" s="55" t="inlineStr">
        <is>
          <t>KZT</t>
        </is>
      </c>
      <c r="D202" s="55" t="inlineStr">
        <is>
          <t>2401</t>
        </is>
      </c>
      <c r="E202" s="55" t="inlineStr">
        <is>
          <t>Товарищество с ограниченной ответственностью "TOP.KZ (ТОП.КЗ)"</t>
        </is>
      </c>
      <c r="F202" s="55" t="inlineStr">
        <is>
          <t>170640016378</t>
        </is>
      </c>
      <c r="G202" s="55" t="inlineStr">
        <is>
          <t>859</t>
        </is>
      </c>
      <c r="H202" s="56" t="inlineStr">
        <is>
          <t>Счет на оплату №2472 от 26.07.2026 г. по уборке помещении июнь 2026. Без НДС. Платежи за профессиональные, научные и технические услуги</t>
        </is>
      </c>
      <c r="I202" s="57" t="n">
        <v>203497</v>
      </c>
      <c r="J202" s="57" t="n"/>
      <c r="K202" s="58" t="n">
        <v>1</v>
      </c>
      <c r="L202" s="57" t="n">
        <v>203497</v>
      </c>
      <c r="M202" s="57" t="n"/>
      <c r="N202" s="55" t="inlineStr">
        <is>
          <t>Внешняя операция</t>
        </is>
      </c>
      <c r="O202" s="55" t="inlineStr">
        <is>
          <t>Админ/офис</t>
        </is>
      </c>
      <c r="P202" s="55" t="inlineStr">
        <is>
          <t>Офис, аренда помещений, хоз.</t>
        </is>
      </c>
      <c r="Q202" s="55" t="inlineStr">
        <is>
          <t>ТОО "TOP.KZ (ТОП.КЗ)"</t>
        </is>
      </c>
    </row>
    <row r="203">
      <c r="A203" s="55" t="inlineStr">
        <is>
          <t>22.07.2026</t>
        </is>
      </c>
      <c r="B203" s="55" t="inlineStr">
        <is>
          <t>ЦентрКредит</t>
        </is>
      </c>
      <c r="C203" s="55" t="inlineStr">
        <is>
          <t>KZT</t>
        </is>
      </c>
      <c r="D203" s="55" t="inlineStr">
        <is>
          <t>2401</t>
        </is>
      </c>
      <c r="E203" s="55" t="inlineStr">
        <is>
          <t>Акционерное общество "Страховая компания "Евразия"</t>
        </is>
      </c>
      <c r="F203" s="55" t="inlineStr">
        <is>
          <t>950540000024</t>
        </is>
      </c>
      <c r="G203" s="55" t="inlineStr">
        <is>
          <t>833</t>
        </is>
      </c>
      <c r="H203" s="56" t="inlineStr">
        <is>
          <t>Счет на оплату № 123472 от 16 июля 2026 г Страховая премия 16-18-02-2026-00097( Вагоны цистерны). Без НДС. Прочие страховые премии</t>
        </is>
      </c>
      <c r="I203" s="57" t="n">
        <v>650000</v>
      </c>
      <c r="J203" s="57" t="n"/>
      <c r="K203" s="58" t="n">
        <v>1</v>
      </c>
      <c r="L203" s="57" t="n">
        <v>650000</v>
      </c>
      <c r="M203" s="57" t="n"/>
      <c r="N203" s="55" t="inlineStr">
        <is>
          <t>Внешняя операция</t>
        </is>
      </c>
      <c r="O203" s="55" t="inlineStr">
        <is>
          <t>ФОТ</t>
        </is>
      </c>
      <c r="P203" s="55" t="inlineStr">
        <is>
          <t>Зарплата</t>
        </is>
      </c>
      <c r="Q203" s="55" t="inlineStr">
        <is>
          <t>Акционерное общество "Страховая компания "Ев</t>
        </is>
      </c>
    </row>
    <row r="204">
      <c r="A204" s="55" t="inlineStr">
        <is>
          <t>22.07.2026</t>
        </is>
      </c>
      <c r="B204" s="55" t="inlineStr">
        <is>
          <t>ЦентрКредит</t>
        </is>
      </c>
      <c r="C204" s="55" t="inlineStr">
        <is>
          <t>KZT</t>
        </is>
      </c>
      <c r="D204" s="55" t="inlineStr">
        <is>
          <t>2401</t>
        </is>
      </c>
      <c r="E204" s="55" t="inlineStr">
        <is>
          <t>Индивидуальный предприниматель "Makenzo media"</t>
        </is>
      </c>
      <c r="F204" s="55" t="inlineStr">
        <is>
          <t>650110301457</t>
        </is>
      </c>
      <c r="G204" s="55" t="inlineStr">
        <is>
          <t>858</t>
        </is>
      </c>
      <c r="H204" s="56" t="inlineStr">
        <is>
          <t>Счет на оплату № 89 от 22 июля 2026 г. РекламаСумма 812 000-00 теңге в т.ч. НДС(16%) 112 000-00 теңге</t>
        </is>
      </c>
      <c r="I204" s="57" t="n">
        <v>812000</v>
      </c>
      <c r="J204" s="57" t="n"/>
      <c r="K204" s="58" t="n">
        <v>1</v>
      </c>
      <c r="L204" s="57" t="n">
        <v>812000</v>
      </c>
      <c r="M204" s="57" t="n"/>
      <c r="N204" s="55" t="inlineStr">
        <is>
          <t>Внешняя операция</t>
        </is>
      </c>
      <c r="O204" s="55" t="inlineStr">
        <is>
          <t>Админ/офис</t>
        </is>
      </c>
      <c r="P204" s="55" t="inlineStr">
        <is>
          <t>Маркетинг и представит.</t>
        </is>
      </c>
      <c r="Q204" s="55" t="inlineStr">
        <is>
          <t>Индивидуальный предприниматель "Makenzo medi</t>
        </is>
      </c>
    </row>
    <row r="205">
      <c r="A205" s="55" t="inlineStr">
        <is>
          <t>22.07.2026</t>
        </is>
      </c>
      <c r="B205" s="55" t="inlineStr">
        <is>
          <t>ЦентрКредит</t>
        </is>
      </c>
      <c r="C205" s="55" t="inlineStr">
        <is>
          <t>KZT</t>
        </is>
      </c>
      <c r="D205" s="55" t="inlineStr">
        <is>
          <t>2401</t>
        </is>
      </c>
      <c r="E205" s="55" t="inlineStr">
        <is>
          <t>ТОО КТЖ-Грузовые перевозки</t>
        </is>
      </c>
      <c r="F205" s="55" t="inlineStr">
        <is>
          <t>031040001799</t>
        </is>
      </c>
      <c r="G205" s="55" t="inlineStr">
        <is>
          <t>813</t>
        </is>
      </c>
      <c r="H205" s="56" t="inlineStr">
        <is>
          <t>Без НДС, 4185494, Платежи за услуги железнодорожного транспорта</t>
        </is>
      </c>
      <c r="I205" s="57" t="n">
        <v>994351.38</v>
      </c>
      <c r="J205" s="57" t="n"/>
      <c r="K205" s="58" t="n">
        <v>1</v>
      </c>
      <c r="L205" s="57" t="n">
        <v>994351.38</v>
      </c>
      <c r="M205" s="57" t="n"/>
      <c r="N205" s="55" t="inlineStr">
        <is>
          <t>Внешняя операция</t>
        </is>
      </c>
      <c r="O205" s="55" t="inlineStr">
        <is>
          <t>Себестоимость</t>
        </is>
      </c>
      <c r="P205" s="55" t="inlineStr">
        <is>
          <t>Тариф КТЖ (ж/д перевозки)</t>
        </is>
      </c>
      <c r="Q205" s="55" t="inlineStr">
        <is>
          <t>ТОО «КТЖ-Грузовые перевозки»</t>
        </is>
      </c>
    </row>
    <row r="206">
      <c r="A206" s="55" t="inlineStr">
        <is>
          <t>22.07.2026</t>
        </is>
      </c>
      <c r="B206" s="55" t="inlineStr">
        <is>
          <t>ЦентрКредит</t>
        </is>
      </c>
      <c r="C206" s="55" t="inlineStr">
        <is>
          <t>KZT</t>
        </is>
      </c>
      <c r="D206" s="55" t="inlineStr">
        <is>
          <t>2401</t>
        </is>
      </c>
      <c r="E206" s="55" t="inlineStr">
        <is>
          <t>Товарищество с ограниченной ответственностью "ЭРСАЛТ РЭЙЛ"</t>
        </is>
      </c>
      <c r="F206" s="55" t="inlineStr">
        <is>
          <t>151040004202</t>
        </is>
      </c>
      <c r="G206" s="55" t="inlineStr">
        <is>
          <t>855</t>
        </is>
      </c>
      <c r="H206" s="56" t="inlineStr">
        <is>
          <t>Счет на оплату № 24 от 07.07.2026 г. Договор аренды подвижного состава №325/2025 от 30.12.2025 г. Услуга аренды ПС (цистерна) Предоплата за август 2026Сумма 10 912 000-00 теңге в т.ч. НДС(16%) 1 505 103-45 теңге</t>
        </is>
      </c>
      <c r="I206" s="57" t="n">
        <v>10912000</v>
      </c>
      <c r="J206" s="57" t="n"/>
      <c r="K206" s="58" t="n">
        <v>1</v>
      </c>
      <c r="L206" s="57" t="n">
        <v>10912000</v>
      </c>
      <c r="M206" s="57" t="n"/>
      <c r="N206" s="55" t="inlineStr">
        <is>
          <t>Внешняя операция</t>
        </is>
      </c>
      <c r="O206" s="55" t="inlineStr">
        <is>
          <t>Себестоимость</t>
        </is>
      </c>
      <c r="P206" s="55" t="inlineStr">
        <is>
          <t>Аренда/предоставление вагонов</t>
        </is>
      </c>
      <c r="Q206" s="55" t="inlineStr">
        <is>
          <t>ТОО "ЭРСАЛТ РЭЙЛ"</t>
        </is>
      </c>
    </row>
    <row r="207">
      <c r="A207" s="55" t="inlineStr">
        <is>
          <t>22.07.2026</t>
        </is>
      </c>
      <c r="B207" s="55" t="inlineStr">
        <is>
          <t>ЦентрКредит</t>
        </is>
      </c>
      <c r="C207" s="55" t="inlineStr">
        <is>
          <t>KZT</t>
        </is>
      </c>
      <c r="D207" s="55" t="inlineStr">
        <is>
          <t>2401</t>
        </is>
      </c>
      <c r="E207" s="55" t="inlineStr">
        <is>
          <t>Товарищество с ограниченной ответственностью "WayStar Group"</t>
        </is>
      </c>
      <c r="F207" s="55" t="inlineStr">
        <is>
          <t>240340014287</t>
        </is>
      </c>
      <c r="G207" s="55" t="inlineStr">
        <is>
          <t>316</t>
        </is>
      </c>
      <c r="H207" s="56" t="inlineStr">
        <is>
          <t>Выплата начисленного вознаграждения по депозитному договору № 01607034 от 24.07.2025 за период с 20.07.26 по 21.07.26. Вкладчик Товарищество с ограниченной ответственностью "WayStar Group".</t>
        </is>
      </c>
      <c r="I207" s="57" t="n"/>
      <c r="J207" s="57" t="n">
        <v>4515.38</v>
      </c>
      <c r="K207" s="58" t="n">
        <v>1</v>
      </c>
      <c r="L207" s="57" t="n"/>
      <c r="M207" s="57" t="n">
        <v>4515.38</v>
      </c>
      <c r="N207" s="59" t="inlineStr">
        <is>
          <t>Внутренний перевод</t>
        </is>
      </c>
      <c r="O207" s="55" t="inlineStr">
        <is>
          <t>Технические</t>
        </is>
      </c>
      <c r="P207" s="55" t="inlineStr">
        <is>
          <t>Перевод между своими счетами</t>
        </is>
      </c>
      <c r="Q207" s="55" t="inlineStr"/>
    </row>
    <row r="208">
      <c r="A208" s="55" t="inlineStr">
        <is>
          <t>22.07.2026</t>
        </is>
      </c>
      <c r="B208" s="55" t="inlineStr">
        <is>
          <t>ЦентрКредит</t>
        </is>
      </c>
      <c r="C208" s="55" t="inlineStr">
        <is>
          <t>KZT</t>
        </is>
      </c>
      <c r="D208" s="55" t="inlineStr">
        <is>
          <t>2401</t>
        </is>
      </c>
      <c r="E208" s="55" t="inlineStr">
        <is>
          <t>Филиал АО "Bereke Bank" (ДБ Lesha Bank LLC (Public)) по обла</t>
        </is>
      </c>
      <c r="F208" s="55" t="inlineStr">
        <is>
          <t>221241021637</t>
        </is>
      </c>
      <c r="G208" s="55" t="inlineStr">
        <is>
          <t>822</t>
        </is>
      </c>
      <c r="H208" s="56" t="inlineStr">
        <is>
          <t>Возврат - Счет получателя закрыт в банке получателя. Референс:  AST2672126786700. Счет на оплату № 46 от 21.07.2026 г. Текущий ремонт колесной пары</t>
        </is>
      </c>
      <c r="I208" s="57" t="n"/>
      <c r="J208" s="57" t="n">
        <v>116000</v>
      </c>
      <c r="K208" s="58" t="n">
        <v>1</v>
      </c>
      <c r="L208" s="57" t="n"/>
      <c r="M208" s="57" t="n">
        <v>116000</v>
      </c>
      <c r="N208" s="55" t="inlineStr">
        <is>
          <t>Внешняя операция</t>
        </is>
      </c>
      <c r="O208" s="55" t="inlineStr">
        <is>
          <t>Прочее</t>
        </is>
      </c>
      <c r="P208" s="55" t="inlineStr">
        <is>
          <t>Возврат средств</t>
        </is>
      </c>
      <c r="Q208" s="55" t="inlineStr">
        <is>
          <t>Филиал АО "Bereke Bank" (ДБ Lesha Bank LLC (</t>
        </is>
      </c>
    </row>
    <row r="209">
      <c r="A209" s="55" t="inlineStr">
        <is>
          <t>22.07.2026</t>
        </is>
      </c>
      <c r="B209" s="55" t="inlineStr">
        <is>
          <t>ЦентрКредит</t>
        </is>
      </c>
      <c r="C209" s="55" t="inlineStr">
        <is>
          <t>KZT</t>
        </is>
      </c>
      <c r="D209" s="55" t="inlineStr">
        <is>
          <t>2401</t>
        </is>
      </c>
      <c r="E209" s="55" t="inlineStr">
        <is>
          <t>ТОО  "WayStar Group"</t>
        </is>
      </c>
      <c r="F209" s="55" t="inlineStr">
        <is>
          <t>240340014287</t>
        </is>
      </c>
      <c r="G209" s="55" t="inlineStr">
        <is>
          <t>343</t>
        </is>
      </c>
      <c r="H209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09" s="57" t="n"/>
      <c r="J209" s="57" t="n">
        <v>650000</v>
      </c>
      <c r="K209" s="58" t="n">
        <v>1</v>
      </c>
      <c r="L209" s="57" t="n"/>
      <c r="M209" s="57" t="n">
        <v>650000</v>
      </c>
      <c r="N209" s="59" t="inlineStr">
        <is>
          <t>Внутренний перевод</t>
        </is>
      </c>
      <c r="O209" s="55" t="inlineStr">
        <is>
          <t>Технические</t>
        </is>
      </c>
      <c r="P209" s="55" t="inlineStr">
        <is>
          <t>Перевод между своими счетами</t>
        </is>
      </c>
      <c r="Q209" s="55" t="inlineStr"/>
    </row>
    <row r="210">
      <c r="A210" s="55" t="inlineStr">
        <is>
          <t>22.07.2026</t>
        </is>
      </c>
      <c r="B210" s="55" t="inlineStr">
        <is>
          <t>ЦентрКредит</t>
        </is>
      </c>
      <c r="C210" s="55" t="inlineStr">
        <is>
          <t>KZT</t>
        </is>
      </c>
      <c r="D210" s="55" t="inlineStr">
        <is>
          <t>2401</t>
        </is>
      </c>
      <c r="E210" s="55" t="inlineStr">
        <is>
          <t>Товарищество с ограниченной ответственностью "WayStar Group"</t>
        </is>
      </c>
      <c r="F210" s="55" t="inlineStr">
        <is>
          <t>240340014287</t>
        </is>
      </c>
      <c r="G210" s="55" t="inlineStr">
        <is>
          <t>322</t>
        </is>
      </c>
      <c r="H210" s="56" t="inlineStr">
        <is>
          <t>Частичная выплата вклада по депозитному договору № 01607034 от 22.07.2026 в размере 13372100 согласно ДП. Вкладчик: Товарищество с ограниченной ответственностью "WayStar Group".</t>
        </is>
      </c>
      <c r="I210" s="57" t="n"/>
      <c r="J210" s="57" t="n">
        <v>13372100</v>
      </c>
      <c r="K210" s="58" t="n">
        <v>1</v>
      </c>
      <c r="L210" s="57" t="n"/>
      <c r="M210" s="57" t="n">
        <v>13372100</v>
      </c>
      <c r="N210" s="59" t="inlineStr">
        <is>
          <t>Внутренний перевод</t>
        </is>
      </c>
      <c r="O210" s="55" t="inlineStr">
        <is>
          <t>Технические</t>
        </is>
      </c>
      <c r="P210" s="55" t="inlineStr">
        <is>
          <t>Перевод между своими счетами</t>
        </is>
      </c>
      <c r="Q210" s="55" t="inlineStr"/>
    </row>
    <row r="211">
      <c r="A211" s="55" t="inlineStr">
        <is>
          <t>23.07.2026</t>
        </is>
      </c>
      <c r="B211" s="55" t="inlineStr">
        <is>
          <t>ЦентрКредит</t>
        </is>
      </c>
      <c r="C211" s="55" t="inlineStr">
        <is>
          <t>KZT</t>
        </is>
      </c>
      <c r="D211" s="55" t="inlineStr">
        <is>
          <t>2401</t>
        </is>
      </c>
      <c r="E211" s="55" t="inlineStr">
        <is>
          <t>Производственный кооператив "ИБРАЕВ+К"</t>
        </is>
      </c>
      <c r="F211" s="55" t="inlineStr">
        <is>
          <t>000940000567</t>
        </is>
      </c>
      <c r="G211" s="55" t="inlineStr">
        <is>
          <t>822</t>
        </is>
      </c>
      <c r="H211" s="56" t="inlineStr">
        <is>
          <t>Счет на оплату № 46 от 21.07.2026 г. Текущий ремонт колесной пары Сумма 116 000-00 теңге в т.ч. НДС(16%) 16 000-00 теңге</t>
        </is>
      </c>
      <c r="I211" s="57" t="n">
        <v>116000</v>
      </c>
      <c r="J211" s="57" t="n"/>
      <c r="K211" s="58" t="n">
        <v>1</v>
      </c>
      <c r="L211" s="57" t="n">
        <v>116000</v>
      </c>
      <c r="M211" s="57" t="n"/>
      <c r="N211" s="55" t="inlineStr">
        <is>
          <t>Внешняя операция</t>
        </is>
      </c>
      <c r="O211" s="55" t="inlineStr">
        <is>
          <t>Себестоимость</t>
        </is>
      </c>
      <c r="P211" s="55" t="inlineStr">
        <is>
          <t>Ремонт вагонов и узлов</t>
        </is>
      </c>
      <c r="Q211" s="55" t="inlineStr">
        <is>
          <t>Производственный кооператив "ИБРАЕВ+К"</t>
        </is>
      </c>
    </row>
    <row r="212">
      <c r="A212" s="55" t="inlineStr">
        <is>
          <t>23.07.2026</t>
        </is>
      </c>
      <c r="B212" s="55" t="inlineStr">
        <is>
          <t>ЦентрКредит</t>
        </is>
      </c>
      <c r="C212" s="55" t="inlineStr">
        <is>
          <t>KZT</t>
        </is>
      </c>
      <c r="D212" s="55" t="inlineStr">
        <is>
          <t>2401</t>
        </is>
      </c>
      <c r="E212" s="55" t="inlineStr">
        <is>
          <t>филиал акционерного общества "Национальная компания "Қазақстан темір жолы" - "Алматинское эксплуатационное вагонное депо"</t>
        </is>
      </c>
      <c r="F212" s="55" t="inlineStr">
        <is>
          <t>250741017898</t>
        </is>
      </c>
      <c r="G212" s="55" t="inlineStr">
        <is>
          <t>822</t>
        </is>
      </c>
      <c r="H212" s="56" t="inlineStr">
        <is>
          <t>Для ВЧД Достык. Счет на оплату №482 от 02.07.2026 г . Без НДС. Платежи за услуги по ремонту товаров и техническому обслуживанию</t>
        </is>
      </c>
      <c r="I212" s="57" t="n">
        <v>128118.06</v>
      </c>
      <c r="J212" s="57" t="n"/>
      <c r="K212" s="58" t="n">
        <v>1</v>
      </c>
      <c r="L212" s="57" t="n">
        <v>128118.06</v>
      </c>
      <c r="M212" s="57" t="n"/>
      <c r="N212" s="55" t="inlineStr">
        <is>
          <t>Внешняя операция</t>
        </is>
      </c>
      <c r="O212" s="55" t="inlineStr">
        <is>
          <t>Себестоимость</t>
        </is>
      </c>
      <c r="P212" s="55" t="inlineStr">
        <is>
          <t>Ремонт вагонов и узлов</t>
        </is>
      </c>
      <c r="Q212" s="55" t="inlineStr">
        <is>
          <t>филиал акционерного общества "Национальная к</t>
        </is>
      </c>
    </row>
    <row r="213">
      <c r="A213" s="55" t="inlineStr">
        <is>
          <t>23.07.2026</t>
        </is>
      </c>
      <c r="B213" s="55" t="inlineStr">
        <is>
          <t>ЦентрКредит</t>
        </is>
      </c>
      <c r="C213" s="55" t="inlineStr">
        <is>
          <t>KZT</t>
        </is>
      </c>
      <c r="D213" s="55" t="inlineStr">
        <is>
          <t>2401</t>
        </is>
      </c>
      <c r="E213" s="55" t="inlineStr">
        <is>
          <t>Серикбаев А.Д.</t>
        </is>
      </c>
      <c r="F213" s="55" t="inlineStr">
        <is>
          <t>940422350422</t>
        </is>
      </c>
      <c r="G213" s="55" t="inlineStr">
        <is>
          <t>413</t>
        </is>
      </c>
      <c r="H213" s="56" t="inlineStr">
        <is>
          <t>займ. Без НДС. Выдача долгосрочных займов (более одного года)</t>
        </is>
      </c>
      <c r="I213" s="57" t="n">
        <v>1700000</v>
      </c>
      <c r="J213" s="57" t="n"/>
      <c r="K213" s="58" t="n">
        <v>1</v>
      </c>
      <c r="L213" s="57" t="n">
        <v>1700000</v>
      </c>
      <c r="M213" s="57" t="n"/>
      <c r="N213" s="55" t="inlineStr">
        <is>
          <t>Внешняя операция</t>
        </is>
      </c>
      <c r="O213" s="55" t="inlineStr">
        <is>
          <t>Финансовые</t>
        </is>
      </c>
      <c r="P213" s="55" t="inlineStr">
        <is>
          <t>Выданные займы (связ. лица)</t>
        </is>
      </c>
      <c r="Q213" s="55" t="inlineStr">
        <is>
          <t>Серикбаев А.Д.</t>
        </is>
      </c>
    </row>
    <row r="214">
      <c r="A214" s="55" t="inlineStr">
        <is>
          <t>23.07.2026</t>
        </is>
      </c>
      <c r="B214" s="55" t="inlineStr">
        <is>
          <t>ЦентрКредит</t>
        </is>
      </c>
      <c r="C214" s="55" t="inlineStr">
        <is>
          <t>KZT</t>
        </is>
      </c>
      <c r="D214" s="55" t="inlineStr">
        <is>
          <t>2401</t>
        </is>
      </c>
      <c r="E214" s="55" t="inlineStr">
        <is>
          <t>Банк ЦентрКредит для ЗП</t>
        </is>
      </c>
      <c r="F214" s="55" t="inlineStr">
        <is>
          <t>980640000093</t>
        </is>
      </c>
      <c r="G214" s="55" t="inlineStr">
        <is>
          <t>332</t>
        </is>
      </c>
      <c r="H214" s="56" t="inlineStr">
        <is>
          <t>Для зачисления на картсчета сотрудникам согласно спискам 1 870 793-00 теңге.</t>
        </is>
      </c>
      <c r="I214" s="57" t="n">
        <v>1870793</v>
      </c>
      <c r="J214" s="57" t="n"/>
      <c r="K214" s="58" t="n">
        <v>1</v>
      </c>
      <c r="L214" s="57" t="n">
        <v>1870793</v>
      </c>
      <c r="M214" s="57" t="n"/>
      <c r="N214" s="55" t="inlineStr">
        <is>
          <t>Внешняя операция</t>
        </is>
      </c>
      <c r="O214" s="55" t="inlineStr">
        <is>
          <t>ФОТ</t>
        </is>
      </c>
      <c r="P214" s="55" t="inlineStr">
        <is>
          <t>Зарплата</t>
        </is>
      </c>
      <c r="Q214" s="55" t="inlineStr">
        <is>
          <t>Банк ЦентрКредит для ЗП</t>
        </is>
      </c>
    </row>
    <row r="215">
      <c r="A215" s="55" t="inlineStr">
        <is>
          <t>23.07.2026</t>
        </is>
      </c>
      <c r="B215" s="55" t="inlineStr">
        <is>
          <t>ЦентрКредит</t>
        </is>
      </c>
      <c r="C215" s="55" t="inlineStr">
        <is>
          <t>KZT</t>
        </is>
      </c>
      <c r="D215" s="55" t="inlineStr">
        <is>
          <t>2401</t>
        </is>
      </c>
      <c r="E215" s="55" t="inlineStr">
        <is>
          <t>ТОО КТЖ-Грузовые перевозки</t>
        </is>
      </c>
      <c r="F215" s="55" t="inlineStr">
        <is>
          <t>031040001799</t>
        </is>
      </c>
      <c r="G215" s="55" t="inlineStr">
        <is>
          <t>813</t>
        </is>
      </c>
      <c r="H215" s="56" t="inlineStr">
        <is>
          <t>Без НДС, 4185494, Платежи за услуги железнодорожного транспорта</t>
        </is>
      </c>
      <c r="I215" s="57" t="n">
        <v>5000000</v>
      </c>
      <c r="J215" s="57" t="n"/>
      <c r="K215" s="58" t="n">
        <v>1</v>
      </c>
      <c r="L215" s="57" t="n">
        <v>5000000</v>
      </c>
      <c r="M215" s="57" t="n"/>
      <c r="N215" s="55" t="inlineStr">
        <is>
          <t>Внешняя операция</t>
        </is>
      </c>
      <c r="O215" s="55" t="inlineStr">
        <is>
          <t>Себестоимость</t>
        </is>
      </c>
      <c r="P215" s="55" t="inlineStr">
        <is>
          <t>Тариф КТЖ (ж/д перевозки)</t>
        </is>
      </c>
      <c r="Q215" s="55" t="inlineStr">
        <is>
          <t>ТОО «КТЖ-Грузовые перевозки»</t>
        </is>
      </c>
    </row>
    <row r="216">
      <c r="A216" s="55" t="inlineStr">
        <is>
          <t>23.07.2026</t>
        </is>
      </c>
      <c r="B216" s="55" t="inlineStr">
        <is>
          <t>ЦентрКредит</t>
        </is>
      </c>
      <c r="C216" s="55" t="inlineStr">
        <is>
          <t>KZT</t>
        </is>
      </c>
      <c r="D216" s="55" t="inlineStr">
        <is>
          <t>2401</t>
        </is>
      </c>
      <c r="E216" s="55" t="inlineStr">
        <is>
          <t>ТОО КТЖ-Грузовые перевозки</t>
        </is>
      </c>
      <c r="F216" s="55" t="inlineStr">
        <is>
          <t>031040001799</t>
        </is>
      </c>
      <c r="G216" s="55" t="inlineStr">
        <is>
          <t>813</t>
        </is>
      </c>
      <c r="H216" s="56" t="inlineStr">
        <is>
          <t>Без НДС, 4185494, Платежи за услуги железнодорожного транспорта</t>
        </is>
      </c>
      <c r="I216" s="57" t="n">
        <v>15000000</v>
      </c>
      <c r="J216" s="57" t="n"/>
      <c r="K216" s="58" t="n">
        <v>1</v>
      </c>
      <c r="L216" s="57" t="n">
        <v>15000000</v>
      </c>
      <c r="M216" s="57" t="n"/>
      <c r="N216" s="55" t="inlineStr">
        <is>
          <t>Внешняя операция</t>
        </is>
      </c>
      <c r="O216" s="55" t="inlineStr">
        <is>
          <t>Себестоимость</t>
        </is>
      </c>
      <c r="P216" s="55" t="inlineStr">
        <is>
          <t>Тариф КТЖ (ж/д перевозки)</t>
        </is>
      </c>
      <c r="Q216" s="55" t="inlineStr">
        <is>
          <t>ТОО «КТЖ-Грузовые перевозки»</t>
        </is>
      </c>
    </row>
    <row r="217">
      <c r="A217" s="55" t="inlineStr">
        <is>
          <t>23.07.2026</t>
        </is>
      </c>
      <c r="B217" s="55" t="inlineStr">
        <is>
          <t>ЦентрКредит</t>
        </is>
      </c>
      <c r="C217" s="55" t="inlineStr">
        <is>
          <t>KZT</t>
        </is>
      </c>
      <c r="D217" s="55" t="inlineStr">
        <is>
          <t>2401</t>
        </is>
      </c>
      <c r="E217" s="55" t="inlineStr">
        <is>
          <t>Товарищество с ограниченной ответственностью "WayStar Group"</t>
        </is>
      </c>
      <c r="F217" s="55" t="inlineStr">
        <is>
          <t>240340014287</t>
        </is>
      </c>
      <c r="G217" s="55" t="inlineStr">
        <is>
          <t>312</t>
        </is>
      </c>
      <c r="H217" s="56" t="inlineStr">
        <is>
          <t>Размещение вклада</t>
        </is>
      </c>
      <c r="I217" s="57" t="n">
        <v>54855881.94</v>
      </c>
      <c r="J217" s="57" t="n"/>
      <c r="K217" s="58" t="n">
        <v>1</v>
      </c>
      <c r="L217" s="57" t="n">
        <v>54855881.94</v>
      </c>
      <c r="M217" s="57" t="n"/>
      <c r="N217" s="59" t="inlineStr">
        <is>
          <t>Внутренний перевод</t>
        </is>
      </c>
      <c r="O217" s="55" t="inlineStr">
        <is>
          <t>Технические</t>
        </is>
      </c>
      <c r="P217" s="55" t="inlineStr">
        <is>
          <t>Перевод между своими счетами</t>
        </is>
      </c>
      <c r="Q217" s="55" t="inlineStr"/>
    </row>
    <row r="218">
      <c r="A218" s="55" t="inlineStr">
        <is>
          <t>23.07.2026</t>
        </is>
      </c>
      <c r="B218" s="55" t="inlineStr">
        <is>
          <t>ЦентрКредит</t>
        </is>
      </c>
      <c r="C218" s="55" t="inlineStr">
        <is>
          <t>KZT</t>
        </is>
      </c>
      <c r="D218" s="55" t="inlineStr">
        <is>
          <t>2401</t>
        </is>
      </c>
      <c r="E218" s="55" t="inlineStr">
        <is>
          <t>ТОО "WayStar Group"</t>
        </is>
      </c>
      <c r="F218" s="55" t="inlineStr">
        <is>
          <t>240340014287</t>
        </is>
      </c>
      <c r="G218" s="55" t="inlineStr">
        <is>
          <t>322</t>
        </is>
      </c>
      <c r="H218" s="56" t="inlineStr">
        <is>
          <t>Без НДС. Снятие с краткосрочного вклада (не более одного года)</t>
        </is>
      </c>
      <c r="I218" s="57" t="n"/>
      <c r="J218" s="57" t="n">
        <v>1600000</v>
      </c>
      <c r="K218" s="58" t="n">
        <v>1</v>
      </c>
      <c r="L218" s="57" t="n"/>
      <c r="M218" s="57" t="n">
        <v>1600000</v>
      </c>
      <c r="N218" s="59" t="inlineStr">
        <is>
          <t>Внутренний перевод</t>
        </is>
      </c>
      <c r="O218" s="55" t="inlineStr">
        <is>
          <t>Технические</t>
        </is>
      </c>
      <c r="P218" s="55" t="inlineStr">
        <is>
          <t>Перевод между своими счетами</t>
        </is>
      </c>
      <c r="Q218" s="55" t="inlineStr"/>
    </row>
    <row r="219">
      <c r="A219" s="55" t="inlineStr">
        <is>
          <t>23.07.2026</t>
        </is>
      </c>
      <c r="B219" s="55" t="inlineStr">
        <is>
          <t>ЦентрКредит</t>
        </is>
      </c>
      <c r="C219" s="55" t="inlineStr">
        <is>
          <t>KZT</t>
        </is>
      </c>
      <c r="D219" s="55" t="inlineStr">
        <is>
          <t>2401</t>
        </is>
      </c>
      <c r="E219" s="55" t="inlineStr">
        <is>
          <t>ТОО "WayStar Group"</t>
        </is>
      </c>
      <c r="F219" s="55" t="inlineStr">
        <is>
          <t>240340014287</t>
        </is>
      </c>
      <c r="G219" s="55" t="inlineStr">
        <is>
          <t>322</t>
        </is>
      </c>
      <c r="H219" s="56" t="inlineStr">
        <is>
          <t>Без НДС. Снятие с краткосрочного вклада (не более одного года)</t>
        </is>
      </c>
      <c r="I219" s="57" t="n"/>
      <c r="J219" s="57" t="n">
        <v>7000000</v>
      </c>
      <c r="K219" s="58" t="n">
        <v>1</v>
      </c>
      <c r="L219" s="57" t="n"/>
      <c r="M219" s="57" t="n">
        <v>7000000</v>
      </c>
      <c r="N219" s="59" t="inlineStr">
        <is>
          <t>Внутренний перевод</t>
        </is>
      </c>
      <c r="O219" s="55" t="inlineStr">
        <is>
          <t>Технические</t>
        </is>
      </c>
      <c r="P219" s="55" t="inlineStr">
        <is>
          <t>Перевод между своими счетами</t>
        </is>
      </c>
      <c r="Q219" s="55" t="inlineStr"/>
    </row>
    <row r="220">
      <c r="A220" s="55" t="inlineStr">
        <is>
          <t>23.07.2026</t>
        </is>
      </c>
      <c r="B220" s="55" t="inlineStr">
        <is>
          <t>ЦентрКредит</t>
        </is>
      </c>
      <c r="C220" s="55" t="inlineStr">
        <is>
          <t>KZT</t>
        </is>
      </c>
      <c r="D220" s="55" t="inlineStr">
        <is>
          <t>2401</t>
        </is>
      </c>
      <c r="E220" s="55" t="inlineStr">
        <is>
          <t>ТОО  "WayStar Group"</t>
        </is>
      </c>
      <c r="F220" s="55" t="inlineStr">
        <is>
          <t>240340014287</t>
        </is>
      </c>
      <c r="G220" s="55" t="inlineStr">
        <is>
          <t>343</t>
        </is>
      </c>
      <c r="H220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20" s="57" t="n"/>
      <c r="J220" s="57" t="n">
        <v>70100000</v>
      </c>
      <c r="K220" s="58" t="n">
        <v>1</v>
      </c>
      <c r="L220" s="57" t="n"/>
      <c r="M220" s="57" t="n">
        <v>70100000</v>
      </c>
      <c r="N220" s="59" t="inlineStr">
        <is>
          <t>Внутренний перевод</t>
        </is>
      </c>
      <c r="O220" s="55" t="inlineStr">
        <is>
          <t>Технические</t>
        </is>
      </c>
      <c r="P220" s="55" t="inlineStr">
        <is>
          <t>Перевод между своими счетами</t>
        </is>
      </c>
      <c r="Q220" s="55" t="inlineStr"/>
    </row>
    <row r="221">
      <c r="A221" s="55" t="inlineStr">
        <is>
          <t>24.07.2026</t>
        </is>
      </c>
      <c r="B221" s="55" t="inlineStr">
        <is>
          <t>ЦентрКредит</t>
        </is>
      </c>
      <c r="C221" s="55" t="inlineStr">
        <is>
          <t>KZT</t>
        </is>
      </c>
      <c r="D221" s="55" t="inlineStr">
        <is>
          <t>2401</t>
        </is>
      </c>
      <c r="E221" s="55" t="inlineStr">
        <is>
          <t>УГД по Есильскому району ДГД по городу Астане КГД МФ РК</t>
        </is>
      </c>
      <c r="F221" s="55" t="inlineStr">
        <is>
          <t>081240013779</t>
        </is>
      </c>
      <c r="G221" s="55" t="inlineStr">
        <is>
          <t>911</t>
        </is>
      </c>
      <c r="H221" s="56" t="inlineStr">
        <is>
          <t>КПН за нерезидента июнь 2026. Начисленные (исчисленные) и иные обязательства в бюджет</t>
        </is>
      </c>
      <c r="I221" s="57" t="n">
        <v>22528</v>
      </c>
      <c r="J221" s="57" t="n"/>
      <c r="K221" s="58" t="n">
        <v>1</v>
      </c>
      <c r="L221" s="57" t="n">
        <v>22528</v>
      </c>
      <c r="M221" s="57" t="n"/>
      <c r="N221" s="55" t="inlineStr">
        <is>
          <t>Внешняя операция</t>
        </is>
      </c>
      <c r="O221" s="55" t="inlineStr">
        <is>
          <t>Налоги</t>
        </is>
      </c>
      <c r="P221" s="55" t="inlineStr">
        <is>
          <t>Налоги и отчисления</t>
        </is>
      </c>
      <c r="Q221" s="55" t="inlineStr">
        <is>
          <t>УГД по Есильскому району ДГД по городу Астан</t>
        </is>
      </c>
    </row>
    <row r="222">
      <c r="A222" s="55" t="inlineStr">
        <is>
          <t>24.07.2026</t>
        </is>
      </c>
      <c r="B222" s="55" t="inlineStr">
        <is>
          <t>ЦентрКредит</t>
        </is>
      </c>
      <c r="C222" s="55" t="inlineStr">
        <is>
          <t>KZT</t>
        </is>
      </c>
      <c r="D222" s="55" t="inlineStr">
        <is>
          <t>2401</t>
        </is>
      </c>
      <c r="E222" s="55" t="inlineStr">
        <is>
          <t>Товарищество с ограниченной ответственностью "Рика"</t>
        </is>
      </c>
      <c r="F222" s="55" t="inlineStr">
        <is>
          <t>961040001009</t>
        </is>
      </c>
      <c r="G222" s="55" t="inlineStr">
        <is>
          <t>818</t>
        </is>
      </c>
      <c r="H222" s="56" t="inlineStr">
        <is>
          <t>Доставка корреспонденции по счету на оплату Счет на оплату № 00000011556 от 9 июля 2026 г.. Без НДС. Платежи за почтовые и курьерские услуги</t>
        </is>
      </c>
      <c r="I222" s="57" t="n">
        <v>100000</v>
      </c>
      <c r="J222" s="57" t="n"/>
      <c r="K222" s="58" t="n">
        <v>1</v>
      </c>
      <c r="L222" s="57" t="n">
        <v>100000</v>
      </c>
      <c r="M222" s="57" t="n"/>
      <c r="N222" s="55" t="inlineStr">
        <is>
          <t>Внешняя операция</t>
        </is>
      </c>
      <c r="O222" s="55" t="inlineStr">
        <is>
          <t>Админ/офис</t>
        </is>
      </c>
      <c r="P222" s="55" t="inlineStr">
        <is>
          <t>Связь и ИТ</t>
        </is>
      </c>
      <c r="Q222" s="55" t="inlineStr">
        <is>
          <t>ТОО "Рика"</t>
        </is>
      </c>
    </row>
    <row r="223">
      <c r="A223" s="55" t="inlineStr">
        <is>
          <t>24.07.2026</t>
        </is>
      </c>
      <c r="B223" s="55" t="inlineStr">
        <is>
          <t>ЦентрКредит</t>
        </is>
      </c>
      <c r="C223" s="55" t="inlineStr">
        <is>
          <t>KZT</t>
        </is>
      </c>
      <c r="D223" s="55" t="inlineStr">
        <is>
          <t>2401</t>
        </is>
      </c>
      <c r="E223" s="55" t="inlineStr">
        <is>
          <t>Филиал акционерного общества «Национальная компания «Қазақстан темір жолы» - «Астанинское эксплуатационное вагонное депо»</t>
        </is>
      </c>
      <c r="F223" s="55" t="inlineStr">
        <is>
          <t>250741005933</t>
        </is>
      </c>
      <c r="G223" s="55" t="inlineStr">
        <is>
          <t>859</t>
        </is>
      </c>
      <c r="H223" s="56" t="inlineStr">
        <is>
          <t>за текущий ремонт, счет на оплату 208 от 24 июля 2026. Без НДС. Платежи за профессиональные, научные и технические услуги</t>
        </is>
      </c>
      <c r="I223" s="57" t="n">
        <v>172315.48</v>
      </c>
      <c r="J223" s="57" t="n"/>
      <c r="K223" s="58" t="n">
        <v>1</v>
      </c>
      <c r="L223" s="57" t="n">
        <v>172315.48</v>
      </c>
      <c r="M223" s="57" t="n"/>
      <c r="N223" s="55" t="inlineStr">
        <is>
          <t>Внешняя операция</t>
        </is>
      </c>
      <c r="O223" s="55" t="inlineStr">
        <is>
          <t>Себестоимость</t>
        </is>
      </c>
      <c r="P223" s="55" t="inlineStr">
        <is>
          <t>Ремонт вагонов и узлов</t>
        </is>
      </c>
      <c r="Q223" s="55" t="inlineStr">
        <is>
          <t>Филиал акционерного общества «Национальная к</t>
        </is>
      </c>
    </row>
    <row r="224">
      <c r="A224" s="55" t="inlineStr">
        <is>
          <t>24.07.2026</t>
        </is>
      </c>
      <c r="B224" s="55" t="inlineStr">
        <is>
          <t>ЦентрКредит</t>
        </is>
      </c>
      <c r="C224" s="55" t="inlineStr">
        <is>
          <t>KZT</t>
        </is>
      </c>
      <c r="D224" s="55" t="inlineStr">
        <is>
          <t>2401</t>
        </is>
      </c>
      <c r="E224" s="55" t="inlineStr">
        <is>
          <t>НАО "Государственная корпорация "Правительство для граждан"</t>
        </is>
      </c>
      <c r="F224" s="55" t="inlineStr">
        <is>
          <t>160440007161</t>
        </is>
      </c>
      <c r="G224" s="55" t="inlineStr">
        <is>
          <t>122</t>
        </is>
      </c>
      <c r="H224" s="56" t="inlineStr">
        <is>
          <t>Взносы ОСМС в Некоммерческое акционерное общество «Государственная корпорация «Правительство для граждан» за период июнь 2026 г. cогласно прилагаемого списка.</t>
        </is>
      </c>
      <c r="I224" s="57" t="n">
        <v>397966</v>
      </c>
      <c r="J224" s="57" t="n"/>
      <c r="K224" s="58" t="n">
        <v>1</v>
      </c>
      <c r="L224" s="57" t="n">
        <v>397966</v>
      </c>
      <c r="M224" s="57" t="n"/>
      <c r="N224" s="55" t="inlineStr">
        <is>
          <t>Внешняя операция</t>
        </is>
      </c>
      <c r="O224" s="55" t="inlineStr">
        <is>
          <t>Налоги</t>
        </is>
      </c>
      <c r="P224" s="55" t="inlineStr">
        <is>
          <t>Налоги и отчисления</t>
        </is>
      </c>
      <c r="Q224" s="55" t="inlineStr">
        <is>
          <t>НАО "Государственная корпорация "Правительст</t>
        </is>
      </c>
    </row>
    <row r="225">
      <c r="A225" s="55" t="inlineStr">
        <is>
          <t>24.07.2026</t>
        </is>
      </c>
      <c r="B225" s="55" t="inlineStr">
        <is>
          <t>ЦентрКредит</t>
        </is>
      </c>
      <c r="C225" s="55" t="inlineStr">
        <is>
          <t>KZT</t>
        </is>
      </c>
      <c r="D225" s="55" t="inlineStr">
        <is>
          <t>2401</t>
        </is>
      </c>
      <c r="E225" s="55" t="inlineStr">
        <is>
          <t>Серикбаев А.Д.</t>
        </is>
      </c>
      <c r="F225" s="55" t="inlineStr">
        <is>
          <t>940422350422</t>
        </is>
      </c>
      <c r="G225" s="55" t="inlineStr">
        <is>
          <t>413</t>
        </is>
      </c>
      <c r="H225" s="56" t="inlineStr">
        <is>
          <t>займ. Без НДС. Выдача долгосрочных займов (более одного года)</t>
        </is>
      </c>
      <c r="I225" s="57" t="n">
        <v>500000</v>
      </c>
      <c r="J225" s="57" t="n"/>
      <c r="K225" s="58" t="n">
        <v>1</v>
      </c>
      <c r="L225" s="57" t="n">
        <v>500000</v>
      </c>
      <c r="M225" s="57" t="n"/>
      <c r="N225" s="55" t="inlineStr">
        <is>
          <t>Внешняя операция</t>
        </is>
      </c>
      <c r="O225" s="55" t="inlineStr">
        <is>
          <t>Финансовые</t>
        </is>
      </c>
      <c r="P225" s="55" t="inlineStr">
        <is>
          <t>Выданные займы (связ. лица)</t>
        </is>
      </c>
      <c r="Q225" s="55" t="inlineStr">
        <is>
          <t>Серикбаев А.Д.</t>
        </is>
      </c>
    </row>
    <row r="226">
      <c r="A226" s="55" t="inlineStr">
        <is>
          <t>24.07.2026</t>
        </is>
      </c>
      <c r="B226" s="55" t="inlineStr">
        <is>
          <t>ЦентрКредит</t>
        </is>
      </c>
      <c r="C226" s="55" t="inlineStr">
        <is>
          <t>KZT</t>
        </is>
      </c>
      <c r="D226" s="55" t="inlineStr">
        <is>
          <t>2401</t>
        </is>
      </c>
      <c r="E226" s="55" t="inlineStr">
        <is>
          <t>НАО "Государственная корпорация "Правительство для граждан"</t>
        </is>
      </c>
      <c r="F226" s="55" t="inlineStr">
        <is>
          <t>160440007161</t>
        </is>
      </c>
      <c r="G226" s="55" t="inlineStr">
        <is>
          <t>012</t>
        </is>
      </c>
      <c r="H226" s="56" t="inlineStr">
        <is>
          <t>Социальные отчисления в Некоммерческое акционерное общество «Государственная корпорация «Правительство для граждан» за период июнь 2026 г. cогласно прилагаемого списка.</t>
        </is>
      </c>
      <c r="I226" s="57" t="n">
        <v>523320</v>
      </c>
      <c r="J226" s="57" t="n"/>
      <c r="K226" s="58" t="n">
        <v>1</v>
      </c>
      <c r="L226" s="57" t="n">
        <v>523320</v>
      </c>
      <c r="M226" s="57" t="n"/>
      <c r="N226" s="55" t="inlineStr">
        <is>
          <t>Внешняя операция</t>
        </is>
      </c>
      <c r="O226" s="55" t="inlineStr">
        <is>
          <t>Налоги</t>
        </is>
      </c>
      <c r="P226" s="55" t="inlineStr">
        <is>
          <t>Налоги и отчисления</t>
        </is>
      </c>
      <c r="Q226" s="55" t="inlineStr">
        <is>
          <t>НАО "Государственная корпорация "Правительст</t>
        </is>
      </c>
    </row>
    <row r="227">
      <c r="A227" s="55" t="inlineStr">
        <is>
          <t>24.07.2026</t>
        </is>
      </c>
      <c r="B227" s="55" t="inlineStr">
        <is>
          <t>ЦентрКредит</t>
        </is>
      </c>
      <c r="C227" s="55" t="inlineStr">
        <is>
          <t>KZT</t>
        </is>
      </c>
      <c r="D227" s="55" t="inlineStr">
        <is>
          <t>2401</t>
        </is>
      </c>
      <c r="E227" s="55" t="inlineStr">
        <is>
          <t>НАО "Государственная корпорация "Правительство для граждан"</t>
        </is>
      </c>
      <c r="F227" s="55" t="inlineStr">
        <is>
          <t>160440007161</t>
        </is>
      </c>
      <c r="G227" s="55" t="inlineStr">
        <is>
          <t>121</t>
        </is>
      </c>
      <c r="H227" s="56" t="inlineStr">
        <is>
          <t>Отчисления ОСМС в Некоммерческое акционерное общество «Государственная корпорация «Правительство для граждан» за период июнь 2026 г. cогласно прилагаемого списка.</t>
        </is>
      </c>
      <c r="I227" s="57" t="n">
        <v>749173</v>
      </c>
      <c r="J227" s="57" t="n"/>
      <c r="K227" s="58" t="n">
        <v>1</v>
      </c>
      <c r="L227" s="57" t="n">
        <v>749173</v>
      </c>
      <c r="M227" s="57" t="n"/>
      <c r="N227" s="55" t="inlineStr">
        <is>
          <t>Внешняя операция</t>
        </is>
      </c>
      <c r="O227" s="55" t="inlineStr">
        <is>
          <t>Налоги</t>
        </is>
      </c>
      <c r="P227" s="55" t="inlineStr">
        <is>
          <t>Налоги и отчисления</t>
        </is>
      </c>
      <c r="Q227" s="55" t="inlineStr">
        <is>
          <t>НАО "Государственная корпорация "Правительст</t>
        </is>
      </c>
    </row>
    <row r="228">
      <c r="A228" s="55" t="inlineStr">
        <is>
          <t>24.07.2026</t>
        </is>
      </c>
      <c r="B228" s="55" t="inlineStr">
        <is>
          <t>ЦентрКредит</t>
        </is>
      </c>
      <c r="C228" s="55" t="inlineStr">
        <is>
          <t>KZT</t>
        </is>
      </c>
      <c r="D228" s="55" t="inlineStr">
        <is>
          <t>2401</t>
        </is>
      </c>
      <c r="E228" s="55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228" s="55" t="inlineStr">
        <is>
          <t>160440007161</t>
        </is>
      </c>
      <c r="G228" s="55" t="inlineStr">
        <is>
          <t>089</t>
        </is>
      </c>
      <c r="H228" s="56" t="inlineStr">
        <is>
          <t>3,5% обязательные пенсионные взносы работодателя за период Июнь 2026 г. cогласно прилагаемого списка.</t>
        </is>
      </c>
      <c r="I228" s="57" t="n">
        <v>933563</v>
      </c>
      <c r="J228" s="57" t="n"/>
      <c r="K228" s="58" t="n">
        <v>1</v>
      </c>
      <c r="L228" s="57" t="n">
        <v>933563</v>
      </c>
      <c r="M228" s="57" t="n"/>
      <c r="N228" s="55" t="inlineStr">
        <is>
          <t>Внешняя операция</t>
        </is>
      </c>
      <c r="O228" s="55" t="inlineStr">
        <is>
          <t>Налоги</t>
        </is>
      </c>
      <c r="P228" s="55" t="inlineStr">
        <is>
          <t>Налоги и отчисления</t>
        </is>
      </c>
      <c r="Q228" s="55" t="inlineStr">
        <is>
          <t>НАО "Государственная корпорация "Правительст</t>
        </is>
      </c>
    </row>
    <row r="229">
      <c r="A229" s="55" t="inlineStr">
        <is>
          <t>24.07.2026</t>
        </is>
      </c>
      <c r="B229" s="55" t="inlineStr">
        <is>
          <t>ЦентрКредит</t>
        </is>
      </c>
      <c r="C229" s="55" t="inlineStr">
        <is>
          <t>KZT</t>
        </is>
      </c>
      <c r="D229" s="55" t="inlineStr">
        <is>
          <t>2401</t>
        </is>
      </c>
      <c r="E229" s="55" t="inlineStr">
        <is>
          <t>УГД по Есильскому району ДГД по городу Астане КГД МФ РК</t>
        </is>
      </c>
      <c r="F229" s="55" t="inlineStr">
        <is>
          <t>081240013779</t>
        </is>
      </c>
      <c r="G229" s="55" t="inlineStr">
        <is>
          <t>911</t>
        </is>
      </c>
      <c r="H229" s="56" t="inlineStr">
        <is>
          <t>ндс за нерезидента июнь 2026. Начисленные (исчисленные) и иные обязательства в бюджет</t>
        </is>
      </c>
      <c r="I229" s="57" t="n">
        <v>1344219.59</v>
      </c>
      <c r="J229" s="57" t="n"/>
      <c r="K229" s="58" t="n">
        <v>1</v>
      </c>
      <c r="L229" s="57" t="n">
        <v>1344219.59</v>
      </c>
      <c r="M229" s="57" t="n"/>
      <c r="N229" s="55" t="inlineStr">
        <is>
          <t>Внешняя операция</t>
        </is>
      </c>
      <c r="O229" s="55" t="inlineStr">
        <is>
          <t>Налоги</t>
        </is>
      </c>
      <c r="P229" s="55" t="inlineStr">
        <is>
          <t>Налоги и отчисления</t>
        </is>
      </c>
      <c r="Q229" s="55" t="inlineStr">
        <is>
          <t>УГД по Есильскому району ДГД по городу Астан</t>
        </is>
      </c>
    </row>
    <row r="230">
      <c r="A230" s="55" t="inlineStr">
        <is>
          <t>24.07.2026</t>
        </is>
      </c>
      <c r="B230" s="55" t="inlineStr">
        <is>
          <t>ЦентрКредит</t>
        </is>
      </c>
      <c r="C230" s="55" t="inlineStr">
        <is>
          <t>KZT</t>
        </is>
      </c>
      <c r="D230" s="55" t="inlineStr">
        <is>
          <t>2401</t>
        </is>
      </c>
      <c r="E230" s="55" t="inlineStr">
        <is>
          <t>УГД по Есильскому району ДГД по городу Астане КГД МФ РК</t>
        </is>
      </c>
      <c r="F230" s="55" t="inlineStr">
        <is>
          <t>081240013779</t>
        </is>
      </c>
      <c r="G230" s="55" t="inlineStr">
        <is>
          <t>911</t>
        </is>
      </c>
      <c r="H230" s="56" t="inlineStr">
        <is>
          <t>СН июнь 2026. Начисленные (исчисленные) и иные обязательства в бюджет</t>
        </is>
      </c>
      <c r="I230" s="57" t="n">
        <v>1607645</v>
      </c>
      <c r="J230" s="57" t="n"/>
      <c r="K230" s="58" t="n">
        <v>1</v>
      </c>
      <c r="L230" s="57" t="n">
        <v>1607645</v>
      </c>
      <c r="M230" s="57" t="n"/>
      <c r="N230" s="55" t="inlineStr">
        <is>
          <t>Внешняя операция</t>
        </is>
      </c>
      <c r="O230" s="55" t="inlineStr">
        <is>
          <t>Налоги</t>
        </is>
      </c>
      <c r="P230" s="55" t="inlineStr">
        <is>
          <t>Налоги и отчисления</t>
        </is>
      </c>
      <c r="Q230" s="55" t="inlineStr">
        <is>
          <t>УГД по Есильскому району ДГД по городу Астан</t>
        </is>
      </c>
    </row>
    <row r="231">
      <c r="A231" s="55" t="inlineStr">
        <is>
          <t>24.07.2026</t>
        </is>
      </c>
      <c r="B231" s="55" t="inlineStr">
        <is>
          <t>ЦентрКредит</t>
        </is>
      </c>
      <c r="C231" s="55" t="inlineStr">
        <is>
          <t>KZT</t>
        </is>
      </c>
      <c r="D231" s="55" t="inlineStr">
        <is>
          <t>2401</t>
        </is>
      </c>
      <c r="E231" s="55" t="inlineStr">
        <is>
          <t>УГД по Есильскому району ДГД по городу Астане КГД МФ РК</t>
        </is>
      </c>
      <c r="F231" s="55" t="inlineStr">
        <is>
          <t>081240013779</t>
        </is>
      </c>
      <c r="G231" s="55" t="inlineStr">
        <is>
          <t>911</t>
        </is>
      </c>
      <c r="H231" s="56" t="inlineStr">
        <is>
          <t>ИПН июнь2026. Начисленные (исчисленные) и иные обязательства в бюджет</t>
        </is>
      </c>
      <c r="I231" s="57" t="n">
        <v>2379467</v>
      </c>
      <c r="J231" s="57" t="n"/>
      <c r="K231" s="58" t="n">
        <v>1</v>
      </c>
      <c r="L231" s="57" t="n">
        <v>2379467</v>
      </c>
      <c r="M231" s="57" t="n"/>
      <c r="N231" s="55" t="inlineStr">
        <is>
          <t>Внешняя операция</t>
        </is>
      </c>
      <c r="O231" s="55" t="inlineStr">
        <is>
          <t>Налоги</t>
        </is>
      </c>
      <c r="P231" s="55" t="inlineStr">
        <is>
          <t>Налоги и отчисления</t>
        </is>
      </c>
      <c r="Q231" s="55" t="inlineStr">
        <is>
          <t>УГД по Есильскому району ДГД по городу Астан</t>
        </is>
      </c>
    </row>
    <row r="232">
      <c r="A232" s="55" t="inlineStr">
        <is>
          <t>24.07.2026</t>
        </is>
      </c>
      <c r="B232" s="55" t="inlineStr">
        <is>
          <t>ЦентрКредит</t>
        </is>
      </c>
      <c r="C232" s="55" t="inlineStr">
        <is>
          <t>KZT</t>
        </is>
      </c>
      <c r="D232" s="55" t="inlineStr">
        <is>
          <t>2401</t>
        </is>
      </c>
      <c r="E232" s="55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граждан"</t>
        </is>
      </c>
      <c r="F232" s="55" t="inlineStr">
        <is>
          <t>160440007161</t>
        </is>
      </c>
      <c r="G232" s="55" t="inlineStr">
        <is>
          <t>010</t>
        </is>
      </c>
      <c r="H232" s="56" t="inlineStr">
        <is>
          <t>10% обязательные пенсионные взносы за период Июнь 2026 г. cогласно прилагаемого списка.</t>
        </is>
      </c>
      <c r="I232" s="57" t="n">
        <v>2791315</v>
      </c>
      <c r="J232" s="57" t="n"/>
      <c r="K232" s="58" t="n">
        <v>1</v>
      </c>
      <c r="L232" s="57" t="n">
        <v>2791315</v>
      </c>
      <c r="M232" s="57" t="n"/>
      <c r="N232" s="55" t="inlineStr">
        <is>
          <t>Внешняя операция</t>
        </is>
      </c>
      <c r="O232" s="55" t="inlineStr">
        <is>
          <t>Налоги</t>
        </is>
      </c>
      <c r="P232" s="55" t="inlineStr">
        <is>
          <t>Налоги и отчисления</t>
        </is>
      </c>
      <c r="Q232" s="55" t="inlineStr">
        <is>
          <t>НАО "Государственная корпорация "Правительст</t>
        </is>
      </c>
    </row>
    <row r="233">
      <c r="A233" s="55" t="inlineStr">
        <is>
          <t>24.07.2026</t>
        </is>
      </c>
      <c r="B233" s="55" t="inlineStr">
        <is>
          <t>ЦентрКредит</t>
        </is>
      </c>
      <c r="C233" s="55" t="inlineStr">
        <is>
          <t>KZT</t>
        </is>
      </c>
      <c r="D233" s="55" t="inlineStr">
        <is>
          <t>2401</t>
        </is>
      </c>
      <c r="E233" s="55" t="inlineStr">
        <is>
          <t>Товарищество с ограниченной ответственностью "USM-Logistics"</t>
        </is>
      </c>
      <c r="F233" s="55" t="inlineStr">
        <is>
          <t>190140015236</t>
        </is>
      </c>
      <c r="G233" s="55" t="inlineStr">
        <is>
          <t>819</t>
        </is>
      </c>
      <c r="H233" s="56" t="inlineStr">
        <is>
          <t>оплата по счету 221 от 21.07.2026 за аренду вагонов. Без НДС. Прочие платежи по транспортным услугам</t>
        </is>
      </c>
      <c r="I233" s="57" t="n">
        <v>8313000</v>
      </c>
      <c r="J233" s="57" t="n"/>
      <c r="K233" s="58" t="n">
        <v>1</v>
      </c>
      <c r="L233" s="57" t="n">
        <v>8313000</v>
      </c>
      <c r="M233" s="57" t="n"/>
      <c r="N233" s="55" t="inlineStr">
        <is>
          <t>Внешняя операция</t>
        </is>
      </c>
      <c r="O233" s="55" t="inlineStr">
        <is>
          <t>Себестоимость</t>
        </is>
      </c>
      <c r="P233" s="55" t="inlineStr">
        <is>
          <t>Аренда/предоставление вагонов</t>
        </is>
      </c>
      <c r="Q233" s="55" t="inlineStr">
        <is>
          <t>ТОО "USM-Logistics"</t>
        </is>
      </c>
    </row>
    <row r="234">
      <c r="A234" s="55" t="inlineStr">
        <is>
          <t>24.07.2026</t>
        </is>
      </c>
      <c r="B234" s="55" t="inlineStr">
        <is>
          <t>ЦентрКредит</t>
        </is>
      </c>
      <c r="C234" s="55" t="inlineStr">
        <is>
          <t>KZT</t>
        </is>
      </c>
      <c r="D234" s="55" t="inlineStr">
        <is>
          <t>2401</t>
        </is>
      </c>
      <c r="E234" s="55" t="inlineStr">
        <is>
          <t>ТОО КТЖ-Грузовые перевозки</t>
        </is>
      </c>
      <c r="F234" s="55" t="inlineStr">
        <is>
          <t>031040001799</t>
        </is>
      </c>
      <c r="G234" s="55" t="inlineStr">
        <is>
          <t>813</t>
        </is>
      </c>
      <c r="H234" s="56" t="inlineStr">
        <is>
          <t>Без НДС, 4185494, Платежи за услуги железнодорожного транспорта</t>
        </is>
      </c>
      <c r="I234" s="57" t="n">
        <v>9000000</v>
      </c>
      <c r="J234" s="57" t="n"/>
      <c r="K234" s="58" t="n">
        <v>1</v>
      </c>
      <c r="L234" s="57" t="n">
        <v>9000000</v>
      </c>
      <c r="M234" s="57" t="n"/>
      <c r="N234" s="55" t="inlineStr">
        <is>
          <t>Внешняя операция</t>
        </is>
      </c>
      <c r="O234" s="55" t="inlineStr">
        <is>
          <t>Себестоимость</t>
        </is>
      </c>
      <c r="P234" s="55" t="inlineStr">
        <is>
          <t>Тариф КТЖ (ж/д перевозки)</t>
        </is>
      </c>
      <c r="Q234" s="55" t="inlineStr">
        <is>
          <t>ТОО «КТЖ-Грузовые перевозки»</t>
        </is>
      </c>
    </row>
    <row r="235">
      <c r="A235" s="55" t="inlineStr">
        <is>
          <t>24.07.2026</t>
        </is>
      </c>
      <c r="B235" s="55" t="inlineStr">
        <is>
          <t>ЦентрКредит</t>
        </is>
      </c>
      <c r="C235" s="55" t="inlineStr">
        <is>
          <t>KZT</t>
        </is>
      </c>
      <c r="D235" s="55" t="inlineStr">
        <is>
          <t>2401</t>
        </is>
      </c>
      <c r="E235" s="55" t="inlineStr">
        <is>
          <t>Товарищество с ограниченной ответственностью "WayStar Group"</t>
        </is>
      </c>
      <c r="F235" s="55" t="inlineStr">
        <is>
          <t>240340014287</t>
        </is>
      </c>
      <c r="G235" s="55" t="inlineStr">
        <is>
          <t>316</t>
        </is>
      </c>
      <c r="H235" s="56" t="inlineStr">
        <is>
          <t>Выплата начисленного вознаграждения по депозитному договору № 01607034 от 24.07.2025 за период с 22.07.26 по 23.07.26. Вкладчик Товарищество с ограниченной ответственностью "WayStar Group".</t>
        </is>
      </c>
      <c r="I235" s="57" t="n"/>
      <c r="J235" s="57" t="n">
        <v>15619.28</v>
      </c>
      <c r="K235" s="58" t="n">
        <v>1</v>
      </c>
      <c r="L235" s="57" t="n"/>
      <c r="M235" s="57" t="n">
        <v>15619.28</v>
      </c>
      <c r="N235" s="59" t="inlineStr">
        <is>
          <t>Внутренний перевод</t>
        </is>
      </c>
      <c r="O235" s="55" t="inlineStr">
        <is>
          <t>Технические</t>
        </is>
      </c>
      <c r="P235" s="55" t="inlineStr">
        <is>
          <t>Перевод между своими счетами</t>
        </is>
      </c>
      <c r="Q235" s="55" t="inlineStr"/>
    </row>
    <row r="236">
      <c r="A236" s="55" t="inlineStr">
        <is>
          <t>24.07.2026</t>
        </is>
      </c>
      <c r="B236" s="55" t="inlineStr">
        <is>
          <t>ЦентрКредит</t>
        </is>
      </c>
      <c r="C236" s="55" t="inlineStr">
        <is>
          <t>KZT</t>
        </is>
      </c>
      <c r="D236" s="55" t="inlineStr">
        <is>
          <t>2401</t>
        </is>
      </c>
      <c r="E236" s="55" t="inlineStr">
        <is>
          <t>ТОВАРИЩЕСТВО С ОГРАНИЧЕННОЙ ОТВЕТСТВЕННОСТЬЮ "ТАУ ЛОГИСТИК WAY"</t>
        </is>
      </c>
      <c r="F236" s="55" t="inlineStr">
        <is>
          <t>060540001849</t>
        </is>
      </c>
      <c r="G236" s="55" t="inlineStr">
        <is>
          <t>813</t>
        </is>
      </c>
      <c r="H236" s="56" t="inlineStr">
        <is>
          <t>Счет №195 от 21.07.2026 - 3 120 000 тг (Оперирование) Сумма 3 120 000-00 тенге в т.ч. НДС(16%) 430 344,83 KZT.Платежи за услуги железнодорожного транспорта</t>
        </is>
      </c>
      <c r="I236" s="57" t="n"/>
      <c r="J236" s="57" t="n">
        <v>3120000</v>
      </c>
      <c r="K236" s="58" t="n">
        <v>1</v>
      </c>
      <c r="L236" s="57" t="n"/>
      <c r="M236" s="57" t="n">
        <v>3120000</v>
      </c>
      <c r="N236" s="55" t="inlineStr">
        <is>
          <t>Внешняя операция</t>
        </is>
      </c>
      <c r="O236" s="55" t="inlineStr">
        <is>
          <t>Выручка</t>
        </is>
      </c>
      <c r="P236" s="55" t="inlineStr">
        <is>
          <t>Операционная выручка (ТЭО, вагоны)</t>
        </is>
      </c>
      <c r="Q236" s="55" t="inlineStr">
        <is>
          <t>ТОВАРИЩЕСТВО С ОГРАНИЧЕННОЙ ОТВЕТСТВЕННОСТЬЮ</t>
        </is>
      </c>
    </row>
    <row r="237">
      <c r="A237" s="55" t="inlineStr">
        <is>
          <t>24.07.2026</t>
        </is>
      </c>
      <c r="B237" s="55" t="inlineStr">
        <is>
          <t>ЦентрКредит</t>
        </is>
      </c>
      <c r="C237" s="55" t="inlineStr">
        <is>
          <t>KZT</t>
        </is>
      </c>
      <c r="D237" s="55" t="inlineStr">
        <is>
          <t>2401</t>
        </is>
      </c>
      <c r="E237" s="55" t="inlineStr">
        <is>
          <t>ТОО  "WayStar Group"</t>
        </is>
      </c>
      <c r="F237" s="55" t="inlineStr">
        <is>
          <t>240340014287</t>
        </is>
      </c>
      <c r="G237" s="55" t="inlineStr">
        <is>
          <t>343</t>
        </is>
      </c>
      <c r="H237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37" s="57" t="n"/>
      <c r="J237" s="57" t="n">
        <v>12000000</v>
      </c>
      <c r="K237" s="58" t="n">
        <v>1</v>
      </c>
      <c r="L237" s="57" t="n"/>
      <c r="M237" s="57" t="n">
        <v>12000000</v>
      </c>
      <c r="N237" s="59" t="inlineStr">
        <is>
          <t>Внутренний перевод</t>
        </is>
      </c>
      <c r="O237" s="55" t="inlineStr">
        <is>
          <t>Технические</t>
        </is>
      </c>
      <c r="P237" s="55" t="inlineStr">
        <is>
          <t>Перевод между своими счетами</t>
        </is>
      </c>
      <c r="Q237" s="55" t="inlineStr"/>
    </row>
    <row r="238">
      <c r="A238" s="55" t="inlineStr">
        <is>
          <t>24.07.2026</t>
        </is>
      </c>
      <c r="B238" s="55" t="inlineStr">
        <is>
          <t>ЦентрКредит</t>
        </is>
      </c>
      <c r="C238" s="55" t="inlineStr">
        <is>
          <t>KZT</t>
        </is>
      </c>
      <c r="D238" s="55" t="inlineStr">
        <is>
          <t>2401</t>
        </is>
      </c>
      <c r="E238" s="55" t="inlineStr">
        <is>
          <t>Товарищество с ограниченной ответственностью "WayStar Group"</t>
        </is>
      </c>
      <c r="F238" s="55" t="inlineStr">
        <is>
          <t>240340014287</t>
        </is>
      </c>
      <c r="G238" s="55" t="inlineStr">
        <is>
          <t>322</t>
        </is>
      </c>
      <c r="H238" s="56" t="inlineStr">
        <is>
          <t>Выплата вклада по Договору № 01607034 от 24.07.2025. Вкладчик: Товарищество с ограниченной ответственностью "WayStar Group"</t>
        </is>
      </c>
      <c r="I238" s="57" t="n"/>
      <c r="J238" s="57" t="n">
        <v>46255881.94</v>
      </c>
      <c r="K238" s="58" t="n">
        <v>1</v>
      </c>
      <c r="L238" s="57" t="n"/>
      <c r="M238" s="57" t="n">
        <v>46255881.94</v>
      </c>
      <c r="N238" s="59" t="inlineStr">
        <is>
          <t>Внутренний перевод</t>
        </is>
      </c>
      <c r="O238" s="55" t="inlineStr">
        <is>
          <t>Технические</t>
        </is>
      </c>
      <c r="P238" s="55" t="inlineStr">
        <is>
          <t>Перевод между своими счетами</t>
        </is>
      </c>
      <c r="Q238" s="55" t="inlineStr"/>
    </row>
    <row r="239">
      <c r="A239" s="55" t="inlineStr">
        <is>
          <t>25.07.2026</t>
        </is>
      </c>
      <c r="B239" s="55" t="inlineStr">
        <is>
          <t>ЦентрКредит</t>
        </is>
      </c>
      <c r="C239" s="55" t="inlineStr">
        <is>
          <t>KZT</t>
        </is>
      </c>
      <c r="D239" s="55" t="inlineStr">
        <is>
          <t>2401</t>
        </is>
      </c>
      <c r="E239" s="55" t="inlineStr">
        <is>
          <t>Серикбаев А.Д.</t>
        </is>
      </c>
      <c r="F239" s="55" t="inlineStr">
        <is>
          <t>940422350422</t>
        </is>
      </c>
      <c r="G239" s="55" t="inlineStr">
        <is>
          <t>413</t>
        </is>
      </c>
      <c r="H239" s="56" t="inlineStr">
        <is>
          <t>займ. Без НДС. Выдача долгосрочных займов (более одного года)</t>
        </is>
      </c>
      <c r="I239" s="57" t="n">
        <v>428500</v>
      </c>
      <c r="J239" s="57" t="n"/>
      <c r="K239" s="58" t="n">
        <v>1</v>
      </c>
      <c r="L239" s="57" t="n">
        <v>428500</v>
      </c>
      <c r="M239" s="57" t="n"/>
      <c r="N239" s="55" t="inlineStr">
        <is>
          <t>Внешняя операция</t>
        </is>
      </c>
      <c r="O239" s="55" t="inlineStr">
        <is>
          <t>Финансовые</t>
        </is>
      </c>
      <c r="P239" s="55" t="inlineStr">
        <is>
          <t>Выданные займы (связ. лица)</t>
        </is>
      </c>
      <c r="Q239" s="55" t="inlineStr">
        <is>
          <t>Серикбаев А.Д.</t>
        </is>
      </c>
    </row>
    <row r="240">
      <c r="A240" s="55" t="inlineStr">
        <is>
          <t>25.07.2026</t>
        </is>
      </c>
      <c r="B240" s="55" t="inlineStr">
        <is>
          <t>ЦентрКредит</t>
        </is>
      </c>
      <c r="C240" s="55" t="inlineStr">
        <is>
          <t>KZT</t>
        </is>
      </c>
      <c r="D240" s="55" t="inlineStr">
        <is>
          <t>2401</t>
        </is>
      </c>
      <c r="E240" s="55" t="inlineStr">
        <is>
          <t>Серикбаев А.Д.</t>
        </is>
      </c>
      <c r="F240" s="55" t="inlineStr">
        <is>
          <t>940422350422</t>
        </is>
      </c>
      <c r="G240" s="55" t="inlineStr">
        <is>
          <t>413</t>
        </is>
      </c>
      <c r="H240" s="56" t="inlineStr">
        <is>
          <t>займ. Без НДС. Выдача долгосрочных займов (более одного года)</t>
        </is>
      </c>
      <c r="I240" s="57" t="n">
        <v>500000</v>
      </c>
      <c r="J240" s="57" t="n"/>
      <c r="K240" s="58" t="n">
        <v>1</v>
      </c>
      <c r="L240" s="57" t="n">
        <v>500000</v>
      </c>
      <c r="M240" s="57" t="n"/>
      <c r="N240" s="55" t="inlineStr">
        <is>
          <t>Внешняя операция</t>
        </is>
      </c>
      <c r="O240" s="55" t="inlineStr">
        <is>
          <t>Финансовые</t>
        </is>
      </c>
      <c r="P240" s="55" t="inlineStr">
        <is>
          <t>Выданные займы (связ. лица)</t>
        </is>
      </c>
      <c r="Q240" s="55" t="inlineStr">
        <is>
          <t>Серикбаев А.Д.</t>
        </is>
      </c>
    </row>
    <row r="241">
      <c r="A241" s="55" t="inlineStr">
        <is>
          <t>25.07.2026</t>
        </is>
      </c>
      <c r="B241" s="55" t="inlineStr">
        <is>
          <t>ЦентрКредит</t>
        </is>
      </c>
      <c r="C241" s="55" t="inlineStr">
        <is>
          <t>KZT</t>
        </is>
      </c>
      <c r="D241" s="55" t="inlineStr">
        <is>
          <t>2401</t>
        </is>
      </c>
      <c r="E241" s="55" t="inlineStr">
        <is>
          <t>ТОО КТЖ-Грузовые перевозки</t>
        </is>
      </c>
      <c r="F241" s="55" t="inlineStr">
        <is>
          <t>031040001799</t>
        </is>
      </c>
      <c r="G241" s="55" t="inlineStr">
        <is>
          <t>813</t>
        </is>
      </c>
      <c r="H241" s="56" t="inlineStr">
        <is>
          <t>Без НДС, 4185494, Платежи за услуги железнодорожного транспорта</t>
        </is>
      </c>
      <c r="I241" s="57" t="n">
        <v>5000000</v>
      </c>
      <c r="J241" s="57" t="n"/>
      <c r="K241" s="58" t="n">
        <v>1</v>
      </c>
      <c r="L241" s="57" t="n">
        <v>5000000</v>
      </c>
      <c r="M241" s="57" t="n"/>
      <c r="N241" s="55" t="inlineStr">
        <is>
          <t>Внешняя операция</t>
        </is>
      </c>
      <c r="O241" s="55" t="inlineStr">
        <is>
          <t>Себестоимость</t>
        </is>
      </c>
      <c r="P241" s="55" t="inlineStr">
        <is>
          <t>Тариф КТЖ (ж/д перевозки)</t>
        </is>
      </c>
      <c r="Q241" s="55" t="inlineStr">
        <is>
          <t>ТОО «КТЖ-Грузовые перевозки»</t>
        </is>
      </c>
    </row>
    <row r="242">
      <c r="A242" s="55" t="inlineStr">
        <is>
          <t>26.07.2026</t>
        </is>
      </c>
      <c r="B242" s="55" t="inlineStr">
        <is>
          <t>ЦентрКредит</t>
        </is>
      </c>
      <c r="C242" s="55" t="inlineStr">
        <is>
          <t>KZT</t>
        </is>
      </c>
      <c r="D242" s="55" t="inlineStr">
        <is>
          <t>2401</t>
        </is>
      </c>
      <c r="E242" s="55" t="inlineStr">
        <is>
          <t>ТОО КТЖ-Грузовые перевозки</t>
        </is>
      </c>
      <c r="F242" s="55" t="inlineStr">
        <is>
          <t>031040001799</t>
        </is>
      </c>
      <c r="G242" s="55" t="inlineStr">
        <is>
          <t>813</t>
        </is>
      </c>
      <c r="H242" s="56" t="inlineStr">
        <is>
          <t>Без НДС, 4185494, Платежи за услуги железнодорожного транспорта</t>
        </is>
      </c>
      <c r="I242" s="57" t="n">
        <v>2000000</v>
      </c>
      <c r="J242" s="57" t="n"/>
      <c r="K242" s="58" t="n">
        <v>1</v>
      </c>
      <c r="L242" s="57" t="n">
        <v>2000000</v>
      </c>
      <c r="M242" s="57" t="n"/>
      <c r="N242" s="55" t="inlineStr">
        <is>
          <t>Внешняя операция</t>
        </is>
      </c>
      <c r="O242" s="55" t="inlineStr">
        <is>
          <t>Себестоимость</t>
        </is>
      </c>
      <c r="P242" s="55" t="inlineStr">
        <is>
          <t>Тариф КТЖ (ж/д перевозки)</t>
        </is>
      </c>
      <c r="Q242" s="55" t="inlineStr">
        <is>
          <t>ТОО «КТЖ-Грузовые перевозки»</t>
        </is>
      </c>
    </row>
    <row r="243">
      <c r="A243" s="55" t="inlineStr">
        <is>
          <t>27.07.2026</t>
        </is>
      </c>
      <c r="B243" s="55" t="inlineStr">
        <is>
          <t>ЦентрКредит</t>
        </is>
      </c>
      <c r="C243" s="55" t="inlineStr">
        <is>
          <t>KZT</t>
        </is>
      </c>
      <c r="D243" s="55" t="inlineStr">
        <is>
          <t>2401</t>
        </is>
      </c>
      <c r="E243" s="55" t="inlineStr">
        <is>
          <t>Товарищество с ограниченной ответственностью "AquaPoint Qazaqstan"</t>
        </is>
      </c>
      <c r="F243" s="55" t="inlineStr">
        <is>
          <t>220640005780</t>
        </is>
      </c>
      <c r="G243" s="55" t="inlineStr">
        <is>
          <t>859</t>
        </is>
      </c>
      <c r="H243" s="56" t="inlineStr">
        <is>
          <t>Аренда оборудования Пурифайер WHP -2210 RO(300G) за июль 2026. Без НДС. Платежи за профессиональные, научные и технические услуги</t>
        </is>
      </c>
      <c r="I243" s="57" t="n">
        <v>27500</v>
      </c>
      <c r="J243" s="57" t="n"/>
      <c r="K243" s="58" t="n">
        <v>1</v>
      </c>
      <c r="L243" s="57" t="n">
        <v>27500</v>
      </c>
      <c r="M243" s="57" t="n"/>
      <c r="N243" s="55" t="inlineStr">
        <is>
          <t>Внешняя операция</t>
        </is>
      </c>
      <c r="O243" s="55" t="inlineStr">
        <is>
          <t>Админ/офис</t>
        </is>
      </c>
      <c r="P243" s="55" t="inlineStr">
        <is>
          <t>Офис, аренда помещений, хоз.</t>
        </is>
      </c>
      <c r="Q243" s="55" t="inlineStr">
        <is>
          <t>ТОО "AquaPoint Qazaqstan"</t>
        </is>
      </c>
    </row>
    <row r="244">
      <c r="A244" s="55" t="inlineStr">
        <is>
          <t>27.07.2026</t>
        </is>
      </c>
      <c r="B244" s="55" t="inlineStr">
        <is>
          <t>ЦентрКредит</t>
        </is>
      </c>
      <c r="C244" s="55" t="inlineStr">
        <is>
          <t>KZT</t>
        </is>
      </c>
      <c r="D244" s="55" t="inlineStr">
        <is>
          <t>2401</t>
        </is>
      </c>
      <c r="E244" s="55" t="inlineStr">
        <is>
          <t>Аубакиров Алимбек Ерикович</t>
        </is>
      </c>
      <c r="F244" s="55" t="inlineStr">
        <is>
          <t>950331351686</t>
        </is>
      </c>
      <c r="G244" s="55" t="inlineStr">
        <is>
          <t>332</t>
        </is>
      </c>
      <c r="H244" s="56" t="inlineStr">
        <is>
          <t>премия. Без НДС.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244" s="57" t="n">
        <v>170000</v>
      </c>
      <c r="J244" s="57" t="n"/>
      <c r="K244" s="58" t="n">
        <v>1</v>
      </c>
      <c r="L244" s="57" t="n">
        <v>170000</v>
      </c>
      <c r="M244" s="57" t="n"/>
      <c r="N244" s="55" t="inlineStr">
        <is>
          <t>Внешняя операция</t>
        </is>
      </c>
      <c r="O244" s="55" t="inlineStr">
        <is>
          <t>ФОТ</t>
        </is>
      </c>
      <c r="P244" s="55" t="inlineStr">
        <is>
          <t>Зарплата</t>
        </is>
      </c>
      <c r="Q244" s="55" t="inlineStr">
        <is>
          <t>Аубакиров Алимбек Ерикович</t>
        </is>
      </c>
    </row>
    <row r="245">
      <c r="A245" s="55" t="inlineStr">
        <is>
          <t>27.07.2026</t>
        </is>
      </c>
      <c r="B245" s="55" t="inlineStr">
        <is>
          <t>ЦентрКредит</t>
        </is>
      </c>
      <c r="C245" s="55" t="inlineStr">
        <is>
          <t>KZT</t>
        </is>
      </c>
      <c r="D245" s="55" t="inlineStr">
        <is>
          <t>2401</t>
        </is>
      </c>
      <c r="E245" s="55" t="inlineStr">
        <is>
          <t>Акционерное общество "Банк "Bank RBK"</t>
        </is>
      </c>
      <c r="F245" s="55" t="inlineStr">
        <is>
          <t>920440001102</t>
        </is>
      </c>
      <c r="G245" s="55" t="inlineStr">
        <is>
          <t>332</t>
        </is>
      </c>
      <c r="H245" s="56" t="inlineStr">
        <is>
          <t>Для зачисления на картсчета сотрудникам согласно спискам 2 000 000-00 теңге.</t>
        </is>
      </c>
      <c r="I245" s="57" t="n">
        <v>2000000</v>
      </c>
      <c r="J245" s="57" t="n"/>
      <c r="K245" s="58" t="n">
        <v>1</v>
      </c>
      <c r="L245" s="57" t="n">
        <v>2000000</v>
      </c>
      <c r="M245" s="57" t="n"/>
      <c r="N245" s="55" t="inlineStr">
        <is>
          <t>Внешняя операция</t>
        </is>
      </c>
      <c r="O245" s="55" t="inlineStr">
        <is>
          <t>ФОТ</t>
        </is>
      </c>
      <c r="P245" s="55" t="inlineStr">
        <is>
          <t>Зарплата</t>
        </is>
      </c>
      <c r="Q245" s="55" t="inlineStr">
        <is>
          <t>Акционерное общество "Банк "Bank RBK"</t>
        </is>
      </c>
    </row>
    <row r="246">
      <c r="A246" s="55" t="inlineStr">
        <is>
          <t>27.07.2026</t>
        </is>
      </c>
      <c r="B246" s="55" t="inlineStr">
        <is>
          <t>ЦентрКредит</t>
        </is>
      </c>
      <c r="C246" s="55" t="inlineStr">
        <is>
          <t>KZT</t>
        </is>
      </c>
      <c r="D246" s="55" t="inlineStr">
        <is>
          <t>2401</t>
        </is>
      </c>
      <c r="E246" s="55" t="inlineStr">
        <is>
          <t>ТОО КТЖ-Грузовые перевозки</t>
        </is>
      </c>
      <c r="F246" s="55" t="inlineStr">
        <is>
          <t>031040001799</t>
        </is>
      </c>
      <c r="G246" s="55" t="inlineStr">
        <is>
          <t>813</t>
        </is>
      </c>
      <c r="H246" s="56" t="inlineStr">
        <is>
          <t>Без НДС, 4185494, Платежи за услуги железнодорожного транспорта</t>
        </is>
      </c>
      <c r="I246" s="57" t="n">
        <v>5000000</v>
      </c>
      <c r="J246" s="57" t="n"/>
      <c r="K246" s="58" t="n">
        <v>1</v>
      </c>
      <c r="L246" s="57" t="n">
        <v>5000000</v>
      </c>
      <c r="M246" s="57" t="n"/>
      <c r="N246" s="55" t="inlineStr">
        <is>
          <t>Внешняя операция</t>
        </is>
      </c>
      <c r="O246" s="55" t="inlineStr">
        <is>
          <t>Себестоимость</t>
        </is>
      </c>
      <c r="P246" s="55" t="inlineStr">
        <is>
          <t>Тариф КТЖ (ж/д перевозки)</t>
        </is>
      </c>
      <c r="Q246" s="55" t="inlineStr">
        <is>
          <t>ТОО «КТЖ-Грузовые перевозки»</t>
        </is>
      </c>
    </row>
    <row r="247">
      <c r="A247" s="55" t="inlineStr">
        <is>
          <t>27.07.2026</t>
        </is>
      </c>
      <c r="B247" s="55" t="inlineStr">
        <is>
          <t>ЦентрКредит</t>
        </is>
      </c>
      <c r="C247" s="55" t="inlineStr">
        <is>
          <t>KZT</t>
        </is>
      </c>
      <c r="D247" s="55" t="inlineStr">
        <is>
          <t>2401</t>
        </is>
      </c>
      <c r="E247" s="55" t="inlineStr">
        <is>
          <t>ТОО  "WayStar Group"</t>
        </is>
      </c>
      <c r="F247" s="55" t="inlineStr">
        <is>
          <t>240340014287</t>
        </is>
      </c>
      <c r="G247" s="55" t="inlineStr">
        <is>
          <t>343</t>
        </is>
      </c>
      <c r="H247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47" s="57" t="n"/>
      <c r="J247" s="57" t="n">
        <v>7200000</v>
      </c>
      <c r="K247" s="58" t="n">
        <v>1</v>
      </c>
      <c r="L247" s="57" t="n"/>
      <c r="M247" s="57" t="n">
        <v>7200000</v>
      </c>
      <c r="N247" s="59" t="inlineStr">
        <is>
          <t>Внутренний перевод</t>
        </is>
      </c>
      <c r="O247" s="55" t="inlineStr">
        <is>
          <t>Технические</t>
        </is>
      </c>
      <c r="P247" s="55" t="inlineStr">
        <is>
          <t>Перевод между своими счетами</t>
        </is>
      </c>
      <c r="Q247" s="55" t="inlineStr"/>
    </row>
    <row r="248">
      <c r="A248" s="55" t="inlineStr">
        <is>
          <t>27.07.2026</t>
        </is>
      </c>
      <c r="B248" s="55" t="inlineStr">
        <is>
          <t>ЦентрКредит</t>
        </is>
      </c>
      <c r="C248" s="55" t="inlineStr">
        <is>
          <t>KZT</t>
        </is>
      </c>
      <c r="D248" s="55" t="inlineStr">
        <is>
          <t>2401</t>
        </is>
      </c>
      <c r="E248" s="55" t="inlineStr">
        <is>
          <t>ТОО WayStar Group</t>
        </is>
      </c>
      <c r="F248" s="55" t="inlineStr">
        <is>
          <t>240340014287</t>
        </is>
      </c>
      <c r="G248" s="55" t="inlineStr">
        <is>
          <t>343</t>
        </is>
      </c>
      <c r="H248" s="56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48" s="57" t="n"/>
      <c r="J248" s="57" t="n">
        <v>12129000</v>
      </c>
      <c r="K248" s="58" t="n">
        <v>1</v>
      </c>
      <c r="L248" s="57" t="n"/>
      <c r="M248" s="57" t="n">
        <v>12129000</v>
      </c>
      <c r="N248" s="59" t="inlineStr">
        <is>
          <t>Внутренний перевод</t>
        </is>
      </c>
      <c r="O248" s="55" t="inlineStr">
        <is>
          <t>Технические</t>
        </is>
      </c>
      <c r="P248" s="55" t="inlineStr">
        <is>
          <t>Перевод между своими счетами</t>
        </is>
      </c>
      <c r="Q248" s="55" t="inlineStr"/>
    </row>
    <row r="249">
      <c r="A249" s="55" t="inlineStr">
        <is>
          <t>28.07.2026</t>
        </is>
      </c>
      <c r="B249" s="55" t="inlineStr">
        <is>
          <t>ЦентрКредит</t>
        </is>
      </c>
      <c r="C249" s="55" t="inlineStr">
        <is>
          <t>KZT</t>
        </is>
      </c>
      <c r="D249" s="55" t="inlineStr">
        <is>
          <t>2401</t>
        </is>
      </c>
      <c r="E249" s="55" t="inlineStr">
        <is>
          <t>Акционерное Общество "Банк ЦентрКредит"</t>
        </is>
      </c>
      <c r="F249" s="55" t="inlineStr">
        <is>
          <t>980741000260</t>
        </is>
      </c>
      <c r="G249" s="55" t="inlineStr">
        <is>
          <t>841</t>
        </is>
      </c>
      <c r="H249" s="56" t="inlineStr">
        <is>
          <t>Интернет-банкинг. MIP. Международные платежи. Перевод OUR, кроме валют стран СНГ с 13:00 по 16:00. Расчетный документ № 1 от 28.07.26 на сумму 2 080.00 USD, в т.ч. НДС 16%</t>
        </is>
      </c>
      <c r="I249" s="57" t="n">
        <v>15000</v>
      </c>
      <c r="J249" s="57" t="n"/>
      <c r="K249" s="58" t="n">
        <v>1</v>
      </c>
      <c r="L249" s="57" t="n">
        <v>15000</v>
      </c>
      <c r="M249" s="57" t="n"/>
      <c r="N249" s="55" t="inlineStr">
        <is>
          <t>Внешняя операция</t>
        </is>
      </c>
      <c r="O249" s="55" t="inlineStr">
        <is>
          <t>Финансовые</t>
        </is>
      </c>
      <c r="P249" s="55" t="inlineStr">
        <is>
          <t>Банковские комиссии</t>
        </is>
      </c>
      <c r="Q249" s="55" t="inlineStr">
        <is>
          <t>Акционерное Общество "Банк ЦентрКредит"</t>
        </is>
      </c>
    </row>
    <row r="250">
      <c r="A250" s="55" t="inlineStr">
        <is>
          <t>28.07.2026</t>
        </is>
      </c>
      <c r="B250" s="55" t="inlineStr">
        <is>
          <t>ЦентрКредит</t>
        </is>
      </c>
      <c r="C250" s="55" t="inlineStr">
        <is>
          <t>KZT</t>
        </is>
      </c>
      <c r="D250" s="55" t="inlineStr">
        <is>
          <t>2401</t>
        </is>
      </c>
      <c r="E250" s="55" t="inlineStr">
        <is>
          <t>Товарищество с ограниченной ответственностью "Digital Sales Consulting"</t>
        </is>
      </c>
      <c r="F250" s="55" t="inlineStr">
        <is>
          <t>260240028702</t>
        </is>
      </c>
      <c r="G250" s="55" t="inlineStr">
        <is>
          <t>853</t>
        </is>
      </c>
      <c r="H250" s="56" t="inlineStr">
        <is>
          <t>Счет на оплату № 45 от 23.07.2026. Без НДС. Плата за использование интеллектуальной собственности</t>
        </is>
      </c>
      <c r="I250" s="57" t="n">
        <v>38000</v>
      </c>
      <c r="J250" s="57" t="n"/>
      <c r="K250" s="58" t="n">
        <v>1</v>
      </c>
      <c r="L250" s="57" t="n">
        <v>38000</v>
      </c>
      <c r="M250" s="57" t="n"/>
      <c r="N250" s="55" t="inlineStr">
        <is>
          <t>Внешняя операция</t>
        </is>
      </c>
      <c r="O250" s="55" t="inlineStr">
        <is>
          <t>Админ/офис</t>
        </is>
      </c>
      <c r="P250" s="55" t="inlineStr">
        <is>
          <t>Проф. услуги (бухг./юр./конс.)</t>
        </is>
      </c>
      <c r="Q250" s="55" t="inlineStr">
        <is>
          <t>ТОО "Digital Sales Consulting"</t>
        </is>
      </c>
    </row>
    <row r="251">
      <c r="A251" s="55" t="inlineStr">
        <is>
          <t>28.07.2026</t>
        </is>
      </c>
      <c r="B251" s="55" t="inlineStr">
        <is>
          <t>ЦентрКредит</t>
        </is>
      </c>
      <c r="C251" s="55" t="inlineStr">
        <is>
          <t>KZT</t>
        </is>
      </c>
      <c r="D251" s="55" t="inlineStr">
        <is>
          <t>2401</t>
        </is>
      </c>
      <c r="E251" s="55" t="inlineStr">
        <is>
          <t>филиал акционерного общества "Национальная компания "Қазақстан темір жолы" - "Алматинское эксплуатационное вагонное депо"</t>
        </is>
      </c>
      <c r="F251" s="55" t="inlineStr">
        <is>
          <t>250741017898</t>
        </is>
      </c>
      <c r="G251" s="55" t="inlineStr">
        <is>
          <t>822</t>
        </is>
      </c>
      <c r="H251" s="56" t="inlineStr">
        <is>
          <t>счет к оплате 509 от 17 июля 2026. Без НДС. Платежи за услуги по ремонту товаров и техническому обслуживанию</t>
        </is>
      </c>
      <c r="I251" s="57" t="n">
        <v>103471.95</v>
      </c>
      <c r="J251" s="57" t="n"/>
      <c r="K251" s="58" t="n">
        <v>1</v>
      </c>
      <c r="L251" s="57" t="n">
        <v>103471.95</v>
      </c>
      <c r="M251" s="57" t="n"/>
      <c r="N251" s="55" t="inlineStr">
        <is>
          <t>Внешняя операция</t>
        </is>
      </c>
      <c r="O251" s="55" t="inlineStr">
        <is>
          <t>Себестоимость</t>
        </is>
      </c>
      <c r="P251" s="55" t="inlineStr">
        <is>
          <t>Ремонт вагонов и узлов</t>
        </is>
      </c>
      <c r="Q251" s="55" t="inlineStr">
        <is>
          <t>филиал акционерного общества "Национальная к</t>
        </is>
      </c>
    </row>
    <row r="252">
      <c r="A252" s="55" t="inlineStr">
        <is>
          <t>28.07.2026</t>
        </is>
      </c>
      <c r="B252" s="55" t="inlineStr">
        <is>
          <t>ЦентрКредит</t>
        </is>
      </c>
      <c r="C252" s="55" t="inlineStr">
        <is>
          <t>KZT</t>
        </is>
      </c>
      <c r="D252" s="55" t="inlineStr">
        <is>
          <t>2401</t>
        </is>
      </c>
      <c r="E252" s="55" t="inlineStr">
        <is>
          <t>филиал акционерного общества "Национальная компания "Қазақстан темір жолы" - "Семейское эксплуатационное вагонное депо"</t>
        </is>
      </c>
      <c r="F252" s="55" t="inlineStr">
        <is>
          <t>250741018846</t>
        </is>
      </c>
      <c r="G252" s="55" t="inlineStr">
        <is>
          <t>822</t>
        </is>
      </c>
      <c r="H252" s="56" t="inlineStr">
        <is>
          <t>счет на оплату 61 от 21 июля 2026 года. Без НДС. Платежи за услуги по ремонту товаров и техническому обслуживанию</t>
        </is>
      </c>
      <c r="I252" s="57" t="n">
        <v>164852.38</v>
      </c>
      <c r="J252" s="57" t="n"/>
      <c r="K252" s="58" t="n">
        <v>1</v>
      </c>
      <c r="L252" s="57" t="n">
        <v>164852.38</v>
      </c>
      <c r="M252" s="57" t="n"/>
      <c r="N252" s="55" t="inlineStr">
        <is>
          <t>Внешняя операция</t>
        </is>
      </c>
      <c r="O252" s="55" t="inlineStr">
        <is>
          <t>Себестоимость</t>
        </is>
      </c>
      <c r="P252" s="55" t="inlineStr">
        <is>
          <t>Ремонт вагонов и узлов</t>
        </is>
      </c>
      <c r="Q252" s="55" t="inlineStr">
        <is>
          <t>филиал акционерного общества "Национальная к</t>
        </is>
      </c>
    </row>
    <row r="253">
      <c r="A253" s="55" t="inlineStr">
        <is>
          <t>28.07.2026</t>
        </is>
      </c>
      <c r="B253" s="55" t="inlineStr">
        <is>
          <t>ЦентрКредит</t>
        </is>
      </c>
      <c r="C253" s="55" t="inlineStr">
        <is>
          <t>KZT</t>
        </is>
      </c>
      <c r="D253" s="55" t="inlineStr">
        <is>
          <t>2401</t>
        </is>
      </c>
      <c r="E253" s="55" t="inlineStr">
        <is>
          <t>Товарищество с ограниченной ответственностью "WayStar Group"</t>
        </is>
      </c>
      <c r="F253" s="55" t="inlineStr">
        <is>
          <t>240340014287</t>
        </is>
      </c>
      <c r="G253" s="55" t="inlineStr">
        <is>
          <t>312</t>
        </is>
      </c>
      <c r="H253" s="56" t="inlineStr">
        <is>
          <t>Размещение вклада</t>
        </is>
      </c>
      <c r="I253" s="57" t="n">
        <v>302886.22</v>
      </c>
      <c r="J253" s="57" t="n"/>
      <c r="K253" s="58" t="n">
        <v>1</v>
      </c>
      <c r="L253" s="57" t="n">
        <v>302886.22</v>
      </c>
      <c r="M253" s="57" t="n"/>
      <c r="N253" s="59" t="inlineStr">
        <is>
          <t>Внутренний перевод</t>
        </is>
      </c>
      <c r="O253" s="55" t="inlineStr">
        <is>
          <t>Технические</t>
        </is>
      </c>
      <c r="P253" s="55" t="inlineStr">
        <is>
          <t>Перевод между своими счетами</t>
        </is>
      </c>
      <c r="Q253" s="55" t="inlineStr"/>
    </row>
    <row r="254">
      <c r="A254" s="55" t="inlineStr">
        <is>
          <t>28.07.2026</t>
        </is>
      </c>
      <c r="B254" s="55" t="inlineStr">
        <is>
          <t>ЦентрКредит</t>
        </is>
      </c>
      <c r="C254" s="55" t="inlineStr">
        <is>
          <t>KZT</t>
        </is>
      </c>
      <c r="D254" s="55" t="inlineStr">
        <is>
          <t>2401</t>
        </is>
      </c>
      <c r="E254" s="55" t="inlineStr">
        <is>
          <t>Товарищество с ограниченной ответственностью ""SK RAILWAY Service""</t>
        </is>
      </c>
      <c r="F254" s="55" t="inlineStr">
        <is>
          <t>241240027466</t>
        </is>
      </c>
      <c r="G254" s="55" t="inlineStr">
        <is>
          <t>822</t>
        </is>
      </c>
      <c r="H254" s="56" t="inlineStr">
        <is>
          <t>оплата за ремонт колесной пары, согл счета на оплату 171 от 27 июля 2026. Без НДС. Платежи за услуги по ремонту товаров и техническому обслуживанию</t>
        </is>
      </c>
      <c r="I254" s="57" t="n">
        <v>720000</v>
      </c>
      <c r="J254" s="57" t="n"/>
      <c r="K254" s="58" t="n">
        <v>1</v>
      </c>
      <c r="L254" s="57" t="n">
        <v>720000</v>
      </c>
      <c r="M254" s="57" t="n"/>
      <c r="N254" s="55" t="inlineStr">
        <is>
          <t>Внешняя операция</t>
        </is>
      </c>
      <c r="O254" s="55" t="inlineStr">
        <is>
          <t>Себестоимость</t>
        </is>
      </c>
      <c r="P254" s="55" t="inlineStr">
        <is>
          <t>Ремонт вагонов и узлов</t>
        </is>
      </c>
      <c r="Q254" s="55" t="inlineStr">
        <is>
          <t>ТОО ""SK RAILWAY Service""</t>
        </is>
      </c>
    </row>
    <row r="255">
      <c r="A255" s="55" t="inlineStr">
        <is>
          <t>28.07.2026</t>
        </is>
      </c>
      <c r="B255" s="55" t="inlineStr">
        <is>
          <t>ЦентрКредит</t>
        </is>
      </c>
      <c r="C255" s="55" t="inlineStr">
        <is>
          <t>KZT</t>
        </is>
      </c>
      <c r="D255" s="55" t="inlineStr">
        <is>
          <t>2401</t>
        </is>
      </c>
      <c r="E255" s="55" t="inlineStr">
        <is>
          <t>Акционерное Общество "Банк ЦентрКредит"</t>
        </is>
      </c>
      <c r="F255" s="55" t="inlineStr">
        <is>
          <t>980640000093</t>
        </is>
      </c>
      <c r="G255" s="55" t="inlineStr">
        <is>
          <t>213</t>
        </is>
      </c>
      <c r="H255" s="56" t="inlineStr">
        <is>
          <t>Покупка иностранной валюты TOD (день в день), ТОО "WayStar Group", БИН 240340014287. Заявка №648234. Дата вал. 28.07.2026. Покупка USD, продажа KZT. Курс сделки 478.82. Учетный курс 473.4. Прочее</t>
        </is>
      </c>
      <c r="I255" s="57" t="n">
        <v>995945.6</v>
      </c>
      <c r="J255" s="57" t="n"/>
      <c r="K255" s="58" t="n">
        <v>1</v>
      </c>
      <c r="L255" s="57" t="n">
        <v>995945.6</v>
      </c>
      <c r="M255" s="57" t="n"/>
      <c r="N255" s="60" t="inlineStr">
        <is>
          <t>Конвертация валют</t>
        </is>
      </c>
      <c r="O255" s="55" t="inlineStr">
        <is>
          <t>Технические</t>
        </is>
      </c>
      <c r="P255" s="55" t="inlineStr">
        <is>
          <t>Покупка/продажа валюты</t>
        </is>
      </c>
      <c r="Q255" s="55" t="inlineStr"/>
    </row>
    <row r="256">
      <c r="A256" s="55" t="inlineStr">
        <is>
          <t>28.07.2026</t>
        </is>
      </c>
      <c r="B256" s="55" t="inlineStr">
        <is>
          <t>ЦентрКредит</t>
        </is>
      </c>
      <c r="C256" s="55" t="inlineStr">
        <is>
          <t>KZT</t>
        </is>
      </c>
      <c r="D256" s="55" t="inlineStr">
        <is>
          <t>2401</t>
        </is>
      </c>
      <c r="E256" s="55" t="inlineStr">
        <is>
          <t>Товарищество с ограниченной ответственностью "WayStar Group"</t>
        </is>
      </c>
      <c r="F256" s="55" t="inlineStr">
        <is>
          <t>240340014287</t>
        </is>
      </c>
      <c r="G256" s="55" t="inlineStr">
        <is>
          <t>312</t>
        </is>
      </c>
      <c r="H256" s="56" t="inlineStr">
        <is>
          <t>Прием вклада по депозитному договору № 02257310.Вкладчик Товарищество с ограниченной ответственностью "WayStar Group".</t>
        </is>
      </c>
      <c r="I256" s="57" t="n">
        <v>5000000</v>
      </c>
      <c r="J256" s="57" t="n"/>
      <c r="K256" s="58" t="n">
        <v>1</v>
      </c>
      <c r="L256" s="57" t="n">
        <v>5000000</v>
      </c>
      <c r="M256" s="57" t="n"/>
      <c r="N256" s="59" t="inlineStr">
        <is>
          <t>Внутренний перевод</t>
        </is>
      </c>
      <c r="O256" s="55" t="inlineStr">
        <is>
          <t>Технические</t>
        </is>
      </c>
      <c r="P256" s="55" t="inlineStr">
        <is>
          <t>Перевод между своими счетами</t>
        </is>
      </c>
      <c r="Q256" s="55" t="inlineStr"/>
    </row>
    <row r="257">
      <c r="A257" s="55" t="inlineStr">
        <is>
          <t>28.07.2026</t>
        </is>
      </c>
      <c r="B257" s="55" t="inlineStr">
        <is>
          <t>ЦентрКредит</t>
        </is>
      </c>
      <c r="C257" s="55" t="inlineStr">
        <is>
          <t>KZT</t>
        </is>
      </c>
      <c r="D257" s="55" t="inlineStr">
        <is>
          <t>2401</t>
        </is>
      </c>
      <c r="E257" s="55" t="inlineStr">
        <is>
          <t>Товарищество с ограниченной ответственностью "ЭДЕМ ТРАНС"</t>
        </is>
      </c>
      <c r="F257" s="55" t="inlineStr">
        <is>
          <t>140240031728</t>
        </is>
      </c>
      <c r="G257" s="55" t="inlineStr">
        <is>
          <t>813</t>
        </is>
      </c>
      <c r="H257" s="56" t="inlineStr">
        <is>
          <t>счет на оплату 84 от 17 июля 2026. Без НДС. Платежи за услуги железнодорожного транспорта</t>
        </is>
      </c>
      <c r="I257" s="57" t="n">
        <v>14449040</v>
      </c>
      <c r="J257" s="57" t="n"/>
      <c r="K257" s="58" t="n">
        <v>1</v>
      </c>
      <c r="L257" s="57" t="n">
        <v>14449040</v>
      </c>
      <c r="M257" s="57" t="n"/>
      <c r="N257" s="55" t="inlineStr">
        <is>
          <t>Внешняя операция</t>
        </is>
      </c>
      <c r="O257" s="55" t="inlineStr">
        <is>
          <t>Себестоимость</t>
        </is>
      </c>
      <c r="P257" s="55" t="inlineStr">
        <is>
          <t>Прочие ж/д и ТЭУ услуги</t>
        </is>
      </c>
      <c r="Q257" s="55" t="inlineStr">
        <is>
          <t>ТОО "ЭДЕМ ТРАНС"</t>
        </is>
      </c>
    </row>
    <row r="258">
      <c r="A258" s="55" t="inlineStr">
        <is>
          <t>28.07.2026</t>
        </is>
      </c>
      <c r="B258" s="55" t="inlineStr">
        <is>
          <t>ЦентрКредит</t>
        </is>
      </c>
      <c r="C258" s="55" t="inlineStr">
        <is>
          <t>KZT</t>
        </is>
      </c>
      <c r="D258" s="55" t="inlineStr">
        <is>
          <t>2401</t>
        </is>
      </c>
      <c r="E258" s="55" t="inlineStr">
        <is>
          <t>ТОО КТЖ-Грузовые перевозки</t>
        </is>
      </c>
      <c r="F258" s="55" t="inlineStr">
        <is>
          <t>031040001799</t>
        </is>
      </c>
      <c r="G258" s="55" t="inlineStr">
        <is>
          <t>813</t>
        </is>
      </c>
      <c r="H258" s="56" t="inlineStr">
        <is>
          <t>Без НДС, 4185494, Платежи за услуги железнодорожного транспорта</t>
        </is>
      </c>
      <c r="I258" s="57" t="n">
        <v>15000000</v>
      </c>
      <c r="J258" s="57" t="n"/>
      <c r="K258" s="58" t="n">
        <v>1</v>
      </c>
      <c r="L258" s="57" t="n">
        <v>15000000</v>
      </c>
      <c r="M258" s="57" t="n"/>
      <c r="N258" s="55" t="inlineStr">
        <is>
          <t>Внешняя операция</t>
        </is>
      </c>
      <c r="O258" s="55" t="inlineStr">
        <is>
          <t>Себестоимость</t>
        </is>
      </c>
      <c r="P258" s="55" t="inlineStr">
        <is>
          <t>Тариф КТЖ (ж/д перевозки)</t>
        </is>
      </c>
      <c r="Q258" s="55" t="inlineStr">
        <is>
          <t>ТОО «КТЖ-Грузовые перевозки»</t>
        </is>
      </c>
    </row>
    <row r="259">
      <c r="A259" s="55" t="inlineStr">
        <is>
          <t>29.07.2026</t>
        </is>
      </c>
      <c r="B259" s="55" t="inlineStr">
        <is>
          <t>ЦентрКредит</t>
        </is>
      </c>
      <c r="C259" s="55" t="inlineStr">
        <is>
          <t>KZT</t>
        </is>
      </c>
      <c r="D259" s="55" t="inlineStr">
        <is>
          <t>2401</t>
        </is>
      </c>
      <c r="E259" s="55" t="inlineStr">
        <is>
          <t>АО "Банк ЦентрКредит"</t>
        </is>
      </c>
      <c r="F259" s="55" t="inlineStr">
        <is>
          <t>980640000093</t>
        </is>
      </c>
      <c r="G259" s="55" t="inlineStr">
        <is>
          <t>332</t>
        </is>
      </c>
      <c r="H259" s="56" t="inlineStr">
        <is>
          <t>ЗП июль 2026</t>
        </is>
      </c>
      <c r="I259" s="57" t="n">
        <v>130982</v>
      </c>
      <c r="J259" s="57" t="n"/>
      <c r="K259" s="58" t="n">
        <v>1</v>
      </c>
      <c r="L259" s="57" t="n">
        <v>130982</v>
      </c>
      <c r="M259" s="57" t="n"/>
      <c r="N259" s="55" t="inlineStr">
        <is>
          <t>Внешняя операция</t>
        </is>
      </c>
      <c r="O259" s="55" t="inlineStr">
        <is>
          <t>ФОТ</t>
        </is>
      </c>
      <c r="P259" s="55" t="inlineStr">
        <is>
          <t>Зарплата</t>
        </is>
      </c>
      <c r="Q259" s="55" t="inlineStr">
        <is>
          <t>АО "Банк ЦентрКредит"</t>
        </is>
      </c>
    </row>
    <row r="260">
      <c r="A260" s="55" t="inlineStr">
        <is>
          <t>29.07.2026</t>
        </is>
      </c>
      <c r="B260" s="55" t="inlineStr">
        <is>
          <t>ЦентрКредит</t>
        </is>
      </c>
      <c r="C260" s="55" t="inlineStr">
        <is>
          <t>KZT</t>
        </is>
      </c>
      <c r="D260" s="55" t="inlineStr">
        <is>
          <t>2401</t>
        </is>
      </c>
      <c r="E260" s="55" t="inlineStr">
        <is>
          <t>Частная компания WayStar Service Limited</t>
        </is>
      </c>
      <c r="F260" s="55" t="inlineStr">
        <is>
          <t>260540900770</t>
        </is>
      </c>
      <c r="G260" s="55" t="inlineStr">
        <is>
          <t>411</t>
        </is>
      </c>
      <c r="H260" s="56" t="inlineStr">
        <is>
          <t>выдача займа. Без НДС. Выдача краткосрочных займов (не более одного года),</t>
        </is>
      </c>
      <c r="I260" s="57" t="n">
        <v>1650000</v>
      </c>
      <c r="J260" s="57" t="n"/>
      <c r="K260" s="58" t="n">
        <v>1</v>
      </c>
      <c r="L260" s="57" t="n">
        <v>1650000</v>
      </c>
      <c r="M260" s="57" t="n"/>
      <c r="N260" s="59" t="inlineStr">
        <is>
          <t>Внутренний перевод</t>
        </is>
      </c>
      <c r="O260" s="55" t="inlineStr">
        <is>
          <t>Технические</t>
        </is>
      </c>
      <c r="P260" s="55" t="inlineStr">
        <is>
          <t>Перевод между своими счетами</t>
        </is>
      </c>
      <c r="Q260" s="55" t="inlineStr"/>
    </row>
    <row r="261">
      <c r="A261" s="55" t="inlineStr">
        <is>
          <t>29.07.2026</t>
        </is>
      </c>
      <c r="B261" s="55" t="inlineStr">
        <is>
          <t>ЦентрКредит</t>
        </is>
      </c>
      <c r="C261" s="55" t="inlineStr">
        <is>
          <t>KZT</t>
        </is>
      </c>
      <c r="D261" s="55" t="inlineStr">
        <is>
          <t>2401</t>
        </is>
      </c>
      <c r="E261" s="55" t="inlineStr">
        <is>
          <t>Акционерное общество "Банк "Bank RBK"</t>
        </is>
      </c>
      <c r="F261" s="55" t="inlineStr">
        <is>
          <t>920440001102</t>
        </is>
      </c>
      <c r="G261" s="55" t="inlineStr">
        <is>
          <t>332</t>
        </is>
      </c>
      <c r="H261" s="56" t="inlineStr">
        <is>
          <t>Для зачисления на картсчета сотрудникам согласно спискам 2 915 000-00 теңге.</t>
        </is>
      </c>
      <c r="I261" s="57" t="n">
        <v>2915000</v>
      </c>
      <c r="J261" s="57" t="n"/>
      <c r="K261" s="58" t="n">
        <v>1</v>
      </c>
      <c r="L261" s="57" t="n">
        <v>2915000</v>
      </c>
      <c r="M261" s="57" t="n"/>
      <c r="N261" s="55" t="inlineStr">
        <is>
          <t>Внешняя операция</t>
        </is>
      </c>
      <c r="O261" s="55" t="inlineStr">
        <is>
          <t>ФОТ</t>
        </is>
      </c>
      <c r="P261" s="55" t="inlineStr">
        <is>
          <t>Зарплата</t>
        </is>
      </c>
      <c r="Q261" s="55" t="inlineStr">
        <is>
          <t>Акционерное общество "Банк "Bank RBK"</t>
        </is>
      </c>
    </row>
    <row r="262">
      <c r="A262" s="55" t="inlineStr">
        <is>
          <t>29.07.2026</t>
        </is>
      </c>
      <c r="B262" s="55" t="inlineStr">
        <is>
          <t>ЦентрКредит</t>
        </is>
      </c>
      <c r="C262" s="55" t="inlineStr">
        <is>
          <t>KZT</t>
        </is>
      </c>
      <c r="D262" s="55" t="inlineStr">
        <is>
          <t>2401</t>
        </is>
      </c>
      <c r="E262" s="55" t="inlineStr">
        <is>
          <t>АО "Банк ЦентрКредит"</t>
        </is>
      </c>
      <c r="F262" s="55" t="inlineStr">
        <is>
          <t>980640000093</t>
        </is>
      </c>
      <c r="G262" s="55" t="inlineStr">
        <is>
          <t>332</t>
        </is>
      </c>
      <c r="H262" s="56" t="inlineStr"/>
      <c r="I262" s="57" t="n">
        <v>9638682</v>
      </c>
      <c r="J262" s="57" t="n"/>
      <c r="K262" s="58" t="n">
        <v>1</v>
      </c>
      <c r="L262" s="57" t="n">
        <v>9638682</v>
      </c>
      <c r="M262" s="57" t="n"/>
      <c r="N262" s="55" t="inlineStr">
        <is>
          <t>Внешняя операция</t>
        </is>
      </c>
      <c r="O262" s="55" t="inlineStr">
        <is>
          <t>ФОТ</t>
        </is>
      </c>
      <c r="P262" s="55" t="inlineStr">
        <is>
          <t>Зарплата</t>
        </is>
      </c>
      <c r="Q262" s="55" t="inlineStr">
        <is>
          <t>АО "Банк ЦентрКредит"</t>
        </is>
      </c>
    </row>
    <row r="263">
      <c r="A263" s="55" t="inlineStr">
        <is>
          <t>29.07.2026</t>
        </is>
      </c>
      <c r="B263" s="55" t="inlineStr">
        <is>
          <t>ЦентрКредит</t>
        </is>
      </c>
      <c r="C263" s="55" t="inlineStr">
        <is>
          <t>KZT</t>
        </is>
      </c>
      <c r="D263" s="55" t="inlineStr">
        <is>
          <t>2401</t>
        </is>
      </c>
      <c r="E263" s="55" t="inlineStr">
        <is>
          <t>Товарищество с ограниченной ответственностью "WayStar Group"</t>
        </is>
      </c>
      <c r="F263" s="55" t="inlineStr">
        <is>
          <t>240340014287</t>
        </is>
      </c>
      <c r="G263" s="55" t="inlineStr">
        <is>
          <t>312</t>
        </is>
      </c>
      <c r="H263" s="56" t="inlineStr">
        <is>
          <t>Размещение вклада</t>
        </is>
      </c>
      <c r="I263" s="57" t="n">
        <v>38970012.86</v>
      </c>
      <c r="J263" s="57" t="n"/>
      <c r="K263" s="58" t="n">
        <v>1</v>
      </c>
      <c r="L263" s="57" t="n">
        <v>38970012.86</v>
      </c>
      <c r="M263" s="57" t="n"/>
      <c r="N263" s="59" t="inlineStr">
        <is>
          <t>Внутренний перевод</t>
        </is>
      </c>
      <c r="O263" s="55" t="inlineStr">
        <is>
          <t>Технические</t>
        </is>
      </c>
      <c r="P263" s="55" t="inlineStr">
        <is>
          <t>Перевод между своими счетами</t>
        </is>
      </c>
      <c r="Q263" s="55" t="inlineStr"/>
    </row>
    <row r="264">
      <c r="A264" s="55" t="inlineStr">
        <is>
          <t>29.07.2026</t>
        </is>
      </c>
      <c r="B264" s="55" t="inlineStr">
        <is>
          <t>ЦентрКредит</t>
        </is>
      </c>
      <c r="C264" s="55" t="inlineStr">
        <is>
          <t>KZT</t>
        </is>
      </c>
      <c r="D264" s="55" t="inlineStr">
        <is>
          <t>2401</t>
        </is>
      </c>
      <c r="E264" s="55" t="inlineStr">
        <is>
          <t>Серикбаев А.Д.</t>
        </is>
      </c>
      <c r="F264" s="55" t="inlineStr">
        <is>
          <t>940422350422</t>
        </is>
      </c>
      <c r="G264" s="55" t="inlineStr">
        <is>
          <t>411</t>
        </is>
      </c>
      <c r="H264" s="56" t="inlineStr">
        <is>
          <t>займ. Без НДС. Выдача краткосрочных займов (не более одного года)</t>
        </is>
      </c>
      <c r="I264" s="57" t="n">
        <v>45000000</v>
      </c>
      <c r="J264" s="57" t="n"/>
      <c r="K264" s="58" t="n">
        <v>1</v>
      </c>
      <c r="L264" s="57" t="n">
        <v>45000000</v>
      </c>
      <c r="M264" s="57" t="n"/>
      <c r="N264" s="55" t="inlineStr">
        <is>
          <t>Внешняя операция</t>
        </is>
      </c>
      <c r="O264" s="55" t="inlineStr">
        <is>
          <t>Финансовые</t>
        </is>
      </c>
      <c r="P264" s="55" t="inlineStr">
        <is>
          <t>Выданные займы (связ. лица)</t>
        </is>
      </c>
      <c r="Q264" s="55" t="inlineStr">
        <is>
          <t>Серикбаев А.Д.</t>
        </is>
      </c>
    </row>
    <row r="265">
      <c r="A265" s="55" t="inlineStr">
        <is>
          <t>29.07.2026</t>
        </is>
      </c>
      <c r="B265" s="55" t="inlineStr">
        <is>
          <t>ЦентрКредит</t>
        </is>
      </c>
      <c r="C265" s="55" t="inlineStr">
        <is>
          <t>KZT</t>
        </is>
      </c>
      <c r="D265" s="55" t="inlineStr">
        <is>
          <t>2401</t>
        </is>
      </c>
      <c r="E265" s="55" t="inlineStr">
        <is>
          <t>Товарищество с ограниченной ответственностью "WayStar Group"</t>
        </is>
      </c>
      <c r="F265" s="55" t="inlineStr">
        <is>
          <t>240340014287</t>
        </is>
      </c>
      <c r="G265" s="55" t="inlineStr">
        <is>
          <t>316</t>
        </is>
      </c>
      <c r="H265" s="56" t="inlineStr">
        <is>
          <t>Выплата начисленного вознаграждения по депозитному договору № 02257310 от 28.07.2026 за период с 28.07.26 по 28.07.26. Вкладчик Товарищество с ограниченной ответственностью "WayStar Group".</t>
        </is>
      </c>
      <c r="I265" s="57" t="n"/>
      <c r="J265" s="57" t="n">
        <v>1790.64</v>
      </c>
      <c r="K265" s="58" t="n">
        <v>1</v>
      </c>
      <c r="L265" s="57" t="n"/>
      <c r="M265" s="57" t="n">
        <v>1790.64</v>
      </c>
      <c r="N265" s="59" t="inlineStr">
        <is>
          <t>Внутренний перевод</t>
        </is>
      </c>
      <c r="O265" s="55" t="inlineStr">
        <is>
          <t>Технические</t>
        </is>
      </c>
      <c r="P265" s="55" t="inlineStr">
        <is>
          <t>Перевод между своими счетами</t>
        </is>
      </c>
      <c r="Q265" s="55" t="inlineStr"/>
    </row>
    <row r="266">
      <c r="A266" s="55" t="inlineStr">
        <is>
          <t>29.07.2026</t>
        </is>
      </c>
      <c r="B266" s="55" t="inlineStr">
        <is>
          <t>ЦентрКредит</t>
        </is>
      </c>
      <c r="C266" s="55" t="inlineStr">
        <is>
          <t>KZT</t>
        </is>
      </c>
      <c r="D266" s="55" t="inlineStr">
        <is>
          <t>2401</t>
        </is>
      </c>
      <c r="E266" s="55" t="inlineStr">
        <is>
          <t>Товарищество с ограниченной ответственностью "WayStar Group"</t>
        </is>
      </c>
      <c r="F266" s="55" t="inlineStr">
        <is>
          <t>240340014287</t>
        </is>
      </c>
      <c r="G266" s="55" t="inlineStr">
        <is>
          <t>322</t>
        </is>
      </c>
      <c r="H266" s="56" t="inlineStr">
        <is>
          <t>Частичная выплата вклада по депозитному договору № 02257310 от 29.07.2026 в размере 5302886.22 согласно ДП. Вкладчик: Товарищество с ограниченной ответственностью "WayStar Group".</t>
        </is>
      </c>
      <c r="I266" s="57" t="n"/>
      <c r="J266" s="57" t="n">
        <v>5302886.22</v>
      </c>
      <c r="K266" s="58" t="n">
        <v>1</v>
      </c>
      <c r="L266" s="57" t="n"/>
      <c r="M266" s="57" t="n">
        <v>5302886.22</v>
      </c>
      <c r="N266" s="59" t="inlineStr">
        <is>
          <t>Внутренний перевод</t>
        </is>
      </c>
      <c r="O266" s="55" t="inlineStr">
        <is>
          <t>Технические</t>
        </is>
      </c>
      <c r="P266" s="55" t="inlineStr">
        <is>
          <t>Перевод между своими счетами</t>
        </is>
      </c>
      <c r="Q266" s="55" t="inlineStr"/>
    </row>
    <row r="267">
      <c r="A267" s="55" t="inlineStr">
        <is>
          <t>29.07.2026</t>
        </is>
      </c>
      <c r="B267" s="55" t="inlineStr">
        <is>
          <t>ЦентрКредит</t>
        </is>
      </c>
      <c r="C267" s="55" t="inlineStr">
        <is>
          <t>KZT</t>
        </is>
      </c>
      <c r="D267" s="55" t="inlineStr">
        <is>
          <t>2401</t>
        </is>
      </c>
      <c r="E267" s="55" t="inlineStr">
        <is>
          <t>ТОО  "WayStar Group"</t>
        </is>
      </c>
      <c r="F267" s="55" t="inlineStr">
        <is>
          <t>240340014287</t>
        </is>
      </c>
      <c r="G267" s="55" t="inlineStr">
        <is>
          <t>343</t>
        </is>
      </c>
      <c r="H267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67" s="57" t="n"/>
      <c r="J267" s="57" t="n">
        <v>45000000</v>
      </c>
      <c r="K267" s="58" t="n">
        <v>1</v>
      </c>
      <c r="L267" s="57" t="n"/>
      <c r="M267" s="57" t="n">
        <v>45000000</v>
      </c>
      <c r="N267" s="59" t="inlineStr">
        <is>
          <t>Внутренний перевод</t>
        </is>
      </c>
      <c r="O267" s="55" t="inlineStr">
        <is>
          <t>Технические</t>
        </is>
      </c>
      <c r="P267" s="55" t="inlineStr">
        <is>
          <t>Перевод между своими счетами</t>
        </is>
      </c>
      <c r="Q267" s="55" t="inlineStr"/>
    </row>
    <row r="268">
      <c r="A268" s="55" t="inlineStr">
        <is>
          <t>29.07.2026</t>
        </is>
      </c>
      <c r="B268" s="55" t="inlineStr">
        <is>
          <t>ЦентрКредит</t>
        </is>
      </c>
      <c r="C268" s="55" t="inlineStr">
        <is>
          <t>KZT</t>
        </is>
      </c>
      <c r="D268" s="55" t="inlineStr">
        <is>
          <t>2401</t>
        </is>
      </c>
      <c r="E268" s="55" t="inlineStr">
        <is>
          <t>ТОО  "WayStar Group"</t>
        </is>
      </c>
      <c r="F268" s="55" t="inlineStr">
        <is>
          <t>240340014287</t>
        </is>
      </c>
      <c r="G268" s="55" t="inlineStr">
        <is>
          <t>343</t>
        </is>
      </c>
      <c r="H268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268" s="57" t="n"/>
      <c r="J268" s="57" t="n">
        <v>48000000</v>
      </c>
      <c r="K268" s="58" t="n">
        <v>1</v>
      </c>
      <c r="L268" s="57" t="n"/>
      <c r="M268" s="57" t="n">
        <v>48000000</v>
      </c>
      <c r="N268" s="59" t="inlineStr">
        <is>
          <t>Внутренний перевод</t>
        </is>
      </c>
      <c r="O268" s="55" t="inlineStr">
        <is>
          <t>Технические</t>
        </is>
      </c>
      <c r="P268" s="55" t="inlineStr">
        <is>
          <t>Перевод между своими счетами</t>
        </is>
      </c>
      <c r="Q268" s="55" t="inlineStr"/>
    </row>
    <row r="269">
      <c r="A269" s="55" t="inlineStr">
        <is>
          <t>30.07.2026</t>
        </is>
      </c>
      <c r="B269" s="55" t="inlineStr">
        <is>
          <t>ЦентрКредит</t>
        </is>
      </c>
      <c r="C269" s="55" t="inlineStr">
        <is>
          <t>KZT</t>
        </is>
      </c>
      <c r="D269" s="55" t="inlineStr">
        <is>
          <t>2401</t>
        </is>
      </c>
      <c r="E269" s="55" t="inlineStr">
        <is>
          <t>Товарищество с ограниченной ответственностью "ALDAR EUROASIA PROPERTY MANAGEMENT"</t>
        </is>
      </c>
      <c r="F269" s="55" t="inlineStr">
        <is>
          <t>191040020896</t>
        </is>
      </c>
      <c r="G269" s="55" t="inlineStr">
        <is>
          <t>855</t>
        </is>
      </c>
      <c r="H269" s="56" t="inlineStr">
        <is>
          <t>Договор №PY174-175-280725 от 28.07.2025 Счет на оплату №00000004546 от 29 июля 2026 г. Аренда паркинга июль 2026</t>
        </is>
      </c>
      <c r="I269" s="57" t="n">
        <v>14593.56</v>
      </c>
      <c r="J269" s="57" t="n"/>
      <c r="K269" s="58" t="n">
        <v>1</v>
      </c>
      <c r="L269" s="57" t="n">
        <v>14593.56</v>
      </c>
      <c r="M269" s="57" t="n"/>
      <c r="N269" s="55" t="inlineStr">
        <is>
          <t>Внешняя операция</t>
        </is>
      </c>
      <c r="O269" s="55" t="inlineStr">
        <is>
          <t>Прочее</t>
        </is>
      </c>
      <c r="P269" s="55" t="inlineStr">
        <is>
          <t>Прочие расходы</t>
        </is>
      </c>
      <c r="Q269" s="55" t="inlineStr">
        <is>
          <t>ТОО "ALDAR EUROASIA PROPERTY MANAGEMENT"</t>
        </is>
      </c>
    </row>
    <row r="270">
      <c r="A270" s="55" t="inlineStr">
        <is>
          <t>30.07.2026</t>
        </is>
      </c>
      <c r="B270" s="55" t="inlineStr">
        <is>
          <t>ЦентрКредит</t>
        </is>
      </c>
      <c r="C270" s="55" t="inlineStr">
        <is>
          <t>KZT</t>
        </is>
      </c>
      <c r="D270" s="55" t="inlineStr">
        <is>
          <t>2401</t>
        </is>
      </c>
      <c r="E270" s="55" t="inlineStr">
        <is>
          <t>Акционерное Общество "Банк ЦентрКредит"</t>
        </is>
      </c>
      <c r="F270" s="55" t="inlineStr">
        <is>
          <t>980741000260</t>
        </is>
      </c>
      <c r="G270" s="55" t="inlineStr">
        <is>
          <t>841</t>
        </is>
      </c>
      <c r="H270" s="56" t="inlineStr">
        <is>
          <t>Интернет-банкинг. MIP. Международные платежи. Перевод OUR, кроме валют стран СНГ с 13:00 по 16:00. Расчетный документ № 3 от 30.07.26 на сумму 3 878.00 USD, в т.ч. НДС 16%</t>
        </is>
      </c>
      <c r="I270" s="57" t="n">
        <v>15000</v>
      </c>
      <c r="J270" s="57" t="n"/>
      <c r="K270" s="58" t="n">
        <v>1</v>
      </c>
      <c r="L270" s="57" t="n">
        <v>15000</v>
      </c>
      <c r="M270" s="57" t="n"/>
      <c r="N270" s="55" t="inlineStr">
        <is>
          <t>Внешняя операция</t>
        </is>
      </c>
      <c r="O270" s="55" t="inlineStr">
        <is>
          <t>Финансовые</t>
        </is>
      </c>
      <c r="P270" s="55" t="inlineStr">
        <is>
          <t>Банковские комиссии</t>
        </is>
      </c>
      <c r="Q270" s="55" t="inlineStr">
        <is>
          <t>Акционерное Общество "Банк ЦентрКредит"</t>
        </is>
      </c>
    </row>
    <row r="271">
      <c r="A271" s="55" t="inlineStr">
        <is>
          <t>30.07.2026</t>
        </is>
      </c>
      <c r="B271" s="55" t="inlineStr">
        <is>
          <t>ЦентрКредит</t>
        </is>
      </c>
      <c r="C271" s="55" t="inlineStr">
        <is>
          <t>KZT</t>
        </is>
      </c>
      <c r="D271" s="55" t="inlineStr">
        <is>
          <t>2401</t>
        </is>
      </c>
      <c r="E271" s="55" t="inlineStr">
        <is>
          <t>филиал акционерного общества "Национальная компания "Қазақстан темір жолы" - "Алматинское эксплуатационное вагонное депо"</t>
        </is>
      </c>
      <c r="F271" s="55" t="inlineStr">
        <is>
          <t>250741017898</t>
        </is>
      </c>
      <c r="G271" s="55" t="inlineStr">
        <is>
          <t>822</t>
        </is>
      </c>
      <c r="H271" s="56" t="inlineStr">
        <is>
          <t>Для ВЧД-26 Достык Счет на оплату № 509 от 17.07.2026 (остаток)</t>
        </is>
      </c>
      <c r="I271" s="57" t="n">
        <v>16555.51</v>
      </c>
      <c r="J271" s="57" t="n"/>
      <c r="K271" s="58" t="n">
        <v>1</v>
      </c>
      <c r="L271" s="57" t="n">
        <v>16555.51</v>
      </c>
      <c r="M271" s="57" t="n"/>
      <c r="N271" s="55" t="inlineStr">
        <is>
          <t>Внешняя операция</t>
        </is>
      </c>
      <c r="O271" s="55" t="inlineStr">
        <is>
          <t>Себестоимость</t>
        </is>
      </c>
      <c r="P271" s="55" t="inlineStr">
        <is>
          <t>Ремонт вагонов и узлов</t>
        </is>
      </c>
      <c r="Q271" s="55" t="inlineStr">
        <is>
          <t>филиал акционерного общества "Национальная к</t>
        </is>
      </c>
    </row>
    <row r="272">
      <c r="A272" s="55" t="inlineStr">
        <is>
          <t>30.07.2026</t>
        </is>
      </c>
      <c r="B272" s="55" t="inlineStr">
        <is>
          <t>ЦентрКредит</t>
        </is>
      </c>
      <c r="C272" s="55" t="inlineStr">
        <is>
          <t>KZT</t>
        </is>
      </c>
      <c r="D272" s="55" t="inlineStr">
        <is>
          <t>2401</t>
        </is>
      </c>
      <c r="E272" s="55" t="inlineStr">
        <is>
          <t>Товарищество с ограниченной ответственностью "ALDAR EUROASIA PROPERTY MANAGEMENT"</t>
        </is>
      </c>
      <c r="F272" s="55" t="inlineStr">
        <is>
          <t>191040020896</t>
        </is>
      </c>
      <c r="G272" s="55" t="inlineStr">
        <is>
          <t>855</t>
        </is>
      </c>
      <c r="H272" s="56" t="inlineStr">
        <is>
          <t>Договор №PY174-175-280725 от 28.07.2025 Счет на оплату №00000004551 от 29 июля 2026 г. Гарантийный депозит</t>
        </is>
      </c>
      <c r="I272" s="57" t="n">
        <v>20200</v>
      </c>
      <c r="J272" s="57" t="n"/>
      <c r="K272" s="58" t="n">
        <v>1</v>
      </c>
      <c r="L272" s="57" t="n">
        <v>20200</v>
      </c>
      <c r="M272" s="57" t="n"/>
      <c r="N272" s="55" t="inlineStr">
        <is>
          <t>Внешняя операция</t>
        </is>
      </c>
      <c r="O272" s="55" t="inlineStr">
        <is>
          <t>Прочее</t>
        </is>
      </c>
      <c r="P272" s="55" t="inlineStr">
        <is>
          <t>Прочие расходы</t>
        </is>
      </c>
      <c r="Q272" s="55" t="inlineStr">
        <is>
          <t>ТОО "ALDAR EUROASIA PROPERTY MANAGEMENT"</t>
        </is>
      </c>
    </row>
    <row r="273">
      <c r="A273" s="55" t="inlineStr">
        <is>
          <t>30.07.2026</t>
        </is>
      </c>
      <c r="B273" s="55" t="inlineStr">
        <is>
          <t>ЦентрКредит</t>
        </is>
      </c>
      <c r="C273" s="55" t="inlineStr">
        <is>
          <t>KZT</t>
        </is>
      </c>
      <c r="D273" s="55" t="inlineStr">
        <is>
          <t>2401</t>
        </is>
      </c>
      <c r="E273" s="55" t="inlineStr">
        <is>
          <t>Акционерное Общество "Банк ЦентрКредит"</t>
        </is>
      </c>
      <c r="F273" s="55" t="inlineStr">
        <is>
          <t>980741000260</t>
        </is>
      </c>
      <c r="G273" s="55" t="inlineStr">
        <is>
          <t>841</t>
        </is>
      </c>
      <c r="H273" s="56" t="inlineStr">
        <is>
          <t>Интернет-банкинг. MIP. Международные платежи. Перевод в валютах стран СНГ, OUR  с 9:00 до 13:00. Расчетный документ № 2 от 30.07.26 на сумму 9 291 520.00 RUB, в т.ч. НДС 16%</t>
        </is>
      </c>
      <c r="I273" s="57" t="n">
        <v>30000</v>
      </c>
      <c r="J273" s="57" t="n"/>
      <c r="K273" s="58" t="n">
        <v>1</v>
      </c>
      <c r="L273" s="57" t="n">
        <v>30000</v>
      </c>
      <c r="M273" s="57" t="n"/>
      <c r="N273" s="55" t="inlineStr">
        <is>
          <t>Внешняя операция</t>
        </is>
      </c>
      <c r="O273" s="55" t="inlineStr">
        <is>
          <t>Финансовые</t>
        </is>
      </c>
      <c r="P273" s="55" t="inlineStr">
        <is>
          <t>Банковские комиссии</t>
        </is>
      </c>
      <c r="Q273" s="55" t="inlineStr">
        <is>
          <t>Акционерное Общество "Банк ЦентрКредит"</t>
        </is>
      </c>
    </row>
    <row r="274">
      <c r="A274" s="55" t="inlineStr">
        <is>
          <t>30.07.2026</t>
        </is>
      </c>
      <c r="B274" s="55" t="inlineStr">
        <is>
          <t>ЦентрКредит</t>
        </is>
      </c>
      <c r="C274" s="55" t="inlineStr">
        <is>
          <t>KZT</t>
        </is>
      </c>
      <c r="D274" s="55" t="inlineStr">
        <is>
          <t>2401</t>
        </is>
      </c>
      <c r="E274" s="55" t="inlineStr">
        <is>
          <t>Товарищество с ограниченной ответственностью "АВИАТУРАГЕНТСТВО ПАКС"</t>
        </is>
      </c>
      <c r="F274" s="55" t="inlineStr">
        <is>
          <t>181040009040</t>
        </is>
      </c>
      <c r="G274" s="55" t="inlineStr">
        <is>
          <t>811</t>
        </is>
      </c>
      <c r="H274" s="56" t="inlineStr">
        <is>
          <t>Договор №KZ 01/01/2025 от 14.07.2025 Счет на оплату № 219 от 24 июля 2026 г. SERIKBAYEV ADIL SCO-ALA / 24.07 SCO-NQZ / 24.07Сумма 34 764-00 теңге без налога</t>
        </is>
      </c>
      <c r="I274" s="57" t="n">
        <v>34764</v>
      </c>
      <c r="J274" s="57" t="n"/>
      <c r="K274" s="58" t="n">
        <v>1</v>
      </c>
      <c r="L274" s="57" t="n">
        <v>34764</v>
      </c>
      <c r="M274" s="57" t="n"/>
      <c r="N274" s="55" t="inlineStr">
        <is>
          <t>Внешняя операция</t>
        </is>
      </c>
      <c r="O274" s="55" t="inlineStr">
        <is>
          <t>ФОТ</t>
        </is>
      </c>
      <c r="P274" s="55" t="inlineStr">
        <is>
          <t>Командировки и подотчёт</t>
        </is>
      </c>
      <c r="Q274" s="55" t="inlineStr">
        <is>
          <t>ТОО "АВИАТУРАГЕНТСТВО ПАКС"</t>
        </is>
      </c>
    </row>
    <row r="275">
      <c r="A275" s="55" t="inlineStr">
        <is>
          <t>30.07.2026</t>
        </is>
      </c>
      <c r="B275" s="55" t="inlineStr">
        <is>
          <t>ЦентрКредит</t>
        </is>
      </c>
      <c r="C275" s="55" t="inlineStr">
        <is>
          <t>KZT</t>
        </is>
      </c>
      <c r="D275" s="55" t="inlineStr">
        <is>
          <t>2401</t>
        </is>
      </c>
      <c r="E275" s="55" t="inlineStr">
        <is>
          <t>Товарищество с ограниченной ответственностью "АВИАТУРАГЕНТСТВО ПАКС"</t>
        </is>
      </c>
      <c r="F275" s="55" t="inlineStr">
        <is>
          <t>181040009040</t>
        </is>
      </c>
      <c r="G275" s="55" t="inlineStr">
        <is>
          <t>859</t>
        </is>
      </c>
      <c r="H275" s="56" t="inlineStr">
        <is>
          <t>Договор №KZ 01/01/2025 от 14.07.2025 Счет на оплату № 166 от 10 июля 2026 г. Услуги по страхованию</t>
        </is>
      </c>
      <c r="I275" s="57" t="n">
        <v>36005</v>
      </c>
      <c r="J275" s="57" t="n"/>
      <c r="K275" s="58" t="n">
        <v>1</v>
      </c>
      <c r="L275" s="57" t="n">
        <v>36005</v>
      </c>
      <c r="M275" s="57" t="n"/>
      <c r="N275" s="55" t="inlineStr">
        <is>
          <t>Внешняя операция</t>
        </is>
      </c>
      <c r="O275" s="55" t="inlineStr">
        <is>
          <t>Админ/офис</t>
        </is>
      </c>
      <c r="P275" s="55" t="inlineStr">
        <is>
          <t>Страхование</t>
        </is>
      </c>
      <c r="Q275" s="55" t="inlineStr">
        <is>
          <t>ТОО "АВИАТУРАГЕНТСТВО ПАКС"</t>
        </is>
      </c>
    </row>
    <row r="276">
      <c r="A276" s="55" t="inlineStr">
        <is>
          <t>30.07.2026</t>
        </is>
      </c>
      <c r="B276" s="55" t="inlineStr">
        <is>
          <t>ЦентрКредит</t>
        </is>
      </c>
      <c r="C276" s="55" t="inlineStr">
        <is>
          <t>KZT</t>
        </is>
      </c>
      <c r="D276" s="55" t="inlineStr">
        <is>
          <t>2401</t>
        </is>
      </c>
      <c r="E276" s="55" t="inlineStr">
        <is>
          <t>ТАШМЕТОВ САКЕН КУАНЫШЕВИЧ</t>
        </is>
      </c>
      <c r="F276" s="55" t="inlineStr">
        <is>
          <t>820426301729</t>
        </is>
      </c>
      <c r="G276" s="55" t="inlineStr">
        <is>
          <t>871</t>
        </is>
      </c>
      <c r="H276" s="56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276" s="57" t="n">
        <v>77850</v>
      </c>
      <c r="J276" s="57" t="n"/>
      <c r="K276" s="58" t="n">
        <v>1</v>
      </c>
      <c r="L276" s="57" t="n">
        <v>77850</v>
      </c>
      <c r="M276" s="57" t="n"/>
      <c r="N276" s="55" t="inlineStr">
        <is>
          <t>Внешняя операция</t>
        </is>
      </c>
      <c r="O276" s="55" t="inlineStr">
        <is>
          <t>ФОТ</t>
        </is>
      </c>
      <c r="P276" s="55" t="inlineStr">
        <is>
          <t>Командировки и подотчёт</t>
        </is>
      </c>
      <c r="Q276" s="55" t="inlineStr">
        <is>
          <t>ТАШМЕТОВ САКЕН КУАНЫШЕВИЧ</t>
        </is>
      </c>
    </row>
    <row r="277">
      <c r="A277" s="55" t="inlineStr">
        <is>
          <t>30.07.2026</t>
        </is>
      </c>
      <c r="B277" s="55" t="inlineStr">
        <is>
          <t>ЦентрКредит</t>
        </is>
      </c>
      <c r="C277" s="55" t="inlineStr">
        <is>
          <t>KZT</t>
        </is>
      </c>
      <c r="D277" s="55" t="inlineStr">
        <is>
          <t>2401</t>
        </is>
      </c>
      <c r="E277" s="55" t="inlineStr">
        <is>
          <t>Белова Полина Сергеевна</t>
        </is>
      </c>
      <c r="F277" s="55" t="inlineStr">
        <is>
          <t>990805450043</t>
        </is>
      </c>
      <c r="G277" s="55" t="inlineStr">
        <is>
          <t>871</t>
        </is>
      </c>
      <c r="H277" s="56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277" s="57" t="n">
        <v>77850</v>
      </c>
      <c r="J277" s="57" t="n"/>
      <c r="K277" s="58" t="n">
        <v>1</v>
      </c>
      <c r="L277" s="57" t="n">
        <v>77850</v>
      </c>
      <c r="M277" s="57" t="n"/>
      <c r="N277" s="55" t="inlineStr">
        <is>
          <t>Внешняя операция</t>
        </is>
      </c>
      <c r="O277" s="55" t="inlineStr">
        <is>
          <t>ФОТ</t>
        </is>
      </c>
      <c r="P277" s="55" t="inlineStr">
        <is>
          <t>Командировки и подотчёт</t>
        </is>
      </c>
      <c r="Q277" s="55" t="inlineStr">
        <is>
          <t>Белова Полина Сергеевна</t>
        </is>
      </c>
    </row>
    <row r="278">
      <c r="A278" s="55" t="inlineStr">
        <is>
          <t>30.07.2026</t>
        </is>
      </c>
      <c r="B278" s="55" t="inlineStr">
        <is>
          <t>ЦентрКредит</t>
        </is>
      </c>
      <c r="C278" s="55" t="inlineStr">
        <is>
          <t>KZT</t>
        </is>
      </c>
      <c r="D278" s="55" t="inlineStr">
        <is>
          <t>2401</t>
        </is>
      </c>
      <c r="E278" s="55" t="inlineStr">
        <is>
          <t>Доолоткулов Данияр Дулатбекович</t>
        </is>
      </c>
      <c r="F278" s="55" t="inlineStr">
        <is>
          <t>940502350175</t>
        </is>
      </c>
      <c r="G278" s="55" t="inlineStr">
        <is>
          <t>871</t>
        </is>
      </c>
      <c r="H278" s="56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278" s="57" t="n">
        <v>77850</v>
      </c>
      <c r="J278" s="57" t="n"/>
      <c r="K278" s="58" t="n">
        <v>1</v>
      </c>
      <c r="L278" s="57" t="n">
        <v>77850</v>
      </c>
      <c r="M278" s="57" t="n"/>
      <c r="N278" s="55" t="inlineStr">
        <is>
          <t>Внешняя операция</t>
        </is>
      </c>
      <c r="O278" s="55" t="inlineStr">
        <is>
          <t>ФОТ</t>
        </is>
      </c>
      <c r="P278" s="55" t="inlineStr">
        <is>
          <t>Командировки и подотчёт</t>
        </is>
      </c>
      <c r="Q278" s="55" t="inlineStr">
        <is>
          <t>Доолоткулов Данияр Дулатбекович</t>
        </is>
      </c>
    </row>
    <row r="279">
      <c r="A279" s="55" t="inlineStr">
        <is>
          <t>30.07.2026</t>
        </is>
      </c>
      <c r="B279" s="55" t="inlineStr">
        <is>
          <t>ЦентрКредит</t>
        </is>
      </c>
      <c r="C279" s="55" t="inlineStr">
        <is>
          <t>KZT</t>
        </is>
      </c>
      <c r="D279" s="55" t="inlineStr">
        <is>
          <t>2401</t>
        </is>
      </c>
      <c r="E279" s="55" t="inlineStr">
        <is>
          <t>Жунусова Камила Жигитовна</t>
        </is>
      </c>
      <c r="F279" s="55" t="inlineStr">
        <is>
          <t>030611651675</t>
        </is>
      </c>
      <c r="G279" s="55" t="inlineStr">
        <is>
          <t>871</t>
        </is>
      </c>
      <c r="H279" s="56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279" s="57" t="n">
        <v>77850</v>
      </c>
      <c r="J279" s="57" t="n"/>
      <c r="K279" s="58" t="n">
        <v>1</v>
      </c>
      <c r="L279" s="57" t="n">
        <v>77850</v>
      </c>
      <c r="M279" s="57" t="n"/>
      <c r="N279" s="55" t="inlineStr">
        <is>
          <t>Внешняя операция</t>
        </is>
      </c>
      <c r="O279" s="55" t="inlineStr">
        <is>
          <t>ФОТ</t>
        </is>
      </c>
      <c r="P279" s="55" t="inlineStr">
        <is>
          <t>Командировки и подотчёт</t>
        </is>
      </c>
      <c r="Q279" s="55" t="inlineStr">
        <is>
          <t>Жунусова Камила Жигитовна</t>
        </is>
      </c>
    </row>
    <row r="280">
      <c r="A280" s="55" t="inlineStr">
        <is>
          <t>30.07.2026</t>
        </is>
      </c>
      <c r="B280" s="55" t="inlineStr">
        <is>
          <t>ЦентрКредит</t>
        </is>
      </c>
      <c r="C280" s="55" t="inlineStr">
        <is>
          <t>KZT</t>
        </is>
      </c>
      <c r="D280" s="55" t="inlineStr">
        <is>
          <t>2401</t>
        </is>
      </c>
      <c r="E280" s="55" t="inlineStr">
        <is>
          <t>Байльденова Шолпан Болатовна</t>
        </is>
      </c>
      <c r="F280" s="55" t="inlineStr">
        <is>
          <t>870516451056</t>
        </is>
      </c>
      <c r="G280" s="55" t="inlineStr">
        <is>
          <t>871</t>
        </is>
      </c>
      <c r="H280" s="56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280" s="57" t="n">
        <v>77850</v>
      </c>
      <c r="J280" s="57" t="n"/>
      <c r="K280" s="58" t="n">
        <v>1</v>
      </c>
      <c r="L280" s="57" t="n">
        <v>77850</v>
      </c>
      <c r="M280" s="57" t="n"/>
      <c r="N280" s="55" t="inlineStr">
        <is>
          <t>Внешняя операция</t>
        </is>
      </c>
      <c r="O280" s="55" t="inlineStr">
        <is>
          <t>ФОТ</t>
        </is>
      </c>
      <c r="P280" s="55" t="inlineStr">
        <is>
          <t>Командировки и подотчёт</t>
        </is>
      </c>
      <c r="Q280" s="55" t="inlineStr">
        <is>
          <t>Байльденова Шолпан Болатовна</t>
        </is>
      </c>
    </row>
    <row r="281">
      <c r="A281" s="55" t="inlineStr">
        <is>
          <t>30.07.2026</t>
        </is>
      </c>
      <c r="B281" s="55" t="inlineStr">
        <is>
          <t>ЦентрКредит</t>
        </is>
      </c>
      <c r="C281" s="55" t="inlineStr">
        <is>
          <t>KZT</t>
        </is>
      </c>
      <c r="D281" s="55" t="inlineStr">
        <is>
          <t>2401</t>
        </is>
      </c>
      <c r="E281" s="55" t="inlineStr">
        <is>
          <t>Сибагатов Хамардин Смагулович</t>
        </is>
      </c>
      <c r="F281" s="55" t="inlineStr">
        <is>
          <t>970205350616</t>
        </is>
      </c>
      <c r="G281" s="55" t="inlineStr">
        <is>
          <t>871</t>
        </is>
      </c>
      <c r="H281" s="56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281" s="57" t="n">
        <v>77850</v>
      </c>
      <c r="J281" s="57" t="n"/>
      <c r="K281" s="58" t="n">
        <v>1</v>
      </c>
      <c r="L281" s="57" t="n">
        <v>77850</v>
      </c>
      <c r="M281" s="57" t="n"/>
      <c r="N281" s="55" t="inlineStr">
        <is>
          <t>Внешняя операция</t>
        </is>
      </c>
      <c r="O281" s="55" t="inlineStr">
        <is>
          <t>ФОТ</t>
        </is>
      </c>
      <c r="P281" s="55" t="inlineStr">
        <is>
          <t>Командировки и подотчёт</t>
        </is>
      </c>
      <c r="Q281" s="55" t="inlineStr">
        <is>
          <t>Сибагатов Хамардин Смагулович</t>
        </is>
      </c>
    </row>
    <row r="282">
      <c r="A282" s="55" t="inlineStr">
        <is>
          <t>30.07.2026</t>
        </is>
      </c>
      <c r="B282" s="55" t="inlineStr">
        <is>
          <t>ЦентрКредит</t>
        </is>
      </c>
      <c r="C282" s="55" t="inlineStr">
        <is>
          <t>KZT</t>
        </is>
      </c>
      <c r="D282" s="55" t="inlineStr">
        <is>
          <t>2401</t>
        </is>
      </c>
      <c r="E282" s="55" t="inlineStr">
        <is>
          <t>Сейтқадыр Дарын Нұрсейтұлы</t>
        </is>
      </c>
      <c r="F282" s="55" t="inlineStr">
        <is>
          <t>040401501365</t>
        </is>
      </c>
      <c r="G282" s="55" t="inlineStr">
        <is>
          <t>871</t>
        </is>
      </c>
      <c r="H282" s="56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282" s="57" t="n">
        <v>77850</v>
      </c>
      <c r="J282" s="57" t="n"/>
      <c r="K282" s="58" t="n">
        <v>1</v>
      </c>
      <c r="L282" s="57" t="n">
        <v>77850</v>
      </c>
      <c r="M282" s="57" t="n"/>
      <c r="N282" s="55" t="inlineStr">
        <is>
          <t>Внешняя операция</t>
        </is>
      </c>
      <c r="O282" s="55" t="inlineStr">
        <is>
          <t>ФОТ</t>
        </is>
      </c>
      <c r="P282" s="55" t="inlineStr">
        <is>
          <t>Командировки и подотчёт</t>
        </is>
      </c>
      <c r="Q282" s="55" t="inlineStr">
        <is>
          <t>Сейтқадыр Дарын Нұрсейтұлы</t>
        </is>
      </c>
    </row>
    <row r="283">
      <c r="A283" s="55" t="inlineStr">
        <is>
          <t>30.07.2026</t>
        </is>
      </c>
      <c r="B283" s="55" t="inlineStr">
        <is>
          <t>ЦентрКредит</t>
        </is>
      </c>
      <c r="C283" s="55" t="inlineStr">
        <is>
          <t>KZT</t>
        </is>
      </c>
      <c r="D283" s="55" t="inlineStr">
        <is>
          <t>2401</t>
        </is>
      </c>
      <c r="E283" s="55" t="inlineStr">
        <is>
          <t>Ашимов Арсен Беклербекович</t>
        </is>
      </c>
      <c r="F283" s="55" t="inlineStr">
        <is>
          <t>901023350171</t>
        </is>
      </c>
      <c r="G283" s="55" t="inlineStr">
        <is>
          <t>871</t>
        </is>
      </c>
      <c r="H283" s="56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283" s="57" t="n">
        <v>77850</v>
      </c>
      <c r="J283" s="57" t="n"/>
      <c r="K283" s="58" t="n">
        <v>1</v>
      </c>
      <c r="L283" s="57" t="n">
        <v>77850</v>
      </c>
      <c r="M283" s="57" t="n"/>
      <c r="N283" s="55" t="inlineStr">
        <is>
          <t>Внешняя операция</t>
        </is>
      </c>
      <c r="O283" s="55" t="inlineStr">
        <is>
          <t>ФОТ</t>
        </is>
      </c>
      <c r="P283" s="55" t="inlineStr">
        <is>
          <t>Командировки и подотчёт</t>
        </is>
      </c>
      <c r="Q283" s="55" t="inlineStr">
        <is>
          <t>Ашимов Арсен Беклербекович</t>
        </is>
      </c>
    </row>
    <row r="284">
      <c r="A284" s="55" t="inlineStr">
        <is>
          <t>30.07.2026</t>
        </is>
      </c>
      <c r="B284" s="55" t="inlineStr">
        <is>
          <t>ЦентрКредит</t>
        </is>
      </c>
      <c r="C284" s="55" t="inlineStr">
        <is>
          <t>KZT</t>
        </is>
      </c>
      <c r="D284" s="55" t="inlineStr">
        <is>
          <t>2401</t>
        </is>
      </c>
      <c r="E284" s="55" t="inlineStr">
        <is>
          <t>Таджимурадова Асем Казыевна</t>
        </is>
      </c>
      <c r="F284" s="55" t="inlineStr">
        <is>
          <t>930109451077</t>
        </is>
      </c>
      <c r="G284" s="55" t="inlineStr">
        <is>
          <t>871</t>
        </is>
      </c>
      <c r="H284" s="56" t="inlineStr">
        <is>
          <t>Суточные расходы на проезд в Астана- Ташкент -Астана 31.07-02.08.2026 года сроком на 3 кд*6мрп (4325тг МРП) Приказ №62 от 29.07.2026. Без НДС. Поездки</t>
        </is>
      </c>
      <c r="I284" s="57" t="n">
        <v>77850</v>
      </c>
      <c r="J284" s="57" t="n"/>
      <c r="K284" s="58" t="n">
        <v>1</v>
      </c>
      <c r="L284" s="57" t="n">
        <v>77850</v>
      </c>
      <c r="M284" s="57" t="n"/>
      <c r="N284" s="55" t="inlineStr">
        <is>
          <t>Внешняя операция</t>
        </is>
      </c>
      <c r="O284" s="55" t="inlineStr">
        <is>
          <t>ФОТ</t>
        </is>
      </c>
      <c r="P284" s="55" t="inlineStr">
        <is>
          <t>Командировки и подотчёт</t>
        </is>
      </c>
      <c r="Q284" s="55" t="inlineStr">
        <is>
          <t>Таджимурадова Асем Казыевна</t>
        </is>
      </c>
    </row>
    <row r="285">
      <c r="A285" s="55" t="inlineStr">
        <is>
          <t>30.07.2026</t>
        </is>
      </c>
      <c r="B285" s="55" t="inlineStr">
        <is>
          <t>ЦентрКредит</t>
        </is>
      </c>
      <c r="C285" s="55" t="inlineStr">
        <is>
          <t>KZT</t>
        </is>
      </c>
      <c r="D285" s="55" t="inlineStr">
        <is>
          <t>2401</t>
        </is>
      </c>
      <c r="E285" s="55" t="inlineStr">
        <is>
          <t>Товарищество с ограниченной ответственностью "Белый Ветер KZ"</t>
        </is>
      </c>
      <c r="F285" s="55" t="inlineStr">
        <is>
          <t>110340018293</t>
        </is>
      </c>
      <c r="G285" s="55" t="inlineStr">
        <is>
          <t>710</t>
        </is>
      </c>
      <c r="H285" s="56" t="inlineStr">
        <is>
          <t>Договор №799 АС 2-25 от 23.10.2025 Счет на оплату № 01100049365 от 22 июля 2026 г. Сетевой фильтр Defender DFS-143, 4 розетки, 3м, 1хUSB Type-C, 2хUSB, White 8 шт, Счет на оплату № 01100051188 от 29 июля 2026 г. 1 Мышь Logitech M190, Grey, Wireless, Optical, 1000dpi, 1 x AA, USB 5 шт</t>
        </is>
      </c>
      <c r="I285" s="57" t="n">
        <v>87892</v>
      </c>
      <c r="J285" s="57" t="n"/>
      <c r="K285" s="58" t="n">
        <v>1</v>
      </c>
      <c r="L285" s="57" t="n">
        <v>87892</v>
      </c>
      <c r="M285" s="57" t="n"/>
      <c r="N285" s="55" t="inlineStr">
        <is>
          <t>Внешняя операция</t>
        </is>
      </c>
      <c r="O285" s="55" t="inlineStr">
        <is>
          <t>Админ/офис</t>
        </is>
      </c>
      <c r="P285" s="55" t="inlineStr">
        <is>
          <t>Связь и ИТ</t>
        </is>
      </c>
      <c r="Q285" s="55" t="inlineStr">
        <is>
          <t>ТОО "Белый Ветер KZ"</t>
        </is>
      </c>
    </row>
    <row r="286">
      <c r="A286" s="55" t="inlineStr">
        <is>
          <t>30.07.2026</t>
        </is>
      </c>
      <c r="B286" s="55" t="inlineStr">
        <is>
          <t>ЦентрКредит</t>
        </is>
      </c>
      <c r="C286" s="55" t="inlineStr">
        <is>
          <t>KZT</t>
        </is>
      </c>
      <c r="D286" s="55" t="inlineStr">
        <is>
          <t>2401</t>
        </is>
      </c>
      <c r="E286" s="55" t="inlineStr">
        <is>
          <t>Акционерное Общество "Банк ЦентрКредит"</t>
        </is>
      </c>
      <c r="F286" s="55" t="inlineStr">
        <is>
          <t>980640000093</t>
        </is>
      </c>
      <c r="G286" s="55" t="inlineStr">
        <is>
          <t>841</t>
        </is>
      </c>
      <c r="H286" s="56" t="inlineStr">
        <is>
          <t>Интернет-банкинг. MIP. Международные платежи. Перевод OUR, кроме валют стран СНГ с 9:00  до 13:00. Расчетный документ № 1 от 30.07.26 на сумму 99 000.00 USD, в т.ч. НДС 16%</t>
        </is>
      </c>
      <c r="I286" s="57" t="n">
        <v>94479.66</v>
      </c>
      <c r="J286" s="57" t="n"/>
      <c r="K286" s="58" t="n">
        <v>1</v>
      </c>
      <c r="L286" s="57" t="n">
        <v>94479.66</v>
      </c>
      <c r="M286" s="57" t="n"/>
      <c r="N286" s="55" t="inlineStr">
        <is>
          <t>Внешняя операция</t>
        </is>
      </c>
      <c r="O286" s="55" t="inlineStr">
        <is>
          <t>Финансовые</t>
        </is>
      </c>
      <c r="P286" s="55" t="inlineStr">
        <is>
          <t>Банковские комиссии</t>
        </is>
      </c>
      <c r="Q286" s="55" t="inlineStr">
        <is>
          <t>Акционерное Общество "Банк ЦентрКредит"</t>
        </is>
      </c>
    </row>
    <row r="287">
      <c r="A287" s="55" t="inlineStr">
        <is>
          <t>30.07.2026</t>
        </is>
      </c>
      <c r="B287" s="55" t="inlineStr">
        <is>
          <t>ЦентрКредит</t>
        </is>
      </c>
      <c r="C287" s="55" t="inlineStr">
        <is>
          <t>KZT</t>
        </is>
      </c>
      <c r="D287" s="55" t="inlineStr">
        <is>
          <t>2401</t>
        </is>
      </c>
      <c r="E287" s="55" t="inlineStr">
        <is>
          <t>Серикбаев А.Д.</t>
        </is>
      </c>
      <c r="F287" s="55" t="inlineStr">
        <is>
          <t>940422350422</t>
        </is>
      </c>
      <c r="G287" s="55" t="inlineStr">
        <is>
          <t>871</t>
        </is>
      </c>
      <c r="H287" s="56" t="inlineStr">
        <is>
          <t>Суточные расходы на проезд в Астана- Ташкент -Астана 31.07-02.08.2026 года сроком на 3 кд*8мрп (4325тг МРП) Приказ №62 от 29.07.2026. Без НДС. Поездки</t>
        </is>
      </c>
      <c r="I287" s="57" t="n">
        <v>103800</v>
      </c>
      <c r="J287" s="57" t="n"/>
      <c r="K287" s="58" t="n">
        <v>1</v>
      </c>
      <c r="L287" s="57" t="n">
        <v>103800</v>
      </c>
      <c r="M287" s="57" t="n"/>
      <c r="N287" s="55" t="inlineStr">
        <is>
          <t>Внешняя операция</t>
        </is>
      </c>
      <c r="O287" s="55" t="inlineStr">
        <is>
          <t>ФОТ</t>
        </is>
      </c>
      <c r="P287" s="55" t="inlineStr">
        <is>
          <t>Командировки и подотчёт</t>
        </is>
      </c>
      <c r="Q287" s="55" t="inlineStr">
        <is>
          <t>Серикбаев А.Д.</t>
        </is>
      </c>
    </row>
    <row r="288">
      <c r="A288" s="55" t="inlineStr">
        <is>
          <t>30.07.2026</t>
        </is>
      </c>
      <c r="B288" s="55" t="inlineStr">
        <is>
          <t>ЦентрКредит</t>
        </is>
      </c>
      <c r="C288" s="55" t="inlineStr">
        <is>
          <t>KZT</t>
        </is>
      </c>
      <c r="D288" s="55" t="inlineStr">
        <is>
          <t>2401</t>
        </is>
      </c>
      <c r="E288" s="55" t="inlineStr">
        <is>
          <t>Унбетпаев Ернар Байтасович</t>
        </is>
      </c>
      <c r="F288" s="55" t="inlineStr">
        <is>
          <t>840808300582</t>
        </is>
      </c>
      <c r="G288" s="55" t="inlineStr">
        <is>
          <t>871</t>
        </is>
      </c>
      <c r="H288" s="56" t="inlineStr">
        <is>
          <t>Суточные расходы на проезд в Астана- Ташкент -Астана 31.07-02.08.2026 года сроком на 3 кд*8мрп (4325тг МРП) Приказ №62 от 29.07.2026. Без НДС. Поездки</t>
        </is>
      </c>
      <c r="I288" s="57" t="n">
        <v>103800</v>
      </c>
      <c r="J288" s="57" t="n"/>
      <c r="K288" s="58" t="n">
        <v>1</v>
      </c>
      <c r="L288" s="57" t="n">
        <v>103800</v>
      </c>
      <c r="M288" s="57" t="n"/>
      <c r="N288" s="55" t="inlineStr">
        <is>
          <t>Внешняя операция</t>
        </is>
      </c>
      <c r="O288" s="55" t="inlineStr">
        <is>
          <t>ФОТ</t>
        </is>
      </c>
      <c r="P288" s="55" t="inlineStr">
        <is>
          <t>Командировки и подотчёт</t>
        </is>
      </c>
      <c r="Q288" s="55" t="inlineStr">
        <is>
          <t>Унбетпаев Ернар Байтасович</t>
        </is>
      </c>
    </row>
    <row r="289">
      <c r="A289" s="55" t="inlineStr">
        <is>
          <t>30.07.2026</t>
        </is>
      </c>
      <c r="B289" s="55" t="inlineStr">
        <is>
          <t>ЦентрКредит</t>
        </is>
      </c>
      <c r="C289" s="55" t="inlineStr">
        <is>
          <t>KZT</t>
        </is>
      </c>
      <c r="D289" s="55" t="inlineStr">
        <is>
          <t>2401</t>
        </is>
      </c>
      <c r="E289" s="55" t="inlineStr">
        <is>
          <t>Алим</t>
        </is>
      </c>
      <c r="F289" s="55" t="inlineStr">
        <is>
          <t>020420550046</t>
        </is>
      </c>
      <c r="G289" s="55" t="inlineStr">
        <is>
          <t>871</t>
        </is>
      </c>
      <c r="H289" s="56" t="inlineStr">
        <is>
          <t>Суточные расходы на проезд в Астана- Ташкент -Астана 31.07-02.08.2026 года сроком на 3 кд*8мрп (4325тг МРП) Приказ №62 от 29.07.2026. Без НДС. Поездки</t>
        </is>
      </c>
      <c r="I289" s="57" t="n">
        <v>103800</v>
      </c>
      <c r="J289" s="57" t="n"/>
      <c r="K289" s="58" t="n">
        <v>1</v>
      </c>
      <c r="L289" s="57" t="n">
        <v>103800</v>
      </c>
      <c r="M289" s="57" t="n"/>
      <c r="N289" s="55" t="inlineStr">
        <is>
          <t>Внешняя операция</t>
        </is>
      </c>
      <c r="O289" s="55" t="inlineStr">
        <is>
          <t>ФОТ</t>
        </is>
      </c>
      <c r="P289" s="55" t="inlineStr">
        <is>
          <t>Командировки и подотчёт</t>
        </is>
      </c>
      <c r="Q289" s="55" t="inlineStr">
        <is>
          <t>Алим</t>
        </is>
      </c>
    </row>
    <row r="290">
      <c r="A290" s="55" t="inlineStr">
        <is>
          <t>30.07.2026</t>
        </is>
      </c>
      <c r="B290" s="55" t="inlineStr">
        <is>
          <t>ЦентрКредит</t>
        </is>
      </c>
      <c r="C290" s="55" t="inlineStr">
        <is>
          <t>KZT</t>
        </is>
      </c>
      <c r="D290" s="55" t="inlineStr">
        <is>
          <t>2401</t>
        </is>
      </c>
      <c r="E290" s="55" t="inlineStr">
        <is>
          <t>Аубакиров Алимбек Ерикович</t>
        </is>
      </c>
      <c r="F290" s="55" t="inlineStr">
        <is>
          <t>950331351686</t>
        </is>
      </c>
      <c r="G290" s="55" t="inlineStr">
        <is>
          <t>871</t>
        </is>
      </c>
      <c r="H290" s="56" t="inlineStr">
        <is>
          <t>Суточные расходы на проезд в Астана- Ташкент -Астана 31.07-02.08.2026 года сроком на 3 кд*8мрп (4325тг МРП) Приказ №62 от 29.07.2026. Без НДС. Поездки</t>
        </is>
      </c>
      <c r="I290" s="57" t="n">
        <v>103800</v>
      </c>
      <c r="J290" s="57" t="n"/>
      <c r="K290" s="58" t="n">
        <v>1</v>
      </c>
      <c r="L290" s="57" t="n">
        <v>103800</v>
      </c>
      <c r="M290" s="57" t="n"/>
      <c r="N290" s="55" t="inlineStr">
        <is>
          <t>Внешняя операция</t>
        </is>
      </c>
      <c r="O290" s="55" t="inlineStr">
        <is>
          <t>ФОТ</t>
        </is>
      </c>
      <c r="P290" s="55" t="inlineStr">
        <is>
          <t>Командировки и подотчёт</t>
        </is>
      </c>
      <c r="Q290" s="55" t="inlineStr">
        <is>
          <t>Аубакиров Алимбек Ерикович</t>
        </is>
      </c>
    </row>
    <row r="291">
      <c r="A291" s="55" t="inlineStr">
        <is>
          <t>30.07.2026</t>
        </is>
      </c>
      <c r="B291" s="55" t="inlineStr">
        <is>
          <t>ЦентрКредит</t>
        </is>
      </c>
      <c r="C291" s="55" t="inlineStr">
        <is>
          <t>KZT</t>
        </is>
      </c>
      <c r="D291" s="55" t="inlineStr">
        <is>
          <t>2401</t>
        </is>
      </c>
      <c r="E291" s="55" t="inlineStr">
        <is>
          <t>Товарищество с ограниченной ответственностью "ALDAR EUROASIA PROPERTY MANAGEMENT"</t>
        </is>
      </c>
      <c r="F291" s="55" t="inlineStr">
        <is>
          <t>191040020896</t>
        </is>
      </c>
      <c r="G291" s="55" t="inlineStr">
        <is>
          <t>855</t>
        </is>
      </c>
      <c r="H291" s="56" t="inlineStr">
        <is>
          <t>Договор №PY174-175-280725 от 28.07.2025 Счет на оплату №00000004546 от 29 июля 2026 г. Аренда паркинга август 2026</t>
        </is>
      </c>
      <c r="I291" s="57" t="n">
        <v>139200</v>
      </c>
      <c r="J291" s="57" t="n"/>
      <c r="K291" s="58" t="n">
        <v>1</v>
      </c>
      <c r="L291" s="57" t="n">
        <v>139200</v>
      </c>
      <c r="M291" s="57" t="n"/>
      <c r="N291" s="55" t="inlineStr">
        <is>
          <t>Внешняя операция</t>
        </is>
      </c>
      <c r="O291" s="55" t="inlineStr">
        <is>
          <t>Прочее</t>
        </is>
      </c>
      <c r="P291" s="55" t="inlineStr">
        <is>
          <t>Прочие расходы</t>
        </is>
      </c>
      <c r="Q291" s="55" t="inlineStr">
        <is>
          <t>ТОО "ALDAR EUROASIA PROPERTY MANAGEMENT"</t>
        </is>
      </c>
    </row>
    <row r="292">
      <c r="A292" s="55" t="inlineStr">
        <is>
          <t>30.07.2026</t>
        </is>
      </c>
      <c r="B292" s="55" t="inlineStr">
        <is>
          <t>ЦентрКредит</t>
        </is>
      </c>
      <c r="C292" s="55" t="inlineStr">
        <is>
          <t>KZT</t>
        </is>
      </c>
      <c r="D292" s="55" t="inlineStr">
        <is>
          <t>2401</t>
        </is>
      </c>
      <c r="E292" s="55" t="inlineStr">
        <is>
          <t>Товарищество с ограниченной ответственностью "АВИАТУРАГЕНТСТВО ПАКС"</t>
        </is>
      </c>
      <c r="F292" s="55" t="inlineStr">
        <is>
          <t>181040009040</t>
        </is>
      </c>
      <c r="G292" s="55" t="inlineStr">
        <is>
          <t>859</t>
        </is>
      </c>
      <c r="H292" s="56" t="inlineStr">
        <is>
          <t>Договор №KZ 01/01/2025 от 14.07.2025 Счет на оплату № 160 от 7 июля 2026 г.</t>
        </is>
      </c>
      <c r="I292" s="57" t="n">
        <v>194924</v>
      </c>
      <c r="J292" s="57" t="n"/>
      <c r="K292" s="58" t="n">
        <v>1</v>
      </c>
      <c r="L292" s="57" t="n">
        <v>194924</v>
      </c>
      <c r="M292" s="57" t="n"/>
      <c r="N292" s="55" t="inlineStr">
        <is>
          <t>Внешняя операция</t>
        </is>
      </c>
      <c r="O292" s="55" t="inlineStr">
        <is>
          <t>Админ/офис</t>
        </is>
      </c>
      <c r="P292" s="55" t="inlineStr">
        <is>
          <t>Проф. услуги (бухг./юр./конс.)</t>
        </is>
      </c>
      <c r="Q292" s="55" t="inlineStr">
        <is>
          <t>ТОО "АВИАТУРАГЕНТСТВО ПАКС"</t>
        </is>
      </c>
    </row>
    <row r="293">
      <c r="A293" s="55" t="inlineStr">
        <is>
          <t>30.07.2026</t>
        </is>
      </c>
      <c r="B293" s="55" t="inlineStr">
        <is>
          <t>ЦентрКредит</t>
        </is>
      </c>
      <c r="C293" s="55" t="inlineStr">
        <is>
          <t>KZT</t>
        </is>
      </c>
      <c r="D293" s="55" t="inlineStr">
        <is>
          <t>2401</t>
        </is>
      </c>
      <c r="E293" s="55" t="inlineStr">
        <is>
          <t>Частная компания WayStar Service Limited</t>
        </is>
      </c>
      <c r="F293" s="55" t="inlineStr">
        <is>
          <t>260540900770</t>
        </is>
      </c>
      <c r="G293" s="55" t="inlineStr">
        <is>
          <t>411</t>
        </is>
      </c>
      <c r="H293" s="56" t="inlineStr">
        <is>
          <t>выдача займа. Без НДС. Выдача краткосрочных займов (не более одного года),</t>
        </is>
      </c>
      <c r="I293" s="57" t="n">
        <v>280000</v>
      </c>
      <c r="J293" s="57" t="n"/>
      <c r="K293" s="58" t="n">
        <v>1</v>
      </c>
      <c r="L293" s="57" t="n">
        <v>280000</v>
      </c>
      <c r="M293" s="57" t="n"/>
      <c r="N293" s="59" t="inlineStr">
        <is>
          <t>Внутренний перевод</t>
        </is>
      </c>
      <c r="O293" s="55" t="inlineStr">
        <is>
          <t>Технические</t>
        </is>
      </c>
      <c r="P293" s="55" t="inlineStr">
        <is>
          <t>Перевод между своими счетами</t>
        </is>
      </c>
      <c r="Q293" s="55" t="inlineStr"/>
    </row>
    <row r="294">
      <c r="A294" s="55" t="inlineStr">
        <is>
          <t>30.07.2026</t>
        </is>
      </c>
      <c r="B294" s="55" t="inlineStr">
        <is>
          <t>ЦентрКредит</t>
        </is>
      </c>
      <c r="C294" s="55" t="inlineStr">
        <is>
          <t>KZT</t>
        </is>
      </c>
      <c r="D294" s="55" t="inlineStr">
        <is>
          <t>2401</t>
        </is>
      </c>
      <c r="E294" s="55" t="inlineStr">
        <is>
          <t>Товарищество с ограниченной ответственностью "Asia Railways Tracking Service (Азия Рэилвейс Трекинг Сервис)"</t>
        </is>
      </c>
      <c r="F294" s="55" t="inlineStr">
        <is>
          <t>130540005778</t>
        </is>
      </c>
      <c r="G294" s="55" t="inlineStr">
        <is>
          <t>813</t>
        </is>
      </c>
      <c r="H294" s="56" t="inlineStr">
        <is>
          <t>Счет № И-1845 от 29.07.2026 г. Договор № D-0071124 от 07.11.2024 г. Авансовая оплата за дислокацию подвижного состава. Без НДС. Платежи за услуги железнодорожного транспорта</t>
        </is>
      </c>
      <c r="I294" s="57" t="n">
        <v>500000</v>
      </c>
      <c r="J294" s="57" t="n"/>
      <c r="K294" s="58" t="n">
        <v>1</v>
      </c>
      <c r="L294" s="57" t="n">
        <v>500000</v>
      </c>
      <c r="M294" s="57" t="n"/>
      <c r="N294" s="55" t="inlineStr">
        <is>
          <t>Внешняя операция</t>
        </is>
      </c>
      <c r="O294" s="55" t="inlineStr">
        <is>
          <t>Себестоимость</t>
        </is>
      </c>
      <c r="P294" s="55" t="inlineStr">
        <is>
          <t>Аренда/предоставление вагонов</t>
        </is>
      </c>
      <c r="Q294" s="55" t="inlineStr">
        <is>
          <t>ТОО "Asia Railways Tracking Service (Азия Рэ</t>
        </is>
      </c>
    </row>
    <row r="295">
      <c r="A295" s="55" t="inlineStr">
        <is>
          <t>30.07.2026</t>
        </is>
      </c>
      <c r="B295" s="55" t="inlineStr">
        <is>
          <t>ЦентрКредит</t>
        </is>
      </c>
      <c r="C295" s="55" t="inlineStr">
        <is>
          <t>KZT</t>
        </is>
      </c>
      <c r="D295" s="55" t="inlineStr">
        <is>
          <t>2401</t>
        </is>
      </c>
      <c r="E295" s="55" t="inlineStr">
        <is>
          <t>Банк ЦентрКредит для ЗП</t>
        </is>
      </c>
      <c r="F295" s="55" t="inlineStr">
        <is>
          <t>980640000093</t>
        </is>
      </c>
      <c r="G295" s="55" t="inlineStr">
        <is>
          <t>332</t>
        </is>
      </c>
      <c r="H295" s="56" t="inlineStr">
        <is>
          <t>Для зачисления на картсчета сотрудникам согласно спискам 500 000-00 теңге.</t>
        </is>
      </c>
      <c r="I295" s="57" t="n">
        <v>500000</v>
      </c>
      <c r="J295" s="57" t="n"/>
      <c r="K295" s="58" t="n">
        <v>1</v>
      </c>
      <c r="L295" s="57" t="n">
        <v>500000</v>
      </c>
      <c r="M295" s="57" t="n"/>
      <c r="N295" s="55" t="inlineStr">
        <is>
          <t>Внешняя операция</t>
        </is>
      </c>
      <c r="O295" s="55" t="inlineStr">
        <is>
          <t>ФОТ</t>
        </is>
      </c>
      <c r="P295" s="55" t="inlineStr">
        <is>
          <t>Зарплата</t>
        </is>
      </c>
      <c r="Q295" s="55" t="inlineStr">
        <is>
          <t>Банк ЦентрКредит для ЗП</t>
        </is>
      </c>
    </row>
    <row r="296">
      <c r="A296" s="55" t="inlineStr">
        <is>
          <t>30.07.2026</t>
        </is>
      </c>
      <c r="B296" s="55" t="inlineStr">
        <is>
          <t>ЦентрКредит</t>
        </is>
      </c>
      <c r="C296" s="55" t="inlineStr">
        <is>
          <t>KZT</t>
        </is>
      </c>
      <c r="D296" s="55" t="inlineStr">
        <is>
          <t>2401</t>
        </is>
      </c>
      <c r="E296" s="55" t="inlineStr">
        <is>
          <t>Товарищество с ограниченной ответственностью "АВИАТУРАГЕНТСТВО ПАКС"</t>
        </is>
      </c>
      <c r="F296" s="55" t="inlineStr">
        <is>
          <t>181040009040</t>
        </is>
      </c>
      <c r="G296" s="55" t="inlineStr">
        <is>
          <t>811</t>
        </is>
      </c>
      <c r="H296" s="56" t="inlineStr">
        <is>
          <t>Договор №KZ 01/01/2025 от 14.07.2025 Счет на оплату № 216 от 17 июля 2026 г. авиабилеты NQZ-SCO-NQZ / 22.07 -24.07, NQZ-SCO / 22.07 , SCO-ALA / 24.07Сумма 505 200-00 теңге без налога</t>
        </is>
      </c>
      <c r="I296" s="57" t="n">
        <v>505200</v>
      </c>
      <c r="J296" s="57" t="n"/>
      <c r="K296" s="58" t="n">
        <v>1</v>
      </c>
      <c r="L296" s="57" t="n">
        <v>505200</v>
      </c>
      <c r="M296" s="57" t="n"/>
      <c r="N296" s="55" t="inlineStr">
        <is>
          <t>Внешняя операция</t>
        </is>
      </c>
      <c r="O296" s="55" t="inlineStr">
        <is>
          <t>ФОТ</t>
        </is>
      </c>
      <c r="P296" s="55" t="inlineStr">
        <is>
          <t>Командировки и подотчёт</t>
        </is>
      </c>
      <c r="Q296" s="55" t="inlineStr">
        <is>
          <t>ТОО "АВИАТУРАГЕНТСТВО ПАКС"</t>
        </is>
      </c>
    </row>
    <row r="297">
      <c r="A297" s="55" t="inlineStr">
        <is>
          <t>30.07.2026</t>
        </is>
      </c>
      <c r="B297" s="55" t="inlineStr">
        <is>
          <t>ЦентрКредит</t>
        </is>
      </c>
      <c r="C297" s="55" t="inlineStr">
        <is>
          <t>KZT</t>
        </is>
      </c>
      <c r="D297" s="55" t="inlineStr">
        <is>
          <t>2401</t>
        </is>
      </c>
      <c r="E297" s="55" t="inlineStr">
        <is>
          <t>Товарищество с ограниченной ответственностью "АВИАТУРАГЕНТСТВО ПАКС"</t>
        </is>
      </c>
      <c r="F297" s="55" t="inlineStr">
        <is>
          <t>181040009040</t>
        </is>
      </c>
      <c r="G297" s="55" t="inlineStr">
        <is>
          <t>859</t>
        </is>
      </c>
      <c r="H297" s="56" t="inlineStr">
        <is>
          <t>Договор №KZ 01/01/2025 от 14.07.2025 Счет на оплату № 169 от 17 июля 2026 г. проживание в отеле Holiday Inn Aktau -Siaside,Serikbayev Adil Aubakirov/Alimbek 22.07-24.07.2026</t>
        </is>
      </c>
      <c r="I297" s="57" t="n">
        <v>520000</v>
      </c>
      <c r="J297" s="57" t="n"/>
      <c r="K297" s="58" t="n">
        <v>1</v>
      </c>
      <c r="L297" s="57" t="n">
        <v>520000</v>
      </c>
      <c r="M297" s="57" t="n"/>
      <c r="N297" s="55" t="inlineStr">
        <is>
          <t>Внешняя операция</t>
        </is>
      </c>
      <c r="O297" s="55" t="inlineStr">
        <is>
          <t>ФОТ</t>
        </is>
      </c>
      <c r="P297" s="55" t="inlineStr">
        <is>
          <t>Командировки и подотчёт</t>
        </is>
      </c>
      <c r="Q297" s="55" t="inlineStr">
        <is>
          <t>ТОО "АВИАТУРАГЕНТСТВО ПАКС"</t>
        </is>
      </c>
    </row>
    <row r="298">
      <c r="A298" s="55" t="inlineStr">
        <is>
          <t>30.07.2026</t>
        </is>
      </c>
      <c r="B298" s="55" t="inlineStr">
        <is>
          <t>ЦентрКредит</t>
        </is>
      </c>
      <c r="C298" s="55" t="inlineStr">
        <is>
          <t>KZT</t>
        </is>
      </c>
      <c r="D298" s="55" t="inlineStr">
        <is>
          <t>2401</t>
        </is>
      </c>
      <c r="E298" s="55" t="inlineStr">
        <is>
          <t>Индивидуальный предприниматель "ON TIME ACCOUNTING"</t>
        </is>
      </c>
      <c r="F298" s="55" t="inlineStr">
        <is>
          <t>620615450322</t>
        </is>
      </c>
      <c r="G298" s="55" t="inlineStr">
        <is>
          <t>859</t>
        </is>
      </c>
      <c r="H298" s="56" t="inlineStr">
        <is>
          <t>Бухгалтерские услуги. Без НДС. Платежи за профессиональные, научные и технические услуги</t>
        </is>
      </c>
      <c r="I298" s="57" t="n">
        <v>1000000</v>
      </c>
      <c r="J298" s="57" t="n"/>
      <c r="K298" s="58" t="n">
        <v>1</v>
      </c>
      <c r="L298" s="57" t="n">
        <v>1000000</v>
      </c>
      <c r="M298" s="57" t="n"/>
      <c r="N298" s="55" t="inlineStr">
        <is>
          <t>Внешняя операция</t>
        </is>
      </c>
      <c r="O298" s="55" t="inlineStr">
        <is>
          <t>Админ/офис</t>
        </is>
      </c>
      <c r="P298" s="55" t="inlineStr">
        <is>
          <t>Проф. услуги (бухг./юр./конс.)</t>
        </is>
      </c>
      <c r="Q298" s="55" t="inlineStr">
        <is>
          <t>Индивидуальный предприниматель "ON TIME ACCO</t>
        </is>
      </c>
    </row>
    <row r="299">
      <c r="A299" s="55" t="inlineStr">
        <is>
          <t>30.07.2026</t>
        </is>
      </c>
      <c r="B299" s="55" t="inlineStr">
        <is>
          <t>ЦентрКредит</t>
        </is>
      </c>
      <c r="C299" s="55" t="inlineStr">
        <is>
          <t>KZT</t>
        </is>
      </c>
      <c r="D299" s="55" t="inlineStr">
        <is>
          <t>2401</t>
        </is>
      </c>
      <c r="E299" s="55" t="inlineStr">
        <is>
          <t>Индивидуальный предприниматель "JOINMEDIA"</t>
        </is>
      </c>
      <c r="F299" s="55" t="inlineStr">
        <is>
          <t>970710351144</t>
        </is>
      </c>
      <c r="G299" s="55" t="inlineStr">
        <is>
          <t>859</t>
        </is>
      </c>
      <c r="H299" s="56" t="inlineStr">
        <is>
          <t>Договор № 14/12-25 от 29.12.2025 г.. Без НДС. Платежи за профессиональные, научные и технические услуги</t>
        </is>
      </c>
      <c r="I299" s="57" t="n">
        <v>1150000</v>
      </c>
      <c r="J299" s="57" t="n"/>
      <c r="K299" s="58" t="n">
        <v>1</v>
      </c>
      <c r="L299" s="57" t="n">
        <v>1150000</v>
      </c>
      <c r="M299" s="57" t="n"/>
      <c r="N299" s="55" t="inlineStr">
        <is>
          <t>Внешняя операция</t>
        </is>
      </c>
      <c r="O299" s="55" t="inlineStr">
        <is>
          <t>Админ/офис</t>
        </is>
      </c>
      <c r="P299" s="55" t="inlineStr">
        <is>
          <t>Проф. услуги (бухг./юр./конс.)</t>
        </is>
      </c>
      <c r="Q299" s="55" t="inlineStr">
        <is>
          <t>Индивидуальный предприниматель "JOINMEDIA"</t>
        </is>
      </c>
    </row>
    <row r="300">
      <c r="A300" s="55" t="inlineStr">
        <is>
          <t>30.07.2026</t>
        </is>
      </c>
      <c r="B300" s="55" t="inlineStr">
        <is>
          <t>ЦентрКредит</t>
        </is>
      </c>
      <c r="C300" s="55" t="inlineStr">
        <is>
          <t>KZT</t>
        </is>
      </c>
      <c r="D300" s="55" t="inlineStr">
        <is>
          <t>2401</t>
        </is>
      </c>
      <c r="E300" s="55" t="inlineStr">
        <is>
          <t>Акционерное Общество "Банк ЦентрКредит"</t>
        </is>
      </c>
      <c r="F300" s="55" t="inlineStr">
        <is>
          <t>980640000093</t>
        </is>
      </c>
      <c r="G300" s="55" t="inlineStr">
        <is>
          <t>213</t>
        </is>
      </c>
      <c r="H300" s="56" t="inlineStr">
        <is>
          <t>Покупка иностранной валюты TOD (день в день), ТОО "WayStar Group", БИН 240340014287. Заявка №651483. Дата вал. 30.07.2026. Покупка USD, продажа KZT. Курс сделки 475.83. Учетный курс 477.17. Прочее</t>
        </is>
      </c>
      <c r="I300" s="57" t="n">
        <v>1845268.74</v>
      </c>
      <c r="J300" s="57" t="n"/>
      <c r="K300" s="58" t="n">
        <v>1</v>
      </c>
      <c r="L300" s="57" t="n">
        <v>1845268.74</v>
      </c>
      <c r="M300" s="57" t="n"/>
      <c r="N300" s="60" t="inlineStr">
        <is>
          <t>Конвертация валют</t>
        </is>
      </c>
      <c r="O300" s="55" t="inlineStr">
        <is>
          <t>Технические</t>
        </is>
      </c>
      <c r="P300" s="55" t="inlineStr">
        <is>
          <t>Покупка/продажа валюты</t>
        </is>
      </c>
      <c r="Q300" s="55" t="inlineStr"/>
    </row>
    <row r="301">
      <c r="A301" s="55" t="inlineStr">
        <is>
          <t>30.07.2026</t>
        </is>
      </c>
      <c r="B301" s="55" t="inlineStr">
        <is>
          <t>ЦентрКредит</t>
        </is>
      </c>
      <c r="C301" s="55" t="inlineStr">
        <is>
          <t>KZT</t>
        </is>
      </c>
      <c r="D301" s="55" t="inlineStr">
        <is>
          <t>2401</t>
        </is>
      </c>
      <c r="E301" s="55" t="inlineStr">
        <is>
          <t>Товарищество с ограниченной ответственностью "АВИАТУРАГЕНТСТВО ПАКС"</t>
        </is>
      </c>
      <c r="F301" s="55" t="inlineStr">
        <is>
          <t>181040009040</t>
        </is>
      </c>
      <c r="G301" s="55" t="inlineStr">
        <is>
          <t>811</t>
        </is>
      </c>
      <c r="H301" s="56" t="inlineStr">
        <is>
          <t>Договор №KZ 01/01/2025 от 14.07.2025 Счет на оплату № 206 от 10 июля 2026 г. авиабилеты в Ташкент</t>
        </is>
      </c>
      <c r="I301" s="57" t="n">
        <v>2007534</v>
      </c>
      <c r="J301" s="57" t="n"/>
      <c r="K301" s="58" t="n">
        <v>1</v>
      </c>
      <c r="L301" s="57" t="n">
        <v>2007534</v>
      </c>
      <c r="M301" s="57" t="n"/>
      <c r="N301" s="55" t="inlineStr">
        <is>
          <t>Внешняя операция</t>
        </is>
      </c>
      <c r="O301" s="55" t="inlineStr">
        <is>
          <t>ФОТ</t>
        </is>
      </c>
      <c r="P301" s="55" t="inlineStr">
        <is>
          <t>Командировки и подотчёт</t>
        </is>
      </c>
      <c r="Q301" s="55" t="inlineStr">
        <is>
          <t>ТОО "АВИАТУРАГЕНТСТВО ПАКС"</t>
        </is>
      </c>
    </row>
    <row r="302">
      <c r="A302" s="55" t="inlineStr">
        <is>
          <t>30.07.2026</t>
        </is>
      </c>
      <c r="B302" s="55" t="inlineStr">
        <is>
          <t>ЦентрКредит</t>
        </is>
      </c>
      <c r="C302" s="55" t="inlineStr">
        <is>
          <t>KZT</t>
        </is>
      </c>
      <c r="D302" s="55" t="inlineStr">
        <is>
          <t>2401</t>
        </is>
      </c>
      <c r="E302" s="55" t="inlineStr">
        <is>
          <t>Акционерное общество "Банк "Bank RBK"</t>
        </is>
      </c>
      <c r="F302" s="55" t="inlineStr">
        <is>
          <t>920440001102</t>
        </is>
      </c>
      <c r="G302" s="55" t="inlineStr">
        <is>
          <t>332</t>
        </is>
      </c>
      <c r="H302" s="56" t="inlineStr">
        <is>
          <t>Для зачисления на картсчета сотрудникам согласно спискам 4 415 000-00 теңге.</t>
        </is>
      </c>
      <c r="I302" s="57" t="n">
        <v>4415000</v>
      </c>
      <c r="J302" s="57" t="n"/>
      <c r="K302" s="58" t="n">
        <v>1</v>
      </c>
      <c r="L302" s="57" t="n">
        <v>4415000</v>
      </c>
      <c r="M302" s="57" t="n"/>
      <c r="N302" s="55" t="inlineStr">
        <is>
          <t>Внешняя операция</t>
        </is>
      </c>
      <c r="O302" s="55" t="inlineStr">
        <is>
          <t>ФОТ</t>
        </is>
      </c>
      <c r="P302" s="55" t="inlineStr">
        <is>
          <t>Зарплата</t>
        </is>
      </c>
      <c r="Q302" s="55" t="inlineStr">
        <is>
          <t>Акционерное общество "Банк "Bank RBK"</t>
        </is>
      </c>
    </row>
    <row r="303">
      <c r="A303" s="55" t="inlineStr">
        <is>
          <t>30.07.2026</t>
        </is>
      </c>
      <c r="B303" s="55" t="inlineStr">
        <is>
          <t>ЦентрКредит</t>
        </is>
      </c>
      <c r="C303" s="55" t="inlineStr">
        <is>
          <t>KZT</t>
        </is>
      </c>
      <c r="D303" s="55" t="inlineStr">
        <is>
          <t>2401</t>
        </is>
      </c>
      <c r="E303" s="55" t="inlineStr">
        <is>
          <t>Товарищество с ограниченной ответственностью "ALDAR EUROASIA PROPERTY MANAGEMENT"</t>
        </is>
      </c>
      <c r="F303" s="55" t="inlineStr">
        <is>
          <t>191040020896</t>
        </is>
      </c>
      <c r="G303" s="55" t="inlineStr">
        <is>
          <t>855</t>
        </is>
      </c>
      <c r="H303" s="56" t="inlineStr">
        <is>
          <t>Договор субаренды №SLA-Y-1107-02052025 от 02.05.2025г Счет на оплату № 00000004213 от 16 июля 2026 г. Аренда офиса август 2026</t>
        </is>
      </c>
      <c r="I303" s="57" t="n">
        <v>4617380</v>
      </c>
      <c r="J303" s="57" t="n"/>
      <c r="K303" s="58" t="n">
        <v>1</v>
      </c>
      <c r="L303" s="57" t="n">
        <v>4617380</v>
      </c>
      <c r="M303" s="57" t="n"/>
      <c r="N303" s="55" t="inlineStr">
        <is>
          <t>Внешняя операция</t>
        </is>
      </c>
      <c r="O303" s="55" t="inlineStr">
        <is>
          <t>Админ/офис</t>
        </is>
      </c>
      <c r="P303" s="55" t="inlineStr">
        <is>
          <t>Офис, аренда помещений, хоз.</t>
        </is>
      </c>
      <c r="Q303" s="55" t="inlineStr">
        <is>
          <t>ТОО "ALDAR EUROASIA PROPERTY MANAGEMENT"</t>
        </is>
      </c>
    </row>
    <row r="304">
      <c r="A304" s="55" t="inlineStr">
        <is>
          <t>30.07.2026</t>
        </is>
      </c>
      <c r="B304" s="55" t="inlineStr">
        <is>
          <t>ЦентрКредит</t>
        </is>
      </c>
      <c r="C304" s="55" t="inlineStr">
        <is>
          <t>KZT</t>
        </is>
      </c>
      <c r="D304" s="55" t="inlineStr">
        <is>
          <t>2401</t>
        </is>
      </c>
      <c r="E304" s="55" t="inlineStr">
        <is>
          <t>Товарищество с ограниченной ответственностью "Арлан Лизинг"</t>
        </is>
      </c>
      <c r="F304" s="55" t="inlineStr">
        <is>
          <t>221240033724</t>
        </is>
      </c>
      <c r="G304" s="55" t="inlineStr">
        <is>
          <t>424</t>
        </is>
      </c>
      <c r="H304" s="56" t="inlineStr">
        <is>
          <t>Договор финансового лизинга № 03/26 (FLA) Счет на оплату № 33 от 29.07.2026 г.</t>
        </is>
      </c>
      <c r="I304" s="57" t="n">
        <v>6458736.99</v>
      </c>
      <c r="J304" s="57" t="n"/>
      <c r="K304" s="58" t="n">
        <v>1</v>
      </c>
      <c r="L304" s="57" t="n">
        <v>6458736.99</v>
      </c>
      <c r="M304" s="57" t="n"/>
      <c r="N304" s="55" t="inlineStr">
        <is>
          <t>Внешняя операция</t>
        </is>
      </c>
      <c r="O304" s="55" t="inlineStr">
        <is>
          <t>Финансовые</t>
        </is>
      </c>
      <c r="P304" s="55" t="inlineStr">
        <is>
          <t>Финансовый лизинг</t>
        </is>
      </c>
      <c r="Q304" s="55" t="inlineStr">
        <is>
          <t>ТОО "Арлан Лизинг"</t>
        </is>
      </c>
    </row>
    <row r="305">
      <c r="A305" s="55" t="inlineStr">
        <is>
          <t>30.07.2026</t>
        </is>
      </c>
      <c r="B305" s="55" t="inlineStr">
        <is>
          <t>ЦентрКредит</t>
        </is>
      </c>
      <c r="C305" s="55" t="inlineStr">
        <is>
          <t>KZT</t>
        </is>
      </c>
      <c r="D305" s="55" t="inlineStr">
        <is>
          <t>2401</t>
        </is>
      </c>
      <c r="E305" s="55" t="inlineStr">
        <is>
          <t>Банк ЦентрКредит для ЗП</t>
        </is>
      </c>
      <c r="F305" s="55" t="inlineStr">
        <is>
          <t>980640000093</t>
        </is>
      </c>
      <c r="G305" s="55" t="inlineStr">
        <is>
          <t>332</t>
        </is>
      </c>
      <c r="H305" s="56" t="inlineStr">
        <is>
          <t>Для зачисления на картсчета сотрудникам согласно спискам 8 150 000-00 теңге.</t>
        </is>
      </c>
      <c r="I305" s="57" t="n">
        <v>8150000</v>
      </c>
      <c r="J305" s="57" t="n"/>
      <c r="K305" s="58" t="n">
        <v>1</v>
      </c>
      <c r="L305" s="57" t="n">
        <v>8150000</v>
      </c>
      <c r="M305" s="57" t="n"/>
      <c r="N305" s="55" t="inlineStr">
        <is>
          <t>Внешняя операция</t>
        </is>
      </c>
      <c r="O305" s="55" t="inlineStr">
        <is>
          <t>ФОТ</t>
        </is>
      </c>
      <c r="P305" s="55" t="inlineStr">
        <is>
          <t>Зарплата</t>
        </is>
      </c>
      <c r="Q305" s="55" t="inlineStr">
        <is>
          <t>Банк ЦентрКредит для ЗП</t>
        </is>
      </c>
    </row>
    <row r="306">
      <c r="A306" s="55" t="inlineStr">
        <is>
          <t>30.07.2026</t>
        </is>
      </c>
      <c r="B306" s="55" t="inlineStr">
        <is>
          <t>ЦентрКредит</t>
        </is>
      </c>
      <c r="C306" s="55" t="inlineStr">
        <is>
          <t>KZT</t>
        </is>
      </c>
      <c r="D306" s="55" t="inlineStr">
        <is>
          <t>2401</t>
        </is>
      </c>
      <c r="E306" s="55" t="inlineStr">
        <is>
          <t>Товарищество с ограниченной ответственностью "WayStar Group"</t>
        </is>
      </c>
      <c r="F306" s="55" t="inlineStr">
        <is>
          <t>240340014287</t>
        </is>
      </c>
      <c r="G306" s="55" t="inlineStr">
        <is>
          <t>312</t>
        </is>
      </c>
      <c r="H306" s="56" t="inlineStr">
        <is>
          <t>Размещение вклада</t>
        </is>
      </c>
      <c r="I306" s="57" t="n">
        <v>14038069.43</v>
      </c>
      <c r="J306" s="57" t="n"/>
      <c r="K306" s="58" t="n">
        <v>1</v>
      </c>
      <c r="L306" s="57" t="n">
        <v>14038069.43</v>
      </c>
      <c r="M306" s="57" t="n"/>
      <c r="N306" s="59" t="inlineStr">
        <is>
          <t>Внутренний перевод</t>
        </is>
      </c>
      <c r="O306" s="55" t="inlineStr">
        <is>
          <t>Технические</t>
        </is>
      </c>
      <c r="P306" s="55" t="inlineStr">
        <is>
          <t>Перевод между своими счетами</t>
        </is>
      </c>
      <c r="Q306" s="55" t="inlineStr"/>
    </row>
    <row r="307">
      <c r="A307" s="55" t="inlineStr">
        <is>
          <t>30.07.2026</t>
        </is>
      </c>
      <c r="B307" s="55" t="inlineStr">
        <is>
          <t>ЦентрКредит</t>
        </is>
      </c>
      <c r="C307" s="55" t="inlineStr">
        <is>
          <t>KZT</t>
        </is>
      </c>
      <c r="D307" s="55" t="inlineStr">
        <is>
          <t>2401</t>
        </is>
      </c>
      <c r="E307" s="55" t="inlineStr">
        <is>
          <t>ТОО КТЖ-Грузовые перевозки</t>
        </is>
      </c>
      <c r="F307" s="55" t="inlineStr">
        <is>
          <t>031040001799</t>
        </is>
      </c>
      <c r="G307" s="55" t="inlineStr">
        <is>
          <t>813</t>
        </is>
      </c>
      <c r="H307" s="56" t="inlineStr">
        <is>
          <t>Без НДС, 4185494, Платежи за услуги железнодорожного транспорта</t>
        </is>
      </c>
      <c r="I307" s="57" t="n">
        <v>15000000</v>
      </c>
      <c r="J307" s="57" t="n"/>
      <c r="K307" s="58" t="n">
        <v>1</v>
      </c>
      <c r="L307" s="57" t="n">
        <v>15000000</v>
      </c>
      <c r="M307" s="57" t="n"/>
      <c r="N307" s="55" t="inlineStr">
        <is>
          <t>Внешняя операция</t>
        </is>
      </c>
      <c r="O307" s="55" t="inlineStr">
        <is>
          <t>Себестоимость</t>
        </is>
      </c>
      <c r="P307" s="55" t="inlineStr">
        <is>
          <t>Тариф КТЖ (ж/д перевозки)</t>
        </is>
      </c>
      <c r="Q307" s="55" t="inlineStr">
        <is>
          <t>ТОО «КТЖ-Грузовые перевозки»</t>
        </is>
      </c>
    </row>
    <row r="308">
      <c r="A308" s="55" t="inlineStr">
        <is>
          <t>30.07.2026</t>
        </is>
      </c>
      <c r="B308" s="55" t="inlineStr">
        <is>
          <t>ЦентрКредит</t>
        </is>
      </c>
      <c r="C308" s="55" t="inlineStr">
        <is>
          <t>KZT</t>
        </is>
      </c>
      <c r="D308" s="55" t="inlineStr">
        <is>
          <t>2401</t>
        </is>
      </c>
      <c r="E308" s="55" t="inlineStr">
        <is>
          <t>Акционерное Общество "Банк ЦентрКредит"</t>
        </is>
      </c>
      <c r="F308" s="55" t="inlineStr">
        <is>
          <t>980640000093</t>
        </is>
      </c>
      <c r="G308" s="55" t="inlineStr">
        <is>
          <t>213</t>
        </is>
      </c>
      <c r="H308" s="56" t="inlineStr">
        <is>
          <t>Покупка иностранной валюты TOD (день в день), ТОО "WayStar Group", БИН 240340014287. Заявка №651466. Дата вал. 30.07.2026. Покупка USD, продажа KZT. Курс сделки 475.81. Учетный курс 477.17. Получение услуг</t>
        </is>
      </c>
      <c r="I308" s="57" t="n">
        <v>47105190</v>
      </c>
      <c r="J308" s="57" t="n"/>
      <c r="K308" s="58" t="n">
        <v>1</v>
      </c>
      <c r="L308" s="57" t="n">
        <v>47105190</v>
      </c>
      <c r="M308" s="57" t="n"/>
      <c r="N308" s="60" t="inlineStr">
        <is>
          <t>Конвертация валют</t>
        </is>
      </c>
      <c r="O308" s="55" t="inlineStr">
        <is>
          <t>Технические</t>
        </is>
      </c>
      <c r="P308" s="55" t="inlineStr">
        <is>
          <t>Покупка/продажа валюты</t>
        </is>
      </c>
      <c r="Q308" s="55" t="inlineStr"/>
    </row>
    <row r="309">
      <c r="A309" s="55" t="inlineStr">
        <is>
          <t>30.07.2026</t>
        </is>
      </c>
      <c r="B309" s="55" t="inlineStr">
        <is>
          <t>ЦентрКредит</t>
        </is>
      </c>
      <c r="C309" s="55" t="inlineStr">
        <is>
          <t>KZT</t>
        </is>
      </c>
      <c r="D309" s="55" t="inlineStr">
        <is>
          <t>2401</t>
        </is>
      </c>
      <c r="E309" s="55" t="inlineStr">
        <is>
          <t>Акционерное Общество "Банк ЦентрКредит"</t>
        </is>
      </c>
      <c r="F309" s="55" t="inlineStr">
        <is>
          <t>980640000093</t>
        </is>
      </c>
      <c r="G309" s="55" t="inlineStr">
        <is>
          <t>213</t>
        </is>
      </c>
      <c r="H309" s="56" t="inlineStr">
        <is>
          <t>Покупка иностранной валюты TOD (день в день), ТОО "WayStar Group", БИН 240340014287. Заявка №651603. Дата вал. 30.07.2026. Покупка RUB, продажа KZT. Курс сделки 6.0237. Учетный курс 6.01. Получение услуг</t>
        </is>
      </c>
      <c r="I309" s="57" t="n">
        <v>55969329.02</v>
      </c>
      <c r="J309" s="57" t="n"/>
      <c r="K309" s="58" t="n">
        <v>1</v>
      </c>
      <c r="L309" s="57" t="n">
        <v>55969329.02</v>
      </c>
      <c r="M309" s="57" t="n"/>
      <c r="N309" s="60" t="inlineStr">
        <is>
          <t>Конвертация валют</t>
        </is>
      </c>
      <c r="O309" s="55" t="inlineStr">
        <is>
          <t>Технические</t>
        </is>
      </c>
      <c r="P309" s="55" t="inlineStr">
        <is>
          <t>Покупка/продажа валюты</t>
        </is>
      </c>
      <c r="Q309" s="55" t="inlineStr"/>
    </row>
    <row r="310">
      <c r="A310" s="55" t="inlineStr">
        <is>
          <t>30.07.2026</t>
        </is>
      </c>
      <c r="B310" s="55" t="inlineStr">
        <is>
          <t>ЦентрКредит</t>
        </is>
      </c>
      <c r="C310" s="55" t="inlineStr">
        <is>
          <t>KZT</t>
        </is>
      </c>
      <c r="D310" s="55" t="inlineStr">
        <is>
          <t>2401</t>
        </is>
      </c>
      <c r="E310" s="55" t="inlineStr">
        <is>
          <t>Товарищество с ограниченной ответственностью "WayStar Group"</t>
        </is>
      </c>
      <c r="F310" s="55" t="inlineStr">
        <is>
          <t>240340014287</t>
        </is>
      </c>
      <c r="G310" s="55" t="inlineStr">
        <is>
          <t>316</t>
        </is>
      </c>
      <c r="H310" s="56" t="inlineStr">
        <is>
          <t>Выплата начисленного вознаграждения по депозитному договору № 02257310 от 28.07.2026 за период с 29.07.26 по 29.07.26. Вкладчик Товарищество с ограниченной ответственностью "WayStar Group".</t>
        </is>
      </c>
      <c r="I310" s="57" t="n"/>
      <c r="J310" s="57" t="n">
        <v>13159.05</v>
      </c>
      <c r="K310" s="58" t="n">
        <v>1</v>
      </c>
      <c r="L310" s="57" t="n"/>
      <c r="M310" s="57" t="n">
        <v>13159.05</v>
      </c>
      <c r="N310" s="59" t="inlineStr">
        <is>
          <t>Внутренний перевод</t>
        </is>
      </c>
      <c r="O310" s="55" t="inlineStr">
        <is>
          <t>Технические</t>
        </is>
      </c>
      <c r="P310" s="55" t="inlineStr">
        <is>
          <t>Перевод между своими счетами</t>
        </is>
      </c>
      <c r="Q310" s="55" t="inlineStr"/>
    </row>
    <row r="311">
      <c r="A311" s="55" t="inlineStr">
        <is>
          <t>30.07.2026</t>
        </is>
      </c>
      <c r="B311" s="55" t="inlineStr">
        <is>
          <t>ЦентрКредит</t>
        </is>
      </c>
      <c r="C311" s="55" t="inlineStr">
        <is>
          <t>KZT</t>
        </is>
      </c>
      <c r="D311" s="55" t="inlineStr">
        <is>
          <t>2401</t>
        </is>
      </c>
      <c r="E311" s="55" t="inlineStr">
        <is>
          <t>Частная компания WayStar Service Limited</t>
        </is>
      </c>
      <c r="F311" s="55" t="inlineStr">
        <is>
          <t>260540900770</t>
        </is>
      </c>
      <c r="G311" s="55" t="inlineStr">
        <is>
          <t>855</t>
        </is>
      </c>
      <c r="H311" s="56" t="inlineStr">
        <is>
          <t>за аренду согл Договору № 1 от 14.07.2026 г.. Без НДС. Платежи по лизингу (текущая аренда)</t>
        </is>
      </c>
      <c r="I311" s="57" t="n"/>
      <c r="J311" s="57" t="n">
        <v>200000</v>
      </c>
      <c r="K311" s="58" t="n">
        <v>1</v>
      </c>
      <c r="L311" s="57" t="n"/>
      <c r="M311" s="57" t="n">
        <v>200000</v>
      </c>
      <c r="N311" s="59" t="inlineStr">
        <is>
          <t>Внутренний перевод</t>
        </is>
      </c>
      <c r="O311" s="55" t="inlineStr">
        <is>
          <t>Технические</t>
        </is>
      </c>
      <c r="P311" s="55" t="inlineStr">
        <is>
          <t>Перевод между своими счетами</t>
        </is>
      </c>
      <c r="Q311" s="55" t="inlineStr"/>
    </row>
    <row r="312">
      <c r="A312" s="55" t="inlineStr">
        <is>
          <t>30.07.2026</t>
        </is>
      </c>
      <c r="B312" s="55" t="inlineStr">
        <is>
          <t>ЦентрКредит</t>
        </is>
      </c>
      <c r="C312" s="55" t="inlineStr">
        <is>
          <t>KZT</t>
        </is>
      </c>
      <c r="D312" s="55" t="inlineStr">
        <is>
          <t>2401</t>
        </is>
      </c>
      <c r="E312" s="55" t="inlineStr">
        <is>
          <t>ТОО WayStar Group</t>
        </is>
      </c>
      <c r="F312" s="55" t="inlineStr">
        <is>
          <t>240340014287</t>
        </is>
      </c>
      <c r="G312" s="55" t="inlineStr">
        <is>
          <t>343</t>
        </is>
      </c>
      <c r="H312" s="56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12" s="57" t="n"/>
      <c r="J312" s="57" t="n">
        <v>1455000</v>
      </c>
      <c r="K312" s="58" t="n">
        <v>1</v>
      </c>
      <c r="L312" s="57" t="n"/>
      <c r="M312" s="57" t="n">
        <v>1455000</v>
      </c>
      <c r="N312" s="59" t="inlineStr">
        <is>
          <t>Внутренний перевод</t>
        </is>
      </c>
      <c r="O312" s="55" t="inlineStr">
        <is>
          <t>Технические</t>
        </is>
      </c>
      <c r="P312" s="55" t="inlineStr">
        <is>
          <t>Перевод между своими счетами</t>
        </is>
      </c>
      <c r="Q312" s="55" t="inlineStr"/>
    </row>
    <row r="313">
      <c r="A313" s="55" t="inlineStr">
        <is>
          <t>30.07.2026</t>
        </is>
      </c>
      <c r="B313" s="55" t="inlineStr">
        <is>
          <t>ЦентрКредит</t>
        </is>
      </c>
      <c r="C313" s="55" t="inlineStr">
        <is>
          <t>KZT</t>
        </is>
      </c>
      <c r="D313" s="55" t="inlineStr">
        <is>
          <t>2401</t>
        </is>
      </c>
      <c r="E313" s="55" t="inlineStr">
        <is>
          <t>ТОО  "WayStar Group"</t>
        </is>
      </c>
      <c r="F313" s="55" t="inlineStr">
        <is>
          <t>240340014287</t>
        </is>
      </c>
      <c r="G313" s="55" t="inlineStr">
        <is>
          <t>343</t>
        </is>
      </c>
      <c r="H313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13" s="57" t="n"/>
      <c r="J313" s="57" t="n">
        <v>4070000</v>
      </c>
      <c r="K313" s="58" t="n">
        <v>1</v>
      </c>
      <c r="L313" s="57" t="n"/>
      <c r="M313" s="57" t="n">
        <v>4070000</v>
      </c>
      <c r="N313" s="59" t="inlineStr">
        <is>
          <t>Внутренний перевод</t>
        </is>
      </c>
      <c r="O313" s="55" t="inlineStr">
        <is>
          <t>Технические</t>
        </is>
      </c>
      <c r="P313" s="55" t="inlineStr">
        <is>
          <t>Перевод между своими счетами</t>
        </is>
      </c>
      <c r="Q313" s="55" t="inlineStr"/>
    </row>
    <row r="314">
      <c r="A314" s="55" t="inlineStr">
        <is>
          <t>30.07.2026</t>
        </is>
      </c>
      <c r="B314" s="55" t="inlineStr">
        <is>
          <t>ЦентрКредит</t>
        </is>
      </c>
      <c r="C314" s="55" t="inlineStr">
        <is>
          <t>KZT</t>
        </is>
      </c>
      <c r="D314" s="55" t="inlineStr">
        <is>
          <t>2401</t>
        </is>
      </c>
      <c r="E314" s="55" t="inlineStr">
        <is>
          <t>Товарищество с ограниченной ответственностью "WayStar Group"</t>
        </is>
      </c>
      <c r="F314" s="55" t="inlineStr">
        <is>
          <t>240340014287</t>
        </is>
      </c>
      <c r="G314" s="55" t="inlineStr">
        <is>
          <t>322</t>
        </is>
      </c>
      <c r="H314" s="56" t="inlineStr">
        <is>
          <t>Частичная выплата вклада по депозитному договору № 02257310 от 30.07.2026 в размере 38970012.86 согласно ДП. Вкладчик: Товарищество с ограниченной ответственностью "WayStar Group".</t>
        </is>
      </c>
      <c r="I314" s="57" t="n"/>
      <c r="J314" s="57" t="n">
        <v>38970012.86</v>
      </c>
      <c r="K314" s="58" t="n">
        <v>1</v>
      </c>
      <c r="L314" s="57" t="n"/>
      <c r="M314" s="57" t="n">
        <v>38970012.86</v>
      </c>
      <c r="N314" s="59" t="inlineStr">
        <is>
          <t>Внутренний перевод</t>
        </is>
      </c>
      <c r="O314" s="55" t="inlineStr">
        <is>
          <t>Технические</t>
        </is>
      </c>
      <c r="P314" s="55" t="inlineStr">
        <is>
          <t>Перевод между своими счетами</t>
        </is>
      </c>
      <c r="Q314" s="55" t="inlineStr"/>
    </row>
    <row r="315">
      <c r="A315" s="55" t="inlineStr">
        <is>
          <t>30.07.2026</t>
        </is>
      </c>
      <c r="B315" s="55" t="inlineStr">
        <is>
          <t>ЦентрКредит</t>
        </is>
      </c>
      <c r="C315" s="55" t="inlineStr">
        <is>
          <t>KZT</t>
        </is>
      </c>
      <c r="D315" s="55" t="inlineStr">
        <is>
          <t>2401</t>
        </is>
      </c>
      <c r="E315" s="55" t="inlineStr">
        <is>
          <t>ТОО  "WayStar Group"</t>
        </is>
      </c>
      <c r="F315" s="55" t="inlineStr">
        <is>
          <t>240340014287</t>
        </is>
      </c>
      <c r="G315" s="55" t="inlineStr">
        <is>
          <t>343</t>
        </is>
      </c>
      <c r="H315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15" s="57" t="n"/>
      <c r="J315" s="57" t="n">
        <v>121153000</v>
      </c>
      <c r="K315" s="58" t="n">
        <v>1</v>
      </c>
      <c r="L315" s="57" t="n"/>
      <c r="M315" s="57" t="n">
        <v>121153000</v>
      </c>
      <c r="N315" s="59" t="inlineStr">
        <is>
          <t>Внутренний перевод</t>
        </is>
      </c>
      <c r="O315" s="55" t="inlineStr">
        <is>
          <t>Технические</t>
        </is>
      </c>
      <c r="P315" s="55" t="inlineStr">
        <is>
          <t>Перевод между своими счетами</t>
        </is>
      </c>
      <c r="Q315" s="55" t="inlineStr"/>
    </row>
    <row r="316">
      <c r="A316" s="55" t="inlineStr">
        <is>
          <t>31.07.2026</t>
        </is>
      </c>
      <c r="B316" s="55" t="inlineStr">
        <is>
          <t>ЦентрКредит</t>
        </is>
      </c>
      <c r="C316" s="55" t="inlineStr">
        <is>
          <t>KZT</t>
        </is>
      </c>
      <c r="D316" s="55" t="inlineStr">
        <is>
          <t>2401</t>
        </is>
      </c>
      <c r="E316" s="55" t="inlineStr">
        <is>
          <t>Акционерное Общество "Банк ЦентрКредит"</t>
        </is>
      </c>
      <c r="F316" s="55" t="inlineStr">
        <is>
          <t>980741000260</t>
        </is>
      </c>
      <c r="G316" s="55" t="inlineStr">
        <is>
          <t>841</t>
        </is>
      </c>
      <c r="H316" s="56" t="inlineStr">
        <is>
          <t>Интернет-банкинг. MIP. Международные платежи. Перевод OUR, кроме валют стран СНГ с 13:00 по 16:00. Расчетный документ № 1 от 31.07.26 на сумму 1 188.00 USD, в т.ч. НДС 16%</t>
        </is>
      </c>
      <c r="I316" s="57" t="n">
        <v>15000</v>
      </c>
      <c r="J316" s="57" t="n"/>
      <c r="K316" s="58" t="n">
        <v>1</v>
      </c>
      <c r="L316" s="57" t="n">
        <v>15000</v>
      </c>
      <c r="M316" s="57" t="n"/>
      <c r="N316" s="55" t="inlineStr">
        <is>
          <t>Внешняя операция</t>
        </is>
      </c>
      <c r="O316" s="55" t="inlineStr">
        <is>
          <t>Финансовые</t>
        </is>
      </c>
      <c r="P316" s="55" t="inlineStr">
        <is>
          <t>Банковские комиссии</t>
        </is>
      </c>
      <c r="Q316" s="55" t="inlineStr">
        <is>
          <t>Акционерное Общество "Банк ЦентрКредит"</t>
        </is>
      </c>
    </row>
    <row r="317">
      <c r="A317" s="55" t="inlineStr">
        <is>
          <t>31.07.2026</t>
        </is>
      </c>
      <c r="B317" s="55" t="inlineStr">
        <is>
          <t>ЦентрКредит</t>
        </is>
      </c>
      <c r="C317" s="55" t="inlineStr">
        <is>
          <t>KZT</t>
        </is>
      </c>
      <c r="D317" s="55" t="inlineStr">
        <is>
          <t>2401</t>
        </is>
      </c>
      <c r="E317" s="55" t="inlineStr">
        <is>
          <t>Акционерное Общество "Банк ЦентрКредит"</t>
        </is>
      </c>
      <c r="F317" s="55" t="inlineStr">
        <is>
          <t>980640000093</t>
        </is>
      </c>
      <c r="G317" s="55" t="inlineStr">
        <is>
          <t>213</t>
        </is>
      </c>
      <c r="H317" s="56" t="inlineStr">
        <is>
          <t>Покупка иностранной валюты TOD (день в день), ТОО "WayStar Group", БИН 240340014287. Заявка №654353. Дата вал. 31.07.2026. Покупка USD, продажа KZT. Курс сделки 474.59. Учетный курс 474.63. Прочее</t>
        </is>
      </c>
      <c r="I317" s="57" t="n">
        <v>563812.92</v>
      </c>
      <c r="J317" s="57" t="n"/>
      <c r="K317" s="58" t="n">
        <v>1</v>
      </c>
      <c r="L317" s="57" t="n">
        <v>563812.92</v>
      </c>
      <c r="M317" s="57" t="n"/>
      <c r="N317" s="60" t="inlineStr">
        <is>
          <t>Конвертация валют</t>
        </is>
      </c>
      <c r="O317" s="55" t="inlineStr">
        <is>
          <t>Технические</t>
        </is>
      </c>
      <c r="P317" s="55" t="inlineStr">
        <is>
          <t>Покупка/продажа валюты</t>
        </is>
      </c>
      <c r="Q317" s="55" t="inlineStr"/>
    </row>
    <row r="318">
      <c r="A318" s="55" t="inlineStr">
        <is>
          <t>31.07.2026</t>
        </is>
      </c>
      <c r="B318" s="55" t="inlineStr">
        <is>
          <t>ЦентрКредит</t>
        </is>
      </c>
      <c r="C318" s="55" t="inlineStr">
        <is>
          <t>KZT</t>
        </is>
      </c>
      <c r="D318" s="55" t="inlineStr">
        <is>
          <t>2401</t>
        </is>
      </c>
      <c r="E318" s="55" t="inlineStr">
        <is>
          <t>ТОО КТЖ-Грузовые перевозки</t>
        </is>
      </c>
      <c r="F318" s="55" t="inlineStr">
        <is>
          <t>031040001799</t>
        </is>
      </c>
      <c r="G318" s="55" t="inlineStr">
        <is>
          <t>813</t>
        </is>
      </c>
      <c r="H318" s="56" t="inlineStr">
        <is>
          <t>Без НДС, 4185494, Платежи за услуги железнодорожного транспорта</t>
        </is>
      </c>
      <c r="I318" s="57" t="n">
        <v>5000000</v>
      </c>
      <c r="J318" s="57" t="n"/>
      <c r="K318" s="58" t="n">
        <v>1</v>
      </c>
      <c r="L318" s="57" t="n">
        <v>5000000</v>
      </c>
      <c r="M318" s="57" t="n"/>
      <c r="N318" s="55" t="inlineStr">
        <is>
          <t>Внешняя операция</t>
        </is>
      </c>
      <c r="O318" s="55" t="inlineStr">
        <is>
          <t>Себестоимость</t>
        </is>
      </c>
      <c r="P318" s="55" t="inlineStr">
        <is>
          <t>Тариф КТЖ (ж/д перевозки)</t>
        </is>
      </c>
      <c r="Q318" s="55" t="inlineStr">
        <is>
          <t>ТОО «КТЖ-Грузовые перевозки»</t>
        </is>
      </c>
    </row>
    <row r="319">
      <c r="A319" s="55" t="inlineStr">
        <is>
          <t>31.07.2026</t>
        </is>
      </c>
      <c r="B319" s="55" t="inlineStr">
        <is>
          <t>ЦентрКредит</t>
        </is>
      </c>
      <c r="C319" s="55" t="inlineStr">
        <is>
          <t>KZT</t>
        </is>
      </c>
      <c r="D319" s="55" t="inlineStr">
        <is>
          <t>2401</t>
        </is>
      </c>
      <c r="E319" s="55" t="inlineStr">
        <is>
          <t>Товарищество с ограниченной ответственностью "WayStar Group"</t>
        </is>
      </c>
      <c r="F319" s="55" t="inlineStr">
        <is>
          <t>240340014287</t>
        </is>
      </c>
      <c r="G319" s="55" t="inlineStr">
        <is>
          <t>312</t>
        </is>
      </c>
      <c r="H319" s="56" t="inlineStr">
        <is>
          <t>Размещение вклада</t>
        </is>
      </c>
      <c r="I319" s="57" t="n">
        <v>15257371.76</v>
      </c>
      <c r="J319" s="57" t="n"/>
      <c r="K319" s="58" t="n">
        <v>1</v>
      </c>
      <c r="L319" s="57" t="n">
        <v>15257371.76</v>
      </c>
      <c r="M319" s="57" t="n"/>
      <c r="N319" s="59" t="inlineStr">
        <is>
          <t>Внутренний перевод</t>
        </is>
      </c>
      <c r="O319" s="55" t="inlineStr">
        <is>
          <t>Технические</t>
        </is>
      </c>
      <c r="P319" s="55" t="inlineStr">
        <is>
          <t>Перевод между своими счетами</t>
        </is>
      </c>
      <c r="Q319" s="55" t="inlineStr"/>
    </row>
    <row r="320">
      <c r="A320" s="55" t="inlineStr">
        <is>
          <t>31.07.2026</t>
        </is>
      </c>
      <c r="B320" s="55" t="inlineStr">
        <is>
          <t>ЦентрКредит</t>
        </is>
      </c>
      <c r="C320" s="55" t="inlineStr">
        <is>
          <t>KZT</t>
        </is>
      </c>
      <c r="D320" s="55" t="inlineStr">
        <is>
          <t>2401</t>
        </is>
      </c>
      <c r="E320" s="55" t="inlineStr">
        <is>
          <t>Товарищество с ограниченной ответственностью "WayStar Group"</t>
        </is>
      </c>
      <c r="F320" s="55" t="inlineStr">
        <is>
          <t>240340014287</t>
        </is>
      </c>
      <c r="G320" s="55" t="inlineStr">
        <is>
          <t>316</t>
        </is>
      </c>
      <c r="H320" s="56" t="inlineStr">
        <is>
          <t>Выплата начисленного вознаграждения по депозитному договору № 02257310 от 28.07.2026 за период с 30.07.26 по 30.07.26. Вкладчик Товарищество с ограниченной ответственностью "WayStar Group".</t>
        </is>
      </c>
      <c r="I320" s="57" t="n"/>
      <c r="J320" s="57" t="n">
        <v>4740.25</v>
      </c>
      <c r="K320" s="58" t="n">
        <v>1</v>
      </c>
      <c r="L320" s="57" t="n"/>
      <c r="M320" s="57" t="n">
        <v>4740.25</v>
      </c>
      <c r="N320" s="59" t="inlineStr">
        <is>
          <t>Внутренний перевод</t>
        </is>
      </c>
      <c r="O320" s="55" t="inlineStr">
        <is>
          <t>Технические</t>
        </is>
      </c>
      <c r="P320" s="55" t="inlineStr">
        <is>
          <t>Перевод между своими счетами</t>
        </is>
      </c>
      <c r="Q320" s="55" t="inlineStr"/>
    </row>
    <row r="321">
      <c r="A321" s="55" t="inlineStr">
        <is>
          <t>31.07.2026</t>
        </is>
      </c>
      <c r="B321" s="55" t="inlineStr">
        <is>
          <t>ЦентрКредит</t>
        </is>
      </c>
      <c r="C321" s="55" t="inlineStr">
        <is>
          <t>KZT</t>
        </is>
      </c>
      <c r="D321" s="55" t="inlineStr">
        <is>
          <t>2401</t>
        </is>
      </c>
      <c r="E321" s="55" t="inlineStr">
        <is>
          <t>ТОО WayStar Group</t>
        </is>
      </c>
      <c r="F321" s="55" t="inlineStr">
        <is>
          <t>240340014287</t>
        </is>
      </c>
      <c r="G321" s="55" t="inlineStr">
        <is>
          <t>343</t>
        </is>
      </c>
      <c r="H321" s="56" t="inlineStr">
        <is>
          <t>перевод на другой счет Переводы клиентом денег со своего текущего счета в одном банке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21" s="57" t="n"/>
      <c r="J321" s="57" t="n">
        <v>911375</v>
      </c>
      <c r="K321" s="58" t="n">
        <v>1</v>
      </c>
      <c r="L321" s="57" t="n"/>
      <c r="M321" s="57" t="n">
        <v>911375</v>
      </c>
      <c r="N321" s="59" t="inlineStr">
        <is>
          <t>Внутренний перевод</t>
        </is>
      </c>
      <c r="O321" s="55" t="inlineStr">
        <is>
          <t>Технические</t>
        </is>
      </c>
      <c r="P321" s="55" t="inlineStr">
        <is>
          <t>Перевод между своими счетами</t>
        </is>
      </c>
      <c r="Q321" s="55" t="inlineStr"/>
    </row>
    <row r="322">
      <c r="A322" s="55" t="inlineStr">
        <is>
          <t>31.07.2026</t>
        </is>
      </c>
      <c r="B322" s="55" t="inlineStr">
        <is>
          <t>ЦентрКредит</t>
        </is>
      </c>
      <c r="C322" s="55" t="inlineStr">
        <is>
          <t>KZT</t>
        </is>
      </c>
      <c r="D322" s="55" t="inlineStr">
        <is>
          <t>2401</t>
        </is>
      </c>
      <c r="E322" s="55" t="inlineStr">
        <is>
          <t>ТОО  "WayStar Group"</t>
        </is>
      </c>
      <c r="F322" s="55" t="inlineStr">
        <is>
          <t>240340014287</t>
        </is>
      </c>
      <c r="G322" s="55" t="inlineStr">
        <is>
          <t>343</t>
        </is>
      </c>
      <c r="H322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22" s="57" t="n"/>
      <c r="J322" s="57" t="n">
        <v>5882000</v>
      </c>
      <c r="K322" s="58" t="n">
        <v>1</v>
      </c>
      <c r="L322" s="57" t="n"/>
      <c r="M322" s="57" t="n">
        <v>5882000</v>
      </c>
      <c r="N322" s="59" t="inlineStr">
        <is>
          <t>Внутренний перевод</t>
        </is>
      </c>
      <c r="O322" s="55" t="inlineStr">
        <is>
          <t>Технические</t>
        </is>
      </c>
      <c r="P322" s="55" t="inlineStr">
        <is>
          <t>Перевод между своими счетами</t>
        </is>
      </c>
      <c r="Q322" s="55" t="inlineStr"/>
    </row>
    <row r="323">
      <c r="A323" s="55" t="inlineStr">
        <is>
          <t>31.07.2026</t>
        </is>
      </c>
      <c r="B323" s="55" t="inlineStr">
        <is>
          <t>ЦентрКредит</t>
        </is>
      </c>
      <c r="C323" s="55" t="inlineStr">
        <is>
          <t>KZT</t>
        </is>
      </c>
      <c r="D323" s="55" t="inlineStr">
        <is>
          <t>2401</t>
        </is>
      </c>
      <c r="E323" s="55" t="inlineStr">
        <is>
          <t>Товарищество с ограниченной ответственностью "WayStar Group"</t>
        </is>
      </c>
      <c r="F323" s="55" t="inlineStr">
        <is>
          <t>240340014287</t>
        </is>
      </c>
      <c r="G323" s="55" t="inlineStr">
        <is>
          <t>322</t>
        </is>
      </c>
      <c r="H323" s="56" t="inlineStr">
        <is>
          <t>Частичная выплата вклада по депозитному договору № 02257310 от 31.07.2026 в размере 14038069.43 согласно ДП. Вкладчик: Товарищество с ограниченной ответственностью "WayStar Group".</t>
        </is>
      </c>
      <c r="I323" s="57" t="n"/>
      <c r="J323" s="57" t="n">
        <v>14038069.43</v>
      </c>
      <c r="K323" s="58" t="n">
        <v>1</v>
      </c>
      <c r="L323" s="57" t="n"/>
      <c r="M323" s="57" t="n">
        <v>14038069.43</v>
      </c>
      <c r="N323" s="59" t="inlineStr">
        <is>
          <t>Внутренний перевод</t>
        </is>
      </c>
      <c r="O323" s="55" t="inlineStr">
        <is>
          <t>Технические</t>
        </is>
      </c>
      <c r="P323" s="55" t="inlineStr">
        <is>
          <t>Перевод между своими счетами</t>
        </is>
      </c>
      <c r="Q323" s="55" t="inlineStr"/>
    </row>
    <row r="324">
      <c r="A324" s="55" t="inlineStr">
        <is>
          <t>02.07.2026</t>
        </is>
      </c>
      <c r="B324" s="55" t="inlineStr">
        <is>
          <t>ЦентрКредит</t>
        </is>
      </c>
      <c r="C324" s="55" t="inlineStr">
        <is>
          <t>USD</t>
        </is>
      </c>
      <c r="D324" s="55" t="inlineStr">
        <is>
          <t>6935</t>
        </is>
      </c>
      <c r="E324" s="55" t="inlineStr">
        <is>
          <t>MEGA STOCK CO.,LTD</t>
        </is>
      </c>
      <c r="F324" s="55" t="inlineStr"/>
      <c r="G324" s="55" t="inlineStr">
        <is>
          <t>813</t>
        </is>
      </c>
      <c r="H324" s="56" t="inlineStr">
        <is>
          <t>MS/WSG/1805, 07.04.26, TRANSPORT AND FORWARDING SERVICES TO INVOICE MWG027 For rail transport services</t>
        </is>
      </c>
      <c r="I324" s="57" t="n">
        <v>100000</v>
      </c>
      <c r="J324" s="57" t="n"/>
      <c r="K324" s="58" t="n">
        <v>480.72</v>
      </c>
      <c r="L324" s="57" t="n">
        <v>48072000</v>
      </c>
      <c r="M324" s="57" t="n"/>
      <c r="N324" s="55" t="inlineStr">
        <is>
          <t>Внешняя операция</t>
        </is>
      </c>
      <c r="O324" s="55" t="inlineStr">
        <is>
          <t>Себестоимость</t>
        </is>
      </c>
      <c r="P324" s="55" t="inlineStr">
        <is>
          <t>Зарубежные перевозчики/экспедиторы</t>
        </is>
      </c>
      <c r="Q324" s="55" t="inlineStr">
        <is>
          <t>MEGA STOCK CO. LTD (Таиланд)</t>
        </is>
      </c>
    </row>
    <row r="325">
      <c r="A325" s="55" t="inlineStr">
        <is>
          <t>02.07.2026</t>
        </is>
      </c>
      <c r="B325" s="55" t="inlineStr">
        <is>
          <t>ЦентрКредит</t>
        </is>
      </c>
      <c r="C325" s="55" t="inlineStr">
        <is>
          <t>USD</t>
        </is>
      </c>
      <c r="D325" s="55" t="inlineStr">
        <is>
          <t>6935</t>
        </is>
      </c>
      <c r="E325" s="55" t="inlineStr">
        <is>
          <t>Акционерное Общество "Банк ЦентрКредит"</t>
        </is>
      </c>
      <c r="F325" s="55" t="inlineStr">
        <is>
          <t>980640000093</t>
        </is>
      </c>
      <c r="G325" s="55" t="inlineStr">
        <is>
          <t>213</t>
        </is>
      </c>
      <c r="H325" s="56" t="inlineStr">
        <is>
          <t>Покупка иностранной валюты TOD (день в день), Товарищество с ограниченной ответственностью "WayStar Group", БИН 240340014287. Заявка №615800. Дата вал. 02.07.2026. Покупка USD, продажа KZT. Курс сделки 473.73. Учетный курс 479.26. Получение услуг</t>
        </is>
      </c>
      <c r="I325" s="57" t="n"/>
      <c r="J325" s="57" t="n">
        <v>100000</v>
      </c>
      <c r="K325" s="58" t="n">
        <v>480.72</v>
      </c>
      <c r="L325" s="57" t="n"/>
      <c r="M325" s="57" t="n">
        <v>48072000</v>
      </c>
      <c r="N325" s="60" t="inlineStr">
        <is>
          <t>Конвертация валют</t>
        </is>
      </c>
      <c r="O325" s="55" t="inlineStr">
        <is>
          <t>Технические</t>
        </is>
      </c>
      <c r="P325" s="55" t="inlineStr">
        <is>
          <t>Покупка/продажа валюты</t>
        </is>
      </c>
      <c r="Q325" s="55" t="inlineStr"/>
    </row>
    <row r="326">
      <c r="A326" s="55" t="inlineStr">
        <is>
          <t>07.07.2026</t>
        </is>
      </c>
      <c r="B326" s="55" t="inlineStr">
        <is>
          <t>ЦентрКредит</t>
        </is>
      </c>
      <c r="C326" s="55" t="inlineStr">
        <is>
          <t>USD</t>
        </is>
      </c>
      <c r="D326" s="55" t="inlineStr">
        <is>
          <t>6935</t>
        </is>
      </c>
      <c r="E326" s="55" t="inlineStr">
        <is>
          <t>LLC Altyn Trans</t>
        </is>
      </c>
      <c r="F326" s="55" t="inlineStr"/>
      <c r="G326" s="55" t="inlineStr">
        <is>
          <t>813</t>
        </is>
      </c>
      <c r="H326" s="56" t="inlineStr">
        <is>
          <t>A11-25/RUZ, 31.07.25, invoice 204 For rail transport services</t>
        </is>
      </c>
      <c r="I326" s="57" t="n">
        <v>45703.3</v>
      </c>
      <c r="J326" s="57" t="n"/>
      <c r="K326" s="58" t="n">
        <v>480.72</v>
      </c>
      <c r="L326" s="57" t="n">
        <v>21970490.38</v>
      </c>
      <c r="M326" s="57" t="n"/>
      <c r="N326" s="55" t="inlineStr">
        <is>
          <t>Внешняя операция</t>
        </is>
      </c>
      <c r="O326" s="55" t="inlineStr">
        <is>
          <t>Себестоимость</t>
        </is>
      </c>
      <c r="P326" s="55" t="inlineStr">
        <is>
          <t>Зарубежные перевозчики/экспедиторы</t>
        </is>
      </c>
      <c r="Q326" s="55" t="inlineStr">
        <is>
          <t>LLC Altyn Trans (Узб.)</t>
        </is>
      </c>
    </row>
    <row r="327">
      <c r="A327" s="55" t="inlineStr">
        <is>
          <t>07.07.2026</t>
        </is>
      </c>
      <c r="B327" s="55" t="inlineStr">
        <is>
          <t>ЦентрКредит</t>
        </is>
      </c>
      <c r="C327" s="55" t="inlineStr">
        <is>
          <t>USD</t>
        </is>
      </c>
      <c r="D327" s="55" t="inlineStr">
        <is>
          <t>6935</t>
        </is>
      </c>
      <c r="E327" s="55" t="inlineStr">
        <is>
          <t>Акционерное Общество "Банк ЦентрКредит"</t>
        </is>
      </c>
      <c r="F327" s="55" t="inlineStr">
        <is>
          <t>980640000093</t>
        </is>
      </c>
      <c r="G327" s="55" t="inlineStr">
        <is>
          <t>213</t>
        </is>
      </c>
      <c r="H327" s="56" t="inlineStr">
        <is>
          <t>Покупка иностранной валюты TOD (день в день), ТОО "WayStar Group", БИН 240340014287. Заявка №619602. Дата вал. 07.07.2026. Покупка USD, продажа KZT. Курс сделки 472.66. Учетный курс 472.03. Получение услуг</t>
        </is>
      </c>
      <c r="I327" s="57" t="n"/>
      <c r="J327" s="57" t="n">
        <v>45703.3</v>
      </c>
      <c r="K327" s="58" t="n">
        <v>480.72</v>
      </c>
      <c r="L327" s="57" t="n"/>
      <c r="M327" s="57" t="n">
        <v>21970490.38</v>
      </c>
      <c r="N327" s="60" t="inlineStr">
        <is>
          <t>Конвертация валют</t>
        </is>
      </c>
      <c r="O327" s="55" t="inlineStr">
        <is>
          <t>Технические</t>
        </is>
      </c>
      <c r="P327" s="55" t="inlineStr">
        <is>
          <t>Покупка/продажа валюты</t>
        </is>
      </c>
      <c r="Q327" s="55" t="inlineStr"/>
    </row>
    <row r="328">
      <c r="A328" s="55" t="inlineStr">
        <is>
          <t>09.07.2026</t>
        </is>
      </c>
      <c r="B328" s="55" t="inlineStr">
        <is>
          <t>ЦентрКредит</t>
        </is>
      </c>
      <c r="C328" s="55" t="inlineStr">
        <is>
          <t>USD</t>
        </is>
      </c>
      <c r="D328" s="55" t="inlineStr">
        <is>
          <t>6935</t>
        </is>
      </c>
      <c r="E328" s="55" t="inlineStr">
        <is>
          <t>MEGA STOCK CO.,LTD</t>
        </is>
      </c>
      <c r="F328" s="55" t="inlineStr"/>
      <c r="G328" s="55" t="inlineStr">
        <is>
          <t>813</t>
        </is>
      </c>
      <c r="H328" s="56" t="inlineStr">
        <is>
          <t>MS/WSG/1805, 07.04.26, TRANSPORT AND FORWARDING SERVICES TO INVOICE MWG097 For rail transport services</t>
        </is>
      </c>
      <c r="I328" s="57" t="n">
        <v>180000</v>
      </c>
      <c r="J328" s="57" t="n"/>
      <c r="K328" s="58" t="n">
        <v>480.72</v>
      </c>
      <c r="L328" s="57" t="n">
        <v>86529600</v>
      </c>
      <c r="M328" s="57" t="n"/>
      <c r="N328" s="55" t="inlineStr">
        <is>
          <t>Внешняя операция</t>
        </is>
      </c>
      <c r="O328" s="55" t="inlineStr">
        <is>
          <t>Себестоимость</t>
        </is>
      </c>
      <c r="P328" s="55" t="inlineStr">
        <is>
          <t>Зарубежные перевозчики/экспедиторы</t>
        </is>
      </c>
      <c r="Q328" s="55" t="inlineStr">
        <is>
          <t>MEGA STOCK CO. LTD (Таиланд)</t>
        </is>
      </c>
    </row>
    <row r="329">
      <c r="A329" s="55" t="inlineStr">
        <is>
          <t>09.07.2026</t>
        </is>
      </c>
      <c r="B329" s="55" t="inlineStr">
        <is>
          <t>ЦентрКредит</t>
        </is>
      </c>
      <c r="C329" s="55" t="inlineStr">
        <is>
          <t>USD</t>
        </is>
      </c>
      <c r="D329" s="55" t="inlineStr">
        <is>
          <t>6935</t>
        </is>
      </c>
      <c r="E329" s="55" t="inlineStr">
        <is>
          <t>Акционерное Общество "Банк ЦентрКредит"</t>
        </is>
      </c>
      <c r="F329" s="55" t="inlineStr">
        <is>
          <t>980640000093</t>
        </is>
      </c>
      <c r="G329" s="55" t="inlineStr">
        <is>
          <t>213</t>
        </is>
      </c>
      <c r="H329" s="56" t="inlineStr">
        <is>
          <t>Покупка иностранной валюты TOD (день в день), ТОО "WayStar Group", БИН 240340014287. Заявка №624131. Дата вал. 09.07.2026. Покупка USD, продажа KZT. Курс сделки 468.33. Учетный курс 467.98. Получение услуг</t>
        </is>
      </c>
      <c r="I329" s="57" t="n"/>
      <c r="J329" s="57" t="n">
        <v>180000</v>
      </c>
      <c r="K329" s="58" t="n">
        <v>480.72</v>
      </c>
      <c r="L329" s="57" t="n"/>
      <c r="M329" s="57" t="n">
        <v>86529600</v>
      </c>
      <c r="N329" s="60" t="inlineStr">
        <is>
          <t>Конвертация валют</t>
        </is>
      </c>
      <c r="O329" s="55" t="inlineStr">
        <is>
          <t>Технические</t>
        </is>
      </c>
      <c r="P329" s="55" t="inlineStr">
        <is>
          <t>Покупка/продажа валюты</t>
        </is>
      </c>
      <c r="Q329" s="55" t="inlineStr"/>
    </row>
    <row r="330">
      <c r="A330" s="55" t="inlineStr">
        <is>
          <t>16.07.2026</t>
        </is>
      </c>
      <c r="B330" s="55" t="inlineStr">
        <is>
          <t>ЦентрКредит</t>
        </is>
      </c>
      <c r="C330" s="55" t="inlineStr">
        <is>
          <t>USD</t>
        </is>
      </c>
      <c r="D330" s="55" t="inlineStr">
        <is>
          <t>6935</t>
        </is>
      </c>
      <c r="E330" s="55" t="inlineStr">
        <is>
          <t>MEGA STOCK CO.,LTD</t>
        </is>
      </c>
      <c r="F330" s="55" t="inlineStr"/>
      <c r="G330" s="55" t="inlineStr">
        <is>
          <t>813</t>
        </is>
      </c>
      <c r="H330" s="56" t="inlineStr">
        <is>
          <t>MS/WSG/1805, 07.04.26, TRANSPORT AND FORWARDING SERVICES TO INVOICE MWG147 For rail transport services</t>
        </is>
      </c>
      <c r="I330" s="57" t="n">
        <v>110000</v>
      </c>
      <c r="J330" s="57" t="n"/>
      <c r="K330" s="58" t="n">
        <v>480.72</v>
      </c>
      <c r="L330" s="57" t="n">
        <v>52879200</v>
      </c>
      <c r="M330" s="57" t="n"/>
      <c r="N330" s="55" t="inlineStr">
        <is>
          <t>Внешняя операция</t>
        </is>
      </c>
      <c r="O330" s="55" t="inlineStr">
        <is>
          <t>Себестоимость</t>
        </is>
      </c>
      <c r="P330" s="55" t="inlineStr">
        <is>
          <t>Зарубежные перевозчики/экспедиторы</t>
        </is>
      </c>
      <c r="Q330" s="55" t="inlineStr">
        <is>
          <t>MEGA STOCK CO. LTD (Таиланд)</t>
        </is>
      </c>
    </row>
    <row r="331">
      <c r="A331" s="55" t="inlineStr">
        <is>
          <t>16.07.2026</t>
        </is>
      </c>
      <c r="B331" s="55" t="inlineStr">
        <is>
          <t>ЦентрКредит</t>
        </is>
      </c>
      <c r="C331" s="55" t="inlineStr">
        <is>
          <t>USD</t>
        </is>
      </c>
      <c r="D331" s="55" t="inlineStr">
        <is>
          <t>6935</t>
        </is>
      </c>
      <c r="E331" s="55" t="inlineStr">
        <is>
          <t>Акционерное Общество "Банк ЦентрКредит"</t>
        </is>
      </c>
      <c r="F331" s="55" t="inlineStr">
        <is>
          <t>980640000093</t>
        </is>
      </c>
      <c r="G331" s="55" t="inlineStr">
        <is>
          <t>213</t>
        </is>
      </c>
      <c r="H331" s="56" t="inlineStr">
        <is>
          <t>Покупка иностранной валюты TOD (день в день), ТОО "WayStar Group", БИН 240340014287. Заявка №633135. Дата вал. 16.07.2026. Покупка USD, продажа KZT. Курс сделки 473.34. Учетный курс 469.71. Получение услуг</t>
        </is>
      </c>
      <c r="I331" s="57" t="n"/>
      <c r="J331" s="57" t="n">
        <v>110000</v>
      </c>
      <c r="K331" s="58" t="n">
        <v>480.72</v>
      </c>
      <c r="L331" s="57" t="n"/>
      <c r="M331" s="57" t="n">
        <v>52879200</v>
      </c>
      <c r="N331" s="60" t="inlineStr">
        <is>
          <t>Конвертация валют</t>
        </is>
      </c>
      <c r="O331" s="55" t="inlineStr">
        <is>
          <t>Технические</t>
        </is>
      </c>
      <c r="P331" s="55" t="inlineStr">
        <is>
          <t>Покупка/продажа валюты</t>
        </is>
      </c>
      <c r="Q331" s="55" t="inlineStr"/>
    </row>
    <row r="332">
      <c r="A332" s="55" t="inlineStr">
        <is>
          <t>28.07.2026</t>
        </is>
      </c>
      <c r="B332" s="55" t="inlineStr">
        <is>
          <t>ЦентрКредит</t>
        </is>
      </c>
      <c r="C332" s="55" t="inlineStr">
        <is>
          <t>USD</t>
        </is>
      </c>
      <c r="D332" s="55" t="inlineStr">
        <is>
          <t>6935</t>
        </is>
      </c>
      <c r="E332" s="55" t="inlineStr">
        <is>
          <t>Economic society Turkmen Demiryol Express</t>
        </is>
      </c>
      <c r="F332" s="55" t="inlineStr"/>
      <c r="G332" s="55" t="inlineStr">
        <is>
          <t>813</t>
        </is>
      </c>
      <c r="H332" s="56" t="inlineStr">
        <is>
          <t>TDE/D/38.26, 24.07.26, Invoice 257 For rail transport services</t>
        </is>
      </c>
      <c r="I332" s="57" t="n">
        <v>2080</v>
      </c>
      <c r="J332" s="57" t="n"/>
      <c r="K332" s="58" t="n">
        <v>480.72</v>
      </c>
      <c r="L332" s="57" t="n">
        <v>999897.6</v>
      </c>
      <c r="M332" s="57" t="n"/>
      <c r="N332" s="55" t="inlineStr">
        <is>
          <t>Внешняя операция</t>
        </is>
      </c>
      <c r="O332" s="55" t="inlineStr">
        <is>
          <t>Себестоимость</t>
        </is>
      </c>
      <c r="P332" s="55" t="inlineStr">
        <is>
          <t>Зарубежные перевозчики/экспедиторы</t>
        </is>
      </c>
      <c r="Q332" s="55" t="inlineStr">
        <is>
          <t>Turkmen Demiryol Express (Туркм.)</t>
        </is>
      </c>
    </row>
    <row r="333">
      <c r="A333" s="55" t="inlineStr">
        <is>
          <t>28.07.2026</t>
        </is>
      </c>
      <c r="B333" s="55" t="inlineStr">
        <is>
          <t>ЦентрКредит</t>
        </is>
      </c>
      <c r="C333" s="55" t="inlineStr">
        <is>
          <t>USD</t>
        </is>
      </c>
      <c r="D333" s="55" t="inlineStr">
        <is>
          <t>6935</t>
        </is>
      </c>
      <c r="E333" s="55" t="inlineStr">
        <is>
          <t>Акционерное Общество "Банк ЦентрКредит"</t>
        </is>
      </c>
      <c r="F333" s="55" t="inlineStr">
        <is>
          <t>980640000093</t>
        </is>
      </c>
      <c r="G333" s="55" t="inlineStr">
        <is>
          <t>213</t>
        </is>
      </c>
      <c r="H333" s="56" t="inlineStr">
        <is>
          <t>Покупка иностранной валюты TOD (день в день), ТОО "WayStar Group", БИН 240340014287. Заявка №648234. Дата вал. 28.07.2026. Покупка USD, продажа KZT. Курс сделки 478.82. Учетный курс 473.4. Прочее</t>
        </is>
      </c>
      <c r="I333" s="57" t="n"/>
      <c r="J333" s="57" t="n">
        <v>2080</v>
      </c>
      <c r="K333" s="58" t="n">
        <v>480.72</v>
      </c>
      <c r="L333" s="57" t="n"/>
      <c r="M333" s="57" t="n">
        <v>999897.6</v>
      </c>
      <c r="N333" s="60" t="inlineStr">
        <is>
          <t>Конвертация валют</t>
        </is>
      </c>
      <c r="O333" s="55" t="inlineStr">
        <is>
          <t>Технические</t>
        </is>
      </c>
      <c r="P333" s="55" t="inlineStr">
        <is>
          <t>Покупка/продажа валюты</t>
        </is>
      </c>
      <c r="Q333" s="55" t="inlineStr"/>
    </row>
    <row r="334">
      <c r="A334" s="55" t="inlineStr">
        <is>
          <t>30.07.2026</t>
        </is>
      </c>
      <c r="B334" s="55" t="inlineStr">
        <is>
          <t>ЦентрКредит</t>
        </is>
      </c>
      <c r="C334" s="55" t="inlineStr">
        <is>
          <t>USD</t>
        </is>
      </c>
      <c r="D334" s="55" t="inlineStr">
        <is>
          <t>6935</t>
        </is>
      </c>
      <c r="E334" s="55" t="inlineStr">
        <is>
          <t>LLC Sadko International Hospitality</t>
        </is>
      </c>
      <c r="F334" s="55" t="inlineStr"/>
      <c r="G334" s="55" t="inlineStr">
        <is>
          <t>871</t>
        </is>
      </c>
      <c r="H334" s="56" t="inlineStr">
        <is>
          <t>TASDI-095/2026, 08.07.26, invoice 48 dated 08.07.2026 Travel</t>
        </is>
      </c>
      <c r="I334" s="57" t="n">
        <v>3878</v>
      </c>
      <c r="J334" s="57" t="n"/>
      <c r="K334" s="58" t="n">
        <v>480.72</v>
      </c>
      <c r="L334" s="57" t="n">
        <v>1864232.16</v>
      </c>
      <c r="M334" s="57" t="n"/>
      <c r="N334" s="55" t="inlineStr">
        <is>
          <t>Внешняя операция</t>
        </is>
      </c>
      <c r="O334" s="55" t="inlineStr">
        <is>
          <t>ФОТ</t>
        </is>
      </c>
      <c r="P334" s="55" t="inlineStr">
        <is>
          <t>Командировки и подотчёт</t>
        </is>
      </c>
      <c r="Q334" s="55" t="inlineStr">
        <is>
          <t>LLC Sadko International (Узб.)</t>
        </is>
      </c>
    </row>
    <row r="335">
      <c r="A335" s="55" t="inlineStr">
        <is>
          <t>30.07.2026</t>
        </is>
      </c>
      <c r="B335" s="55" t="inlineStr">
        <is>
          <t>ЦентрКредит</t>
        </is>
      </c>
      <c r="C335" s="55" t="inlineStr">
        <is>
          <t>USD</t>
        </is>
      </c>
      <c r="D335" s="55" t="inlineStr">
        <is>
          <t>6935</t>
        </is>
      </c>
      <c r="E335" s="55" t="inlineStr">
        <is>
          <t>MEGA STOCK CO.,LTD</t>
        </is>
      </c>
      <c r="F335" s="55" t="inlineStr"/>
      <c r="G335" s="55" t="inlineStr">
        <is>
          <t>813</t>
        </is>
      </c>
      <c r="H335" s="56" t="inlineStr">
        <is>
          <t>MS/WSG/1805, 07.04.26, TRANSPORT AND FORWARDING SERVICES TO INVOICE MWG287 For rail transport services</t>
        </is>
      </c>
      <c r="I335" s="57" t="n">
        <v>99000</v>
      </c>
      <c r="J335" s="57" t="n"/>
      <c r="K335" s="58" t="n">
        <v>480.72</v>
      </c>
      <c r="L335" s="57" t="n">
        <v>47591280</v>
      </c>
      <c r="M335" s="57" t="n"/>
      <c r="N335" s="55" t="inlineStr">
        <is>
          <t>Внешняя операция</t>
        </is>
      </c>
      <c r="O335" s="55" t="inlineStr">
        <is>
          <t>Себестоимость</t>
        </is>
      </c>
      <c r="P335" s="55" t="inlineStr">
        <is>
          <t>Зарубежные перевозчики/экспедиторы</t>
        </is>
      </c>
      <c r="Q335" s="55" t="inlineStr">
        <is>
          <t>MEGA STOCK CO. LTD (Таиланд)</t>
        </is>
      </c>
    </row>
    <row r="336">
      <c r="A336" s="55" t="inlineStr">
        <is>
          <t>30.07.2026</t>
        </is>
      </c>
      <c r="B336" s="55" t="inlineStr">
        <is>
          <t>ЦентрКредит</t>
        </is>
      </c>
      <c r="C336" s="55" t="inlineStr">
        <is>
          <t>USD</t>
        </is>
      </c>
      <c r="D336" s="55" t="inlineStr">
        <is>
          <t>6935</t>
        </is>
      </c>
      <c r="E336" s="55" t="inlineStr">
        <is>
          <t>Акционерное Общество "Банк ЦентрКредит"</t>
        </is>
      </c>
      <c r="F336" s="55" t="inlineStr">
        <is>
          <t>980640000093</t>
        </is>
      </c>
      <c r="G336" s="55" t="inlineStr">
        <is>
          <t>213</t>
        </is>
      </c>
      <c r="H336" s="56" t="inlineStr">
        <is>
          <t>Покупка иностранной валюты TOD (день в день), ТОО "WayStar Group", БИН 240340014287. Заявка №651483. Дата вал. 30.07.2026. Покупка USD, продажа KZT. Курс сделки 475.83. Учетный курс 477.17. Прочее</t>
        </is>
      </c>
      <c r="I336" s="57" t="n"/>
      <c r="J336" s="57" t="n">
        <v>3878</v>
      </c>
      <c r="K336" s="58" t="n">
        <v>480.72</v>
      </c>
      <c r="L336" s="57" t="n"/>
      <c r="M336" s="57" t="n">
        <v>1864232.16</v>
      </c>
      <c r="N336" s="60" t="inlineStr">
        <is>
          <t>Конвертация валют</t>
        </is>
      </c>
      <c r="O336" s="55" t="inlineStr">
        <is>
          <t>Технические</t>
        </is>
      </c>
      <c r="P336" s="55" t="inlineStr">
        <is>
          <t>Покупка/продажа валюты</t>
        </is>
      </c>
      <c r="Q336" s="55" t="inlineStr"/>
    </row>
    <row r="337">
      <c r="A337" s="55" t="inlineStr">
        <is>
          <t>30.07.2026</t>
        </is>
      </c>
      <c r="B337" s="55" t="inlineStr">
        <is>
          <t>ЦентрКредит</t>
        </is>
      </c>
      <c r="C337" s="55" t="inlineStr">
        <is>
          <t>USD</t>
        </is>
      </c>
      <c r="D337" s="55" t="inlineStr">
        <is>
          <t>6935</t>
        </is>
      </c>
      <c r="E337" s="55" t="inlineStr">
        <is>
          <t>Акционерное Общество "Банк ЦентрКредит"</t>
        </is>
      </c>
      <c r="F337" s="55" t="inlineStr">
        <is>
          <t>980640000093</t>
        </is>
      </c>
      <c r="G337" s="55" t="inlineStr">
        <is>
          <t>213</t>
        </is>
      </c>
      <c r="H337" s="56" t="inlineStr">
        <is>
          <t>Покупка иностранной валюты TOD (день в день), ТОО "WayStar Group", БИН 240340014287. Заявка №651466. Дата вал. 30.07.2026. Покупка USD, продажа KZT. Курс сделки 475.81. Учетный курс 477.17. Получение услуг</t>
        </is>
      </c>
      <c r="I337" s="57" t="n"/>
      <c r="J337" s="57" t="n">
        <v>99000</v>
      </c>
      <c r="K337" s="58" t="n">
        <v>480.72</v>
      </c>
      <c r="L337" s="57" t="n"/>
      <c r="M337" s="57" t="n">
        <v>47591280</v>
      </c>
      <c r="N337" s="60" t="inlineStr">
        <is>
          <t>Конвертация валют</t>
        </is>
      </c>
      <c r="O337" s="55" t="inlineStr">
        <is>
          <t>Технические</t>
        </is>
      </c>
      <c r="P337" s="55" t="inlineStr">
        <is>
          <t>Покупка/продажа валюты</t>
        </is>
      </c>
      <c r="Q337" s="55" t="inlineStr"/>
    </row>
    <row r="338">
      <c r="A338" s="55" t="inlineStr">
        <is>
          <t>31.07.2026</t>
        </is>
      </c>
      <c r="B338" s="55" t="inlineStr">
        <is>
          <t>ЦентрКредит</t>
        </is>
      </c>
      <c r="C338" s="55" t="inlineStr">
        <is>
          <t>USD</t>
        </is>
      </c>
      <c r="D338" s="55" t="inlineStr">
        <is>
          <t>6935</t>
        </is>
      </c>
      <c r="E338" s="55" t="inlineStr">
        <is>
          <t>LLC Sadko International Hospitality</t>
        </is>
      </c>
      <c r="F338" s="55" t="inlineStr"/>
      <c r="G338" s="55" t="inlineStr">
        <is>
          <t>871</t>
        </is>
      </c>
      <c r="H338" s="56" t="inlineStr">
        <is>
          <t>TASDI-095/2026, 20.07.08, invoice 60 Travel</t>
        </is>
      </c>
      <c r="I338" s="57" t="n">
        <v>1188</v>
      </c>
      <c r="J338" s="57" t="n"/>
      <c r="K338" s="58" t="n">
        <v>480.72</v>
      </c>
      <c r="L338" s="57" t="n">
        <v>571095.36</v>
      </c>
      <c r="M338" s="57" t="n"/>
      <c r="N338" s="55" t="inlineStr">
        <is>
          <t>Внешняя операция</t>
        </is>
      </c>
      <c r="O338" s="55" t="inlineStr">
        <is>
          <t>ФОТ</t>
        </is>
      </c>
      <c r="P338" s="55" t="inlineStr">
        <is>
          <t>Командировки и подотчёт</t>
        </is>
      </c>
      <c r="Q338" s="55" t="inlineStr">
        <is>
          <t>LLC Sadko International (Узб.)</t>
        </is>
      </c>
    </row>
    <row r="339">
      <c r="A339" s="55" t="inlineStr">
        <is>
          <t>31.07.2026</t>
        </is>
      </c>
      <c r="B339" s="55" t="inlineStr">
        <is>
          <t>ЦентрКредит</t>
        </is>
      </c>
      <c r="C339" s="55" t="inlineStr">
        <is>
          <t>USD</t>
        </is>
      </c>
      <c r="D339" s="55" t="inlineStr">
        <is>
          <t>6935</t>
        </is>
      </c>
      <c r="E339" s="55" t="inlineStr">
        <is>
          <t>Акционерное Общество "Банк ЦентрКредит"</t>
        </is>
      </c>
      <c r="F339" s="55" t="inlineStr">
        <is>
          <t>980640000093</t>
        </is>
      </c>
      <c r="G339" s="55" t="inlineStr">
        <is>
          <t>213</t>
        </is>
      </c>
      <c r="H339" s="56" t="inlineStr">
        <is>
          <t>Покупка иностранной валюты TOD (день в день), ТОО "WayStar Group", БИН 240340014287. Заявка №654353. Дата вал. 31.07.2026. Покупка USD, продажа KZT. Курс сделки 474.59. Учетный курс 474.63. Прочее</t>
        </is>
      </c>
      <c r="I339" s="57" t="n"/>
      <c r="J339" s="57" t="n">
        <v>1188</v>
      </c>
      <c r="K339" s="58" t="n">
        <v>480.72</v>
      </c>
      <c r="L339" s="57" t="n"/>
      <c r="M339" s="57" t="n">
        <v>571095.36</v>
      </c>
      <c r="N339" s="60" t="inlineStr">
        <is>
          <t>Конвертация валют</t>
        </is>
      </c>
      <c r="O339" s="55" t="inlineStr">
        <is>
          <t>Технические</t>
        </is>
      </c>
      <c r="P339" s="55" t="inlineStr">
        <is>
          <t>Покупка/продажа валюты</t>
        </is>
      </c>
      <c r="Q339" s="55" t="inlineStr"/>
    </row>
    <row r="340">
      <c r="A340" s="55" t="inlineStr">
        <is>
          <t>07.07.2026</t>
        </is>
      </c>
      <c r="B340" s="55" t="inlineStr">
        <is>
          <t>ЦентрКредит</t>
        </is>
      </c>
      <c r="C340" s="55" t="inlineStr">
        <is>
          <t>RUB</t>
        </is>
      </c>
      <c r="D340" s="55" t="inlineStr">
        <is>
          <t>8368</t>
        </is>
      </c>
      <c r="E340" s="55" t="inlineStr">
        <is>
          <t>ООО ТрансАльянс Запад</t>
        </is>
      </c>
      <c r="F340" s="55" t="inlineStr"/>
      <c r="G340" s="55" t="inlineStr">
        <is>
          <t>813</t>
        </is>
      </c>
      <c r="H340" s="56" t="inlineStr">
        <is>
          <t>{VO20100} 15/09-2025-'WSG', 15.09.25, Счет на оплату 217, 233, 229, 224 За услуги жд транспорта</t>
        </is>
      </c>
      <c r="I340" s="57" t="n">
        <v>8920464</v>
      </c>
      <c r="J340" s="57" t="n"/>
      <c r="K340" s="58" t="n">
        <v>6.14</v>
      </c>
      <c r="L340" s="57" t="n">
        <v>54771648.96</v>
      </c>
      <c r="M340" s="57" t="n"/>
      <c r="N340" s="55" t="inlineStr">
        <is>
          <t>Внешняя операция</t>
        </is>
      </c>
      <c r="O340" s="55" t="inlineStr">
        <is>
          <t>Себестоимость</t>
        </is>
      </c>
      <c r="P340" s="55" t="inlineStr">
        <is>
          <t>Зарубежные перевозчики/экспедиторы</t>
        </is>
      </c>
      <c r="Q340" s="55" t="inlineStr">
        <is>
          <t>ООО «ТрансАльянс Запад» (РФ)</t>
        </is>
      </c>
    </row>
    <row r="341">
      <c r="A341" s="55" t="inlineStr">
        <is>
          <t>07.07.2026</t>
        </is>
      </c>
      <c r="B341" s="55" t="inlineStr">
        <is>
          <t>ЦентрКредит</t>
        </is>
      </c>
      <c r="C341" s="55" t="inlineStr">
        <is>
          <t>RUB</t>
        </is>
      </c>
      <c r="D341" s="55" t="inlineStr">
        <is>
          <t>8368</t>
        </is>
      </c>
      <c r="E341" s="55" t="inlineStr">
        <is>
          <t>Акционерное Общество "Банк ЦентрКредит"</t>
        </is>
      </c>
      <c r="F341" s="55" t="inlineStr">
        <is>
          <t>980640000093</t>
        </is>
      </c>
      <c r="G341" s="55" t="inlineStr">
        <is>
          <t>213</t>
        </is>
      </c>
      <c r="H341" s="56" t="inlineStr">
        <is>
          <t>Покупка иностранной валюты TOD (день в день), ТОО "WayStar Group", БИН 240340014287. Заявка №619618. Дата вал. 07.07.2026. Покупка RUB, продажа KZT. Курс сделки 6.2573. Учетный курс 6.11. Получение услуг</t>
        </is>
      </c>
      <c r="I341" s="57" t="n"/>
      <c r="J341" s="57" t="n">
        <v>8920464</v>
      </c>
      <c r="K341" s="58" t="n">
        <v>6.14</v>
      </c>
      <c r="L341" s="57" t="n"/>
      <c r="M341" s="57" t="n">
        <v>54771648.96</v>
      </c>
      <c r="N341" s="60" t="inlineStr">
        <is>
          <t>Конвертация валют</t>
        </is>
      </c>
      <c r="O341" s="55" t="inlineStr">
        <is>
          <t>Технические</t>
        </is>
      </c>
      <c r="P341" s="55" t="inlineStr">
        <is>
          <t>Покупка/продажа валюты</t>
        </is>
      </c>
      <c r="Q341" s="55" t="inlineStr"/>
    </row>
    <row r="342">
      <c r="A342" s="55" t="inlineStr">
        <is>
          <t>30.07.2026</t>
        </is>
      </c>
      <c r="B342" s="55" t="inlineStr">
        <is>
          <t>ЦентрКредит</t>
        </is>
      </c>
      <c r="C342" s="55" t="inlineStr">
        <is>
          <t>RUB</t>
        </is>
      </c>
      <c r="D342" s="55" t="inlineStr">
        <is>
          <t>8368</t>
        </is>
      </c>
      <c r="E342" s="55" t="inlineStr">
        <is>
          <t>ООО ТрансАльянс Запад</t>
        </is>
      </c>
      <c r="F342" s="55" t="inlineStr"/>
      <c r="G342" s="55" t="inlineStr">
        <is>
          <t>813</t>
        </is>
      </c>
      <c r="H342" s="56" t="inlineStr">
        <is>
          <t>{VO20100} 15/09-2025-'WSG', 15.09.25, Счет на оплату 248, 256, 264 За услуги жд транспорта</t>
        </is>
      </c>
      <c r="I342" s="57" t="n">
        <v>9291520</v>
      </c>
      <c r="J342" s="57" t="n"/>
      <c r="K342" s="58" t="n">
        <v>6.14</v>
      </c>
      <c r="L342" s="57" t="n">
        <v>57049932.8</v>
      </c>
      <c r="M342" s="57" t="n"/>
      <c r="N342" s="55" t="inlineStr">
        <is>
          <t>Внешняя операция</t>
        </is>
      </c>
      <c r="O342" s="55" t="inlineStr">
        <is>
          <t>Себестоимость</t>
        </is>
      </c>
      <c r="P342" s="55" t="inlineStr">
        <is>
          <t>Зарубежные перевозчики/экспедиторы</t>
        </is>
      </c>
      <c r="Q342" s="55" t="inlineStr">
        <is>
          <t>ООО «ТрансАльянс Запад» (РФ)</t>
        </is>
      </c>
    </row>
    <row r="343">
      <c r="A343" s="55" t="inlineStr">
        <is>
          <t>30.07.2026</t>
        </is>
      </c>
      <c r="B343" s="55" t="inlineStr">
        <is>
          <t>ЦентрКредит</t>
        </is>
      </c>
      <c r="C343" s="55" t="inlineStr">
        <is>
          <t>RUB</t>
        </is>
      </c>
      <c r="D343" s="55" t="inlineStr">
        <is>
          <t>8368</t>
        </is>
      </c>
      <c r="E343" s="55" t="inlineStr">
        <is>
          <t>Акционерное Общество "Банк ЦентрКредит"</t>
        </is>
      </c>
      <c r="F343" s="55" t="inlineStr">
        <is>
          <t>980640000093</t>
        </is>
      </c>
      <c r="G343" s="55" t="inlineStr">
        <is>
          <t>213</t>
        </is>
      </c>
      <c r="H343" s="56" t="inlineStr">
        <is>
          <t>Покупка иностранной валюты TOD (день в день), ТОО "WayStar Group", БИН 240340014287. Заявка №651603. Дата вал. 30.07.2026. Покупка RUB, продажа KZT. Курс сделки 6.0237. Учетный курс 6.01. Получение услуг</t>
        </is>
      </c>
      <c r="I343" s="57" t="n"/>
      <c r="J343" s="57" t="n">
        <v>9291520</v>
      </c>
      <c r="K343" s="58" t="n">
        <v>6.14</v>
      </c>
      <c r="L343" s="57" t="n"/>
      <c r="M343" s="57" t="n">
        <v>57049932.8</v>
      </c>
      <c r="N343" s="60" t="inlineStr">
        <is>
          <t>Конвертация валют</t>
        </is>
      </c>
      <c r="O343" s="55" t="inlineStr">
        <is>
          <t>Технические</t>
        </is>
      </c>
      <c r="P343" s="55" t="inlineStr">
        <is>
          <t>Покупка/продажа валюты</t>
        </is>
      </c>
      <c r="Q343" s="55" t="inlineStr"/>
    </row>
    <row r="344">
      <c r="A344" s="55" t="inlineStr">
        <is>
          <t>01.07.2026</t>
        </is>
      </c>
      <c r="B344" s="55" t="inlineStr">
        <is>
          <t>Bank RBK</t>
        </is>
      </c>
      <c r="C344" s="55" t="inlineStr">
        <is>
          <t>KZT</t>
        </is>
      </c>
      <c r="D344" s="55" t="inlineStr">
        <is>
          <t>0001</t>
        </is>
      </c>
      <c r="E344" s="55" t="inlineStr">
        <is>
          <t>АО "Банк "Bank RBK"</t>
        </is>
      </c>
      <c r="F344" s="55" t="inlineStr">
        <is>
          <t>920440001102</t>
        </is>
      </c>
      <c r="G344" s="55" t="inlineStr"/>
      <c r="H344" s="56" t="inlineStr">
        <is>
          <t>Выплата вознаграждения по вкладу ТОО  "WayStar Group", согласно договору банковского вклада 2025-211370 от 26.05.2026 (удержан подоходный налог у источника выплаты на сумму 184.93 KZT).</t>
        </is>
      </c>
      <c r="I344" s="57" t="n"/>
      <c r="J344" s="57" t="n">
        <v>1047.95</v>
      </c>
      <c r="K344" s="58" t="n">
        <v>1</v>
      </c>
      <c r="L344" s="57" t="n"/>
      <c r="M344" s="57" t="n">
        <v>1047.95</v>
      </c>
      <c r="N344" s="55" t="inlineStr">
        <is>
          <t>Внешняя операция</t>
        </is>
      </c>
      <c r="O344" s="55" t="inlineStr">
        <is>
          <t>Финансовые</t>
        </is>
      </c>
      <c r="P344" s="55" t="inlineStr">
        <is>
          <t>Проценты по депозиту</t>
        </is>
      </c>
      <c r="Q344" s="55" t="inlineStr">
        <is>
          <t>АО "Банк "Bank RBK"</t>
        </is>
      </c>
    </row>
    <row r="345">
      <c r="A345" s="55" t="inlineStr">
        <is>
          <t>01.07.2026</t>
        </is>
      </c>
      <c r="B345" s="55" t="inlineStr">
        <is>
          <t>Bank RBK</t>
        </is>
      </c>
      <c r="C345" s="55" t="inlineStr">
        <is>
          <t>KZT</t>
        </is>
      </c>
      <c r="D345" s="55" t="inlineStr">
        <is>
          <t>0001</t>
        </is>
      </c>
      <c r="E345" s="55" t="inlineStr">
        <is>
          <t>ТОО Kaz-Smart Logistics</t>
        </is>
      </c>
      <c r="F345" s="55" t="inlineStr">
        <is>
          <t>181140003372</t>
        </is>
      </c>
      <c r="G345" s="55" t="inlineStr"/>
      <c r="H345" s="56" t="inlineStr">
        <is>
          <t>оплата на основании Договора №2026/06-650ТЭУ от 22.06.2026г, согласна счета на оплату №174 от 22.06.2026г, за оперирование вагонов Платежи за услуги железнодорожного транспорта,</t>
        </is>
      </c>
      <c r="I345" s="57" t="n"/>
      <c r="J345" s="57" t="n">
        <v>900000</v>
      </c>
      <c r="K345" s="58" t="n">
        <v>1</v>
      </c>
      <c r="L345" s="57" t="n"/>
      <c r="M345" s="57" t="n">
        <v>900000</v>
      </c>
      <c r="N345" s="55" t="inlineStr">
        <is>
          <t>Внешняя операция</t>
        </is>
      </c>
      <c r="O345" s="55" t="inlineStr">
        <is>
          <t>Выручка</t>
        </is>
      </c>
      <c r="P345" s="55" t="inlineStr">
        <is>
          <t>Операционная выручка (ТЭО, вагоны)</t>
        </is>
      </c>
      <c r="Q345" s="55" t="inlineStr">
        <is>
          <t>ТОО Kaz-Smart Logistics</t>
        </is>
      </c>
    </row>
    <row r="346">
      <c r="A346" s="55" t="inlineStr">
        <is>
          <t>01.07.2026</t>
        </is>
      </c>
      <c r="B346" s="55" t="inlineStr">
        <is>
          <t>Bank RBK</t>
        </is>
      </c>
      <c r="C346" s="55" t="inlineStr">
        <is>
          <t>KZT</t>
        </is>
      </c>
      <c r="D346" s="55" t="inlineStr">
        <is>
          <t>0001</t>
        </is>
      </c>
      <c r="E346" s="55" t="inlineStr">
        <is>
          <t>ТОО "AsstrА Almaty" (АсстрА Алматы)</t>
        </is>
      </c>
      <c r="F346" s="55" t="inlineStr">
        <is>
          <t>061140001262</t>
        </is>
      </c>
      <c r="G346" s="55" t="inlineStr"/>
      <c r="H346" s="56" t="inlineStr">
        <is>
          <t>За услуги. Оперирование вагонами. Согласно счету 152 от 25.06.2026.</t>
        </is>
      </c>
      <c r="I346" s="57" t="n"/>
      <c r="J346" s="57" t="n">
        <v>921375</v>
      </c>
      <c r="K346" s="58" t="n">
        <v>1</v>
      </c>
      <c r="L346" s="57" t="n"/>
      <c r="M346" s="57" t="n">
        <v>921375</v>
      </c>
      <c r="N346" s="55" t="inlineStr">
        <is>
          <t>Внешняя операция</t>
        </is>
      </c>
      <c r="O346" s="55" t="inlineStr">
        <is>
          <t>Выручка</t>
        </is>
      </c>
      <c r="P346" s="55" t="inlineStr">
        <is>
          <t>Операционная выручка (ТЭО, вагоны)</t>
        </is>
      </c>
      <c r="Q346" s="55" t="inlineStr">
        <is>
          <t>ТОО "AsstrА Almaty" (АсстрА Алматы)</t>
        </is>
      </c>
    </row>
    <row r="347">
      <c r="A347" s="55" t="inlineStr">
        <is>
          <t>01.07.2026</t>
        </is>
      </c>
      <c r="B347" s="55" t="inlineStr">
        <is>
          <t>Bank RBK</t>
        </is>
      </c>
      <c r="C347" s="55" t="inlineStr">
        <is>
          <t>KZT</t>
        </is>
      </c>
      <c r="D347" s="55" t="inlineStr">
        <is>
          <t>0001</t>
        </is>
      </c>
      <c r="E347" s="55" t="inlineStr">
        <is>
          <t>АО "Банк "Bank RBK"</t>
        </is>
      </c>
      <c r="F347" s="55" t="inlineStr">
        <is>
          <t>920440001102</t>
        </is>
      </c>
      <c r="G347" s="55" t="inlineStr"/>
      <c r="H347" s="56" t="inlineStr">
        <is>
          <t>Выплата вознаграждения по вкладу ТОО  "WayStar Group", согласно договору банковского вклада 2025-211370 от 26.05.2026 (удержан подоходный налог у источника выплаты на сумму 462328.76 KZT).</t>
        </is>
      </c>
      <c r="I347" s="57" t="n"/>
      <c r="J347" s="57" t="n">
        <v>2619863.02</v>
      </c>
      <c r="K347" s="58" t="n">
        <v>1</v>
      </c>
      <c r="L347" s="57" t="n"/>
      <c r="M347" s="57" t="n">
        <v>2619863.02</v>
      </c>
      <c r="N347" s="55" t="inlineStr">
        <is>
          <t>Внешняя операция</t>
        </is>
      </c>
      <c r="O347" s="55" t="inlineStr">
        <is>
          <t>Финансовые</t>
        </is>
      </c>
      <c r="P347" s="55" t="inlineStr">
        <is>
          <t>Проценты по депозиту</t>
        </is>
      </c>
      <c r="Q347" s="55" t="inlineStr">
        <is>
          <t>АО "Банк "Bank RBK"</t>
        </is>
      </c>
    </row>
    <row r="348">
      <c r="A348" s="55" t="inlineStr">
        <is>
          <t>01.07.2026</t>
        </is>
      </c>
      <c r="B348" s="55" t="inlineStr">
        <is>
          <t>Bank RBK</t>
        </is>
      </c>
      <c r="C348" s="55" t="inlineStr">
        <is>
          <t>KZT</t>
        </is>
      </c>
      <c r="D348" s="55" t="inlineStr">
        <is>
          <t>0001</t>
        </is>
      </c>
      <c r="E348" s="55" t="inlineStr">
        <is>
          <t>ТОО Altyn Shyghys</t>
        </is>
      </c>
      <c r="F348" s="55" t="inlineStr">
        <is>
          <t>190140000545</t>
        </is>
      </c>
      <c r="G348" s="55" t="inlineStr"/>
      <c r="H348" s="56" t="inlineStr">
        <is>
          <t>Оплата за услуги предоставление цистерн по счету 168 от 29.06.2026 Без налога (НДС) Договор: 2026/01-04 ТЭУ от 13.01.2026 Платежи за услуги железнодорожного транспорта,</t>
        </is>
      </c>
      <c r="I348" s="57" t="n"/>
      <c r="J348" s="57" t="n">
        <v>10802366.25</v>
      </c>
      <c r="K348" s="58" t="n">
        <v>1</v>
      </c>
      <c r="L348" s="57" t="n"/>
      <c r="M348" s="57" t="n">
        <v>10802366.25</v>
      </c>
      <c r="N348" s="55" t="inlineStr">
        <is>
          <t>Внешняя операция</t>
        </is>
      </c>
      <c r="O348" s="55" t="inlineStr">
        <is>
          <t>Выручка</t>
        </is>
      </c>
      <c r="P348" s="55" t="inlineStr">
        <is>
          <t>Операционная выручка (ТЭО, вагоны)</t>
        </is>
      </c>
      <c r="Q348" s="55" t="inlineStr">
        <is>
          <t>ТОО «Altyn Shyghys»</t>
        </is>
      </c>
    </row>
    <row r="349">
      <c r="A349" s="55" t="inlineStr">
        <is>
          <t>01.07.2026</t>
        </is>
      </c>
      <c r="B349" s="55" t="inlineStr">
        <is>
          <t>Bank RBK</t>
        </is>
      </c>
      <c r="C349" s="55" t="inlineStr">
        <is>
          <t>KZT</t>
        </is>
      </c>
      <c r="D349" s="55" t="inlineStr">
        <is>
          <t>0001</t>
        </is>
      </c>
      <c r="E349" s="55" t="inlineStr">
        <is>
          <t>ТОО Altyn Shyghys</t>
        </is>
      </c>
      <c r="F349" s="55" t="inlineStr">
        <is>
          <t>190140000545</t>
        </is>
      </c>
      <c r="G349" s="55" t="inlineStr"/>
      <c r="H349" s="56" t="inlineStr">
        <is>
          <t>Оплата за услуги предоставление цистерн по счету 168 от 29.06.2026 Без налога (НДС) Договор: 2026/01-04 ТЭУ от 13.01.2026 Платежи за услуги железнодорожного транспорта,</t>
        </is>
      </c>
      <c r="I349" s="57" t="n"/>
      <c r="J349" s="57" t="n">
        <v>15000000</v>
      </c>
      <c r="K349" s="58" t="n">
        <v>1</v>
      </c>
      <c r="L349" s="57" t="n"/>
      <c r="M349" s="57" t="n">
        <v>15000000</v>
      </c>
      <c r="N349" s="55" t="inlineStr">
        <is>
          <t>Внешняя операция</t>
        </is>
      </c>
      <c r="O349" s="55" t="inlineStr">
        <is>
          <t>Выручка</t>
        </is>
      </c>
      <c r="P349" s="55" t="inlineStr">
        <is>
          <t>Операционная выручка (ТЭО, вагоны)</t>
        </is>
      </c>
      <c r="Q349" s="55" t="inlineStr">
        <is>
          <t>ТОО «Altyn Shyghys»</t>
        </is>
      </c>
    </row>
    <row r="350">
      <c r="A350" s="55" t="inlineStr">
        <is>
          <t>01.07.2026</t>
        </is>
      </c>
      <c r="B350" s="55" t="inlineStr">
        <is>
          <t>Bank RBK</t>
        </is>
      </c>
      <c r="C350" s="55" t="inlineStr">
        <is>
          <t>KZT</t>
        </is>
      </c>
      <c r="D350" s="55" t="inlineStr">
        <is>
          <t>0001</t>
        </is>
      </c>
      <c r="E350" s="55" t="inlineStr">
        <is>
          <t>ТОО "Экспорт-М"</t>
        </is>
      </c>
      <c r="F350" s="55" t="inlineStr">
        <is>
          <t>231040000584</t>
        </is>
      </c>
      <c r="G350" s="55" t="inlineStr"/>
      <c r="H350" s="56" t="inlineStr">
        <is>
          <t>Оплата согласно счета № 170 от 29.06.2026 г,.Сумма 16 860 000-00 те?ге без НДС Платежи за услуги железнодорожного транспорта,</t>
        </is>
      </c>
      <c r="I350" s="57" t="n"/>
      <c r="J350" s="57" t="n">
        <v>16860000</v>
      </c>
      <c r="K350" s="58" t="n">
        <v>1</v>
      </c>
      <c r="L350" s="57" t="n"/>
      <c r="M350" s="57" t="n">
        <v>16860000</v>
      </c>
      <c r="N350" s="55" t="inlineStr">
        <is>
          <t>Внешняя операция</t>
        </is>
      </c>
      <c r="O350" s="55" t="inlineStr">
        <is>
          <t>Выручка</t>
        </is>
      </c>
      <c r="P350" s="55" t="inlineStr">
        <is>
          <t>Операционная выручка (ТЭО, вагоны)</t>
        </is>
      </c>
      <c r="Q350" s="55" t="inlineStr">
        <is>
          <t>ТОО "Экспорт-М"</t>
        </is>
      </c>
    </row>
    <row r="351">
      <c r="A351" s="55" t="inlineStr">
        <is>
          <t>01.07.2026</t>
        </is>
      </c>
      <c r="B351" s="55" t="inlineStr">
        <is>
          <t>Bank RBK</t>
        </is>
      </c>
      <c r="C351" s="55" t="inlineStr">
        <is>
          <t>KZT</t>
        </is>
      </c>
      <c r="D351" s="55" t="inlineStr">
        <is>
          <t>0001</t>
        </is>
      </c>
      <c r="E351" s="55" t="inlineStr">
        <is>
          <t>ТОО "QAZAQ-ASTYQ GROUP"</t>
        </is>
      </c>
      <c r="F351" s="55" t="inlineStr">
        <is>
          <t>180240007079</t>
        </is>
      </c>
      <c r="G351" s="55" t="inlineStr"/>
      <c r="H351" s="56" t="inlineStr">
        <is>
          <t>Оплата по ТЭО (предоставление цистерн) договор №ТЭО 573/2024/ОУ от 26.11.2024г. Счет №167 от 29.06.2026г. 50000000-00 тенге. В т.ч. НДС (16%) 6896551-72 тенге Платежи за услуги железнодорожного транспорта</t>
        </is>
      </c>
      <c r="I351" s="57" t="n"/>
      <c r="J351" s="57" t="n">
        <v>50000000</v>
      </c>
      <c r="K351" s="58" t="n">
        <v>1</v>
      </c>
      <c r="L351" s="57" t="n"/>
      <c r="M351" s="57" t="n">
        <v>50000000</v>
      </c>
      <c r="N351" s="55" t="inlineStr">
        <is>
          <t>Внешняя операция</t>
        </is>
      </c>
      <c r="O351" s="55" t="inlineStr">
        <is>
          <t>Выручка</t>
        </is>
      </c>
      <c r="P351" s="55" t="inlineStr">
        <is>
          <t>Операционная выручка (ТЭО, вагоны)</t>
        </is>
      </c>
      <c r="Q351" s="55" t="inlineStr">
        <is>
          <t>ТОО «QAZAQ-ASTYQ GROUP»</t>
        </is>
      </c>
    </row>
    <row r="352">
      <c r="A352" s="55" t="inlineStr">
        <is>
          <t>01.07.2026</t>
        </is>
      </c>
      <c r="B352" s="55" t="inlineStr">
        <is>
          <t>Bank RBK</t>
        </is>
      </c>
      <c r="C352" s="55" t="inlineStr">
        <is>
          <t>KZT</t>
        </is>
      </c>
      <c r="D352" s="55" t="inlineStr">
        <is>
          <t>0001</t>
        </is>
      </c>
      <c r="E352" s="55" t="inlineStr">
        <is>
          <t>ТОО "QAZAQ-ASTYQ GROUP"</t>
        </is>
      </c>
      <c r="F352" s="55" t="inlineStr">
        <is>
          <t>180240007079</t>
        </is>
      </c>
      <c r="G352" s="55" t="inlineStr"/>
      <c r="H352" s="56" t="inlineStr">
        <is>
          <t>Оплата по ТЭО (предоставление цистерн) РАФ договор №ТЭО 573/2024/ОУ от 26.11.2024г. Счет №167 от 29.06.2026 57819620-00 тенге. В т.ч. НДС (16%) 7975120-00 тенге Платежи за услуги железнодорожного транспорта</t>
        </is>
      </c>
      <c r="I352" s="57" t="n"/>
      <c r="J352" s="57" t="n">
        <v>57819620</v>
      </c>
      <c r="K352" s="58" t="n">
        <v>1</v>
      </c>
      <c r="L352" s="57" t="n"/>
      <c r="M352" s="57" t="n">
        <v>57819620</v>
      </c>
      <c r="N352" s="55" t="inlineStr">
        <is>
          <t>Внешняя операция</t>
        </is>
      </c>
      <c r="O352" s="55" t="inlineStr">
        <is>
          <t>Выручка</t>
        </is>
      </c>
      <c r="P352" s="55" t="inlineStr">
        <is>
          <t>Операционная выручка (ТЭО, вагоны)</t>
        </is>
      </c>
      <c r="Q352" s="55" t="inlineStr">
        <is>
          <t>ТОО «QAZAQ-ASTYQ GROUP»</t>
        </is>
      </c>
    </row>
    <row r="353">
      <c r="A353" s="55" t="inlineStr">
        <is>
          <t>01.07.2026</t>
        </is>
      </c>
      <c r="B353" s="55" t="inlineStr">
        <is>
          <t>Bank RBK</t>
        </is>
      </c>
      <c r="C353" s="55" t="inlineStr">
        <is>
          <t>KZT</t>
        </is>
      </c>
      <c r="D353" s="55" t="inlineStr">
        <is>
          <t>0001</t>
        </is>
      </c>
      <c r="E353" s="55" t="inlineStr">
        <is>
          <t>ФИЛИАЛ АО "BANK RBK" В Г.АСТАНА</t>
        </is>
      </c>
      <c r="F353" s="55" t="inlineStr">
        <is>
          <t>111141019679</t>
        </is>
      </c>
      <c r="G353" s="55" t="inlineStr"/>
      <c r="H353" s="56" t="inlineStr">
        <is>
          <t>Комиссия Банка за переводные операции по платежному документу № 1185 от 01/07/2026, в т.ч. НДС.</t>
        </is>
      </c>
      <c r="I353" s="57" t="n">
        <v>645.2</v>
      </c>
      <c r="J353" s="57" t="n"/>
      <c r="K353" s="58" t="n">
        <v>1</v>
      </c>
      <c r="L353" s="57" t="n">
        <v>645.2</v>
      </c>
      <c r="M353" s="57" t="n"/>
      <c r="N353" s="55" t="inlineStr">
        <is>
          <t>Внешняя операция</t>
        </is>
      </c>
      <c r="O353" s="55" t="inlineStr">
        <is>
          <t>Финансовые</t>
        </is>
      </c>
      <c r="P353" s="55" t="inlineStr">
        <is>
          <t>Банковские комиссии</t>
        </is>
      </c>
      <c r="Q353" s="55" t="inlineStr">
        <is>
          <t>ФИЛИАЛ АО "BANK RBK" В Г.АСТАНА</t>
        </is>
      </c>
    </row>
    <row r="354">
      <c r="A354" s="55" t="inlineStr">
        <is>
          <t>01.07.2026</t>
        </is>
      </c>
      <c r="B354" s="55" t="inlineStr">
        <is>
          <t>Bank RBK</t>
        </is>
      </c>
      <c r="C354" s="55" t="inlineStr">
        <is>
          <t>KZT</t>
        </is>
      </c>
      <c r="D354" s="55" t="inlineStr">
        <is>
          <t>0001</t>
        </is>
      </c>
      <c r="E354" s="55" t="inlineStr">
        <is>
          <t>ФИЛИАЛ АО "BANK RBK" В Г.АСТАНА</t>
        </is>
      </c>
      <c r="F354" s="55" t="inlineStr">
        <is>
          <t>111141019679</t>
        </is>
      </c>
      <c r="G354" s="55" t="inlineStr"/>
      <c r="H354" s="56" t="inlineStr">
        <is>
          <t>Комиссия Банка за переводные операции по платежному документу № 1185 от 01/07/2026, в т.ч. НДС.</t>
        </is>
      </c>
      <c r="I354" s="57" t="n">
        <v>654.8</v>
      </c>
      <c r="J354" s="57" t="n"/>
      <c r="K354" s="58" t="n">
        <v>1</v>
      </c>
      <c r="L354" s="57" t="n">
        <v>654.8</v>
      </c>
      <c r="M354" s="57" t="n"/>
      <c r="N354" s="55" t="inlineStr">
        <is>
          <t>Внешняя операция</t>
        </is>
      </c>
      <c r="O354" s="55" t="inlineStr">
        <is>
          <t>Финансовые</t>
        </is>
      </c>
      <c r="P354" s="55" t="inlineStr">
        <is>
          <t>Банковские комиссии</t>
        </is>
      </c>
      <c r="Q354" s="55" t="inlineStr">
        <is>
          <t>ФИЛИАЛ АО "BANK RBK" В Г.АСТАНА</t>
        </is>
      </c>
    </row>
    <row r="355">
      <c r="A355" s="55" t="inlineStr">
        <is>
          <t>01.07.2026</t>
        </is>
      </c>
      <c r="B355" s="55" t="inlineStr">
        <is>
          <t>Bank RBK</t>
        </is>
      </c>
      <c r="C355" s="55" t="inlineStr">
        <is>
          <t>KZT</t>
        </is>
      </c>
      <c r="D355" s="55" t="inlineStr">
        <is>
          <t>0001</t>
        </is>
      </c>
      <c r="E355" s="55" t="inlineStr">
        <is>
          <t>ФИЛИАЛ АО "BANK RBK" В Г.АСТАНА</t>
        </is>
      </c>
      <c r="F355" s="55" t="inlineStr">
        <is>
          <t>111141019679</t>
        </is>
      </c>
      <c r="G355" s="55" t="inlineStr"/>
      <c r="H355" s="56" t="inlineStr">
        <is>
          <t>Комиссия Банка за переводные операции по платежному документу № 1375 от 01/07/2026, в т.ч. НДС.</t>
        </is>
      </c>
      <c r="I355" s="57" t="n">
        <v>1300</v>
      </c>
      <c r="J355" s="57" t="n"/>
      <c r="K355" s="58" t="n">
        <v>1</v>
      </c>
      <c r="L355" s="57" t="n">
        <v>1300</v>
      </c>
      <c r="M355" s="57" t="n"/>
      <c r="N355" s="55" t="inlineStr">
        <is>
          <t>Внешняя операция</t>
        </is>
      </c>
      <c r="O355" s="55" t="inlineStr">
        <is>
          <t>Финансовые</t>
        </is>
      </c>
      <c r="P355" s="55" t="inlineStr">
        <is>
          <t>Банковские комиссии</t>
        </is>
      </c>
      <c r="Q355" s="55" t="inlineStr">
        <is>
          <t>ФИЛИАЛ АО "BANK RBK" В Г.АСТАНА</t>
        </is>
      </c>
    </row>
    <row r="356">
      <c r="A356" s="55" t="inlineStr">
        <is>
          <t>01.07.2026</t>
        </is>
      </c>
      <c r="B356" s="55" t="inlineStr">
        <is>
          <t>Bank RBK</t>
        </is>
      </c>
      <c r="C356" s="55" t="inlineStr">
        <is>
          <t>KZT</t>
        </is>
      </c>
      <c r="D356" s="55" t="inlineStr">
        <is>
          <t>0001</t>
        </is>
      </c>
      <c r="E356" s="55" t="inlineStr">
        <is>
          <t>ФИЛИАЛ АО "BANK RBK" В Г.АСТАНА</t>
        </is>
      </c>
      <c r="F356" s="55" t="inlineStr">
        <is>
          <t>111141019679</t>
        </is>
      </c>
      <c r="G356" s="55" t="inlineStr"/>
      <c r="H356" s="56" t="inlineStr">
        <is>
          <t>Комиссия Банка за переводные операции по платежному документу № 1376 от 01/07/2026, в т.ч. НДС.</t>
        </is>
      </c>
      <c r="I356" s="57" t="n">
        <v>4000</v>
      </c>
      <c r="J356" s="57" t="n"/>
      <c r="K356" s="58" t="n">
        <v>1</v>
      </c>
      <c r="L356" s="57" t="n">
        <v>4000</v>
      </c>
      <c r="M356" s="57" t="n"/>
      <c r="N356" s="55" t="inlineStr">
        <is>
          <t>Внешняя операция</t>
        </is>
      </c>
      <c r="O356" s="55" t="inlineStr">
        <is>
          <t>Финансовые</t>
        </is>
      </c>
      <c r="P356" s="55" t="inlineStr">
        <is>
          <t>Банковские комиссии</t>
        </is>
      </c>
      <c r="Q356" s="55" t="inlineStr">
        <is>
          <t>ФИЛИАЛ АО "BANK RBK" В Г.АСТАНА</t>
        </is>
      </c>
    </row>
    <row r="357">
      <c r="A357" s="55" t="inlineStr">
        <is>
          <t>01.07.2026</t>
        </is>
      </c>
      <c r="B357" s="55" t="inlineStr">
        <is>
          <t>Bank RBK</t>
        </is>
      </c>
      <c r="C357" s="55" t="inlineStr">
        <is>
          <t>KZT</t>
        </is>
      </c>
      <c r="D357" s="55" t="inlineStr">
        <is>
          <t>0001</t>
        </is>
      </c>
      <c r="E357" s="55" t="inlineStr">
        <is>
          <t>ТОО "WayStar Group"</t>
        </is>
      </c>
      <c r="F357" s="55" t="inlineStr">
        <is>
          <t>240340014287</t>
        </is>
      </c>
      <c r="G357" s="55" t="inlineStr"/>
      <c r="H357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57" s="57" t="n">
        <v>2626000</v>
      </c>
      <c r="J357" s="57" t="n"/>
      <c r="K357" s="58" t="n">
        <v>1</v>
      </c>
      <c r="L357" s="57" t="n">
        <v>2626000</v>
      </c>
      <c r="M357" s="57" t="n"/>
      <c r="N357" s="59" t="inlineStr">
        <is>
          <t>Внутренний перевод</t>
        </is>
      </c>
      <c r="O357" s="55" t="inlineStr">
        <is>
          <t>Технические</t>
        </is>
      </c>
      <c r="P357" s="55" t="inlineStr">
        <is>
          <t>Перевод между своими счетами</t>
        </is>
      </c>
      <c r="Q357" s="55" t="inlineStr"/>
    </row>
    <row r="358">
      <c r="A358" s="55" t="inlineStr">
        <is>
          <t>01.07.2026</t>
        </is>
      </c>
      <c r="B358" s="55" t="inlineStr">
        <is>
          <t>Bank RBK</t>
        </is>
      </c>
      <c r="C358" s="55" t="inlineStr">
        <is>
          <t>KZT</t>
        </is>
      </c>
      <c r="D358" s="55" t="inlineStr">
        <is>
          <t>0001</t>
        </is>
      </c>
      <c r="E358" s="55" t="inlineStr">
        <is>
          <t>АО "Банк "Bank RBK"</t>
        </is>
      </c>
      <c r="F358" s="55" t="inlineStr">
        <is>
          <t>920440001102</t>
        </is>
      </c>
      <c r="G358" s="55" t="inlineStr"/>
      <c r="H358" s="56" t="inlineStr">
        <is>
          <t>Для зачисления на картсчета сотрудникам согласно спискам  5 945 143-00  тенге. Перечисление юридическим лицом в банк, филиал банка-нерезидента Республики Казахстан заработной платы, оплаты трудового отпуска для последующего зачисления на банковские счета работников данного юридического лица</t>
        </is>
      </c>
      <c r="I358" s="57" t="n">
        <v>5945143</v>
      </c>
      <c r="J358" s="57" t="n"/>
      <c r="K358" s="58" t="n">
        <v>1</v>
      </c>
      <c r="L358" s="57" t="n">
        <v>5945143</v>
      </c>
      <c r="M358" s="57" t="n"/>
      <c r="N358" s="55" t="inlineStr">
        <is>
          <t>Внешняя операция</t>
        </is>
      </c>
      <c r="O358" s="55" t="inlineStr">
        <is>
          <t>ФОТ</t>
        </is>
      </c>
      <c r="P358" s="55" t="inlineStr">
        <is>
          <t>Зарплата</t>
        </is>
      </c>
      <c r="Q358" s="55" t="inlineStr">
        <is>
          <t>АО "Банк "Bank RBK"</t>
        </is>
      </c>
    </row>
    <row r="359">
      <c r="A359" s="55" t="inlineStr">
        <is>
          <t>01.07.2026</t>
        </is>
      </c>
      <c r="B359" s="55" t="inlineStr">
        <is>
          <t>Bank RBK</t>
        </is>
      </c>
      <c r="C359" s="55" t="inlineStr">
        <is>
          <t>KZT</t>
        </is>
      </c>
      <c r="D359" s="55" t="inlineStr">
        <is>
          <t>0001</t>
        </is>
      </c>
      <c r="E359" s="55" t="inlineStr">
        <is>
          <t>ТОО "WayStar Group"</t>
        </is>
      </c>
      <c r="F359" s="55" t="inlineStr">
        <is>
          <t>240340014287</t>
        </is>
      </c>
      <c r="G359" s="55" t="inlineStr"/>
      <c r="H359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59" s="57" t="n">
        <v>10900000</v>
      </c>
      <c r="J359" s="57" t="n"/>
      <c r="K359" s="58" t="n">
        <v>1</v>
      </c>
      <c r="L359" s="57" t="n">
        <v>10900000</v>
      </c>
      <c r="M359" s="57" t="n"/>
      <c r="N359" s="59" t="inlineStr">
        <is>
          <t>Внутренний перевод</t>
        </is>
      </c>
      <c r="O359" s="55" t="inlineStr">
        <is>
          <t>Технические</t>
        </is>
      </c>
      <c r="P359" s="55" t="inlineStr">
        <is>
          <t>Перевод между своими счетами</t>
        </is>
      </c>
      <c r="Q359" s="55" t="inlineStr"/>
    </row>
    <row r="360">
      <c r="A360" s="55" t="inlineStr">
        <is>
          <t>01.07.2026</t>
        </is>
      </c>
      <c r="B360" s="55" t="inlineStr">
        <is>
          <t>Bank RBK</t>
        </is>
      </c>
      <c r="C360" s="55" t="inlineStr">
        <is>
          <t>KZT</t>
        </is>
      </c>
      <c r="D360" s="55" t="inlineStr">
        <is>
          <t>0001</t>
        </is>
      </c>
      <c r="E360" s="55" t="inlineStr">
        <is>
          <t>ТОО "WayStar Group"</t>
        </is>
      </c>
      <c r="F360" s="55" t="inlineStr">
        <is>
          <t>240340014287</t>
        </is>
      </c>
      <c r="G360" s="55" t="inlineStr"/>
      <c r="H360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60" s="57" t="n">
        <v>109646000</v>
      </c>
      <c r="J360" s="57" t="n"/>
      <c r="K360" s="58" t="n">
        <v>1</v>
      </c>
      <c r="L360" s="57" t="n">
        <v>109646000</v>
      </c>
      <c r="M360" s="57" t="n"/>
      <c r="N360" s="59" t="inlineStr">
        <is>
          <t>Внутренний перевод</t>
        </is>
      </c>
      <c r="O360" s="55" t="inlineStr">
        <is>
          <t>Технические</t>
        </is>
      </c>
      <c r="P360" s="55" t="inlineStr">
        <is>
          <t>Перевод между своими счетами</t>
        </is>
      </c>
      <c r="Q360" s="55" t="inlineStr"/>
    </row>
    <row r="361">
      <c r="A361" s="55" t="inlineStr">
        <is>
          <t>02.07.2026</t>
        </is>
      </c>
      <c r="B361" s="55" t="inlineStr">
        <is>
          <t>Bank RBK</t>
        </is>
      </c>
      <c r="C361" s="55" t="inlineStr">
        <is>
          <t>KZT</t>
        </is>
      </c>
      <c r="D361" s="55" t="inlineStr">
        <is>
          <t>0001</t>
        </is>
      </c>
      <c r="E361" s="55" t="inlineStr">
        <is>
          <t>ТОО ROYAL EXPORT</t>
        </is>
      </c>
      <c r="F361" s="55" t="inlineStr">
        <is>
          <t>120740010650</t>
        </is>
      </c>
      <c r="G361" s="55" t="inlineStr"/>
      <c r="H361" s="56" t="inlineStr">
        <is>
          <t>За услуги. Оплата за предоставление вагонов, согласна счет на оплату №172 от 30.06.2026г.</t>
        </is>
      </c>
      <c r="I361" s="57" t="n"/>
      <c r="J361" s="57" t="n">
        <v>6250000</v>
      </c>
      <c r="K361" s="58" t="n">
        <v>1</v>
      </c>
      <c r="L361" s="57" t="n"/>
      <c r="M361" s="57" t="n">
        <v>6250000</v>
      </c>
      <c r="N361" s="55" t="inlineStr">
        <is>
          <t>Внешняя операция</t>
        </is>
      </c>
      <c r="O361" s="55" t="inlineStr">
        <is>
          <t>Выручка</t>
        </is>
      </c>
      <c r="P361" s="55" t="inlineStr">
        <is>
          <t>Операционная выручка (ТЭО, вагоны)</t>
        </is>
      </c>
      <c r="Q361" s="55" t="inlineStr">
        <is>
          <t>ТОО ROYAL EXPORT</t>
        </is>
      </c>
    </row>
    <row r="362">
      <c r="A362" s="55" t="inlineStr">
        <is>
          <t>02.07.2026</t>
        </is>
      </c>
      <c r="B362" s="55" t="inlineStr">
        <is>
          <t>Bank RBK</t>
        </is>
      </c>
      <c r="C362" s="55" t="inlineStr">
        <is>
          <t>KZT</t>
        </is>
      </c>
      <c r="D362" s="55" t="inlineStr">
        <is>
          <t>0001</t>
        </is>
      </c>
      <c r="E362" s="55" t="inlineStr">
        <is>
          <t>ТОО Altyn Shyghys</t>
        </is>
      </c>
      <c r="F362" s="55" t="inlineStr">
        <is>
          <t>190140000545</t>
        </is>
      </c>
      <c r="G362" s="55" t="inlineStr"/>
      <c r="H362" s="56" t="inlineStr">
        <is>
          <t>Оплата за услуги предоставление цистерн по счету 168 от 29.06.2026 Без налога (НДС) Договор: 2026/01-04 ТЭУ от 13.01.2026 Платежи за услуги железнодорожного транспорта,</t>
        </is>
      </c>
      <c r="I362" s="57" t="n"/>
      <c r="J362" s="57" t="n">
        <v>24000000</v>
      </c>
      <c r="K362" s="58" t="n">
        <v>1</v>
      </c>
      <c r="L362" s="57" t="n"/>
      <c r="M362" s="57" t="n">
        <v>24000000</v>
      </c>
      <c r="N362" s="55" t="inlineStr">
        <is>
          <t>Внешняя операция</t>
        </is>
      </c>
      <c r="O362" s="55" t="inlineStr">
        <is>
          <t>Выручка</t>
        </is>
      </c>
      <c r="P362" s="55" t="inlineStr">
        <is>
          <t>Операционная выручка (ТЭО, вагоны)</t>
        </is>
      </c>
      <c r="Q362" s="55" t="inlineStr">
        <is>
          <t>ТОО «Altyn Shyghys»</t>
        </is>
      </c>
    </row>
    <row r="363">
      <c r="A363" s="55" t="inlineStr">
        <is>
          <t>02.07.2026</t>
        </is>
      </c>
      <c r="B363" s="55" t="inlineStr">
        <is>
          <t>Bank RBK</t>
        </is>
      </c>
      <c r="C363" s="55" t="inlineStr">
        <is>
          <t>KZT</t>
        </is>
      </c>
      <c r="D363" s="55" t="inlineStr">
        <is>
          <t>0001</t>
        </is>
      </c>
      <c r="E363" s="55" t="inlineStr">
        <is>
          <t>ТОО "QAZAQ-ASTYQ GROUP"</t>
        </is>
      </c>
      <c r="F363" s="55" t="inlineStr">
        <is>
          <t>180240007079</t>
        </is>
      </c>
      <c r="G363" s="55" t="inlineStr"/>
      <c r="H363" s="56" t="inlineStr">
        <is>
          <t>Оплата по ТЭО (предоставление цистерн) договор №ТЭО 573/2024/ОУ от 26.11.2024г. Счет №167 от 29.06.2026г. 50000000-00 тенге. В т.ч. НДС (16%) 6896551-72 тенге Платежи за услуги железнодорожного транспорта</t>
        </is>
      </c>
      <c r="I363" s="57" t="n"/>
      <c r="J363" s="57" t="n">
        <v>50000000</v>
      </c>
      <c r="K363" s="58" t="n">
        <v>1</v>
      </c>
      <c r="L363" s="57" t="n"/>
      <c r="M363" s="57" t="n">
        <v>50000000</v>
      </c>
      <c r="N363" s="55" t="inlineStr">
        <is>
          <t>Внешняя операция</t>
        </is>
      </c>
      <c r="O363" s="55" t="inlineStr">
        <is>
          <t>Выручка</t>
        </is>
      </c>
      <c r="P363" s="55" t="inlineStr">
        <is>
          <t>Операционная выручка (ТЭО, вагоны)</t>
        </is>
      </c>
      <c r="Q363" s="55" t="inlineStr">
        <is>
          <t>ТОО «QAZAQ-ASTYQ GROUP»</t>
        </is>
      </c>
    </row>
    <row r="364">
      <c r="A364" s="55" t="inlineStr">
        <is>
          <t>02.07.2026</t>
        </is>
      </c>
      <c r="B364" s="55" t="inlineStr">
        <is>
          <t>Bank RBK</t>
        </is>
      </c>
      <c r="C364" s="55" t="inlineStr">
        <is>
          <t>KZT</t>
        </is>
      </c>
      <c r="D364" s="55" t="inlineStr">
        <is>
          <t>0001</t>
        </is>
      </c>
      <c r="E364" s="55" t="inlineStr">
        <is>
          <t>ФИЛИАЛ АО "BANK RBK" В Г.АСТАНА</t>
        </is>
      </c>
      <c r="F364" s="55" t="inlineStr">
        <is>
          <t>111141019679</t>
        </is>
      </c>
      <c r="G364" s="55" t="inlineStr"/>
      <c r="H364" s="56" t="inlineStr">
        <is>
          <t>Комиссия Банка за переводные операции по платежному документу № 1377 от 02/07/2026, в т.ч. НДС.</t>
        </is>
      </c>
      <c r="I364" s="57" t="n">
        <v>1300</v>
      </c>
      <c r="J364" s="57" t="n"/>
      <c r="K364" s="58" t="n">
        <v>1</v>
      </c>
      <c r="L364" s="57" t="n">
        <v>1300</v>
      </c>
      <c r="M364" s="57" t="n"/>
      <c r="N364" s="55" t="inlineStr">
        <is>
          <t>Внешняя операция</t>
        </is>
      </c>
      <c r="O364" s="55" t="inlineStr">
        <is>
          <t>Финансовые</t>
        </is>
      </c>
      <c r="P364" s="55" t="inlineStr">
        <is>
          <t>Банковские комиссии</t>
        </is>
      </c>
      <c r="Q364" s="55" t="inlineStr">
        <is>
          <t>ФИЛИАЛ АО "BANK RBK" В Г.АСТАНА</t>
        </is>
      </c>
    </row>
    <row r="365">
      <c r="A365" s="55" t="inlineStr">
        <is>
          <t>02.07.2026</t>
        </is>
      </c>
      <c r="B365" s="55" t="inlineStr">
        <is>
          <t>Bank RBK</t>
        </is>
      </c>
      <c r="C365" s="55" t="inlineStr">
        <is>
          <t>KZT</t>
        </is>
      </c>
      <c r="D365" s="55" t="inlineStr">
        <is>
          <t>0001</t>
        </is>
      </c>
      <c r="E365" s="55" t="inlineStr">
        <is>
          <t>ФИЛИАЛ АО "BANK RBK" В Г.АСТАНА</t>
        </is>
      </c>
      <c r="F365" s="55" t="inlineStr">
        <is>
          <t>111141019679</t>
        </is>
      </c>
      <c r="G365" s="55" t="inlineStr"/>
      <c r="H365" s="56" t="inlineStr">
        <is>
          <t>Комиссия Банка за переводные операции по платежному документу № 1378 от 02/07/2026, в т.ч. НДС.</t>
        </is>
      </c>
      <c r="I365" s="57" t="n">
        <v>4000</v>
      </c>
      <c r="J365" s="57" t="n"/>
      <c r="K365" s="58" t="n">
        <v>1</v>
      </c>
      <c r="L365" s="57" t="n">
        <v>4000</v>
      </c>
      <c r="M365" s="57" t="n"/>
      <c r="N365" s="55" t="inlineStr">
        <is>
          <t>Внешняя операция</t>
        </is>
      </c>
      <c r="O365" s="55" t="inlineStr">
        <is>
          <t>Финансовые</t>
        </is>
      </c>
      <c r="P365" s="55" t="inlineStr">
        <is>
          <t>Банковские комиссии</t>
        </is>
      </c>
      <c r="Q365" s="55" t="inlineStr">
        <is>
          <t>ФИЛИАЛ АО "BANK RBK" В Г.АСТАНА</t>
        </is>
      </c>
    </row>
    <row r="366">
      <c r="A366" s="55" t="inlineStr">
        <is>
          <t>02.07.2026</t>
        </is>
      </c>
      <c r="B366" s="55" t="inlineStr">
        <is>
          <t>Bank RBK</t>
        </is>
      </c>
      <c r="C366" s="55" t="inlineStr">
        <is>
          <t>KZT</t>
        </is>
      </c>
      <c r="D366" s="55" t="inlineStr">
        <is>
          <t>0001</t>
        </is>
      </c>
      <c r="E366" s="55" t="inlineStr">
        <is>
          <t>ТОО "WayStar Group"</t>
        </is>
      </c>
      <c r="F366" s="55" t="inlineStr">
        <is>
          <t>240340014287</t>
        </is>
      </c>
      <c r="G366" s="55" t="inlineStr"/>
      <c r="H366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66" s="57" t="n">
        <v>24000000</v>
      </c>
      <c r="J366" s="57" t="n"/>
      <c r="K366" s="58" t="n">
        <v>1</v>
      </c>
      <c r="L366" s="57" t="n">
        <v>24000000</v>
      </c>
      <c r="M366" s="57" t="n"/>
      <c r="N366" s="59" t="inlineStr">
        <is>
          <t>Внутренний перевод</t>
        </is>
      </c>
      <c r="O366" s="55" t="inlineStr">
        <is>
          <t>Технические</t>
        </is>
      </c>
      <c r="P366" s="55" t="inlineStr">
        <is>
          <t>Перевод между своими счетами</t>
        </is>
      </c>
      <c r="Q366" s="55" t="inlineStr"/>
    </row>
    <row r="367">
      <c r="A367" s="55" t="inlineStr">
        <is>
          <t>02.07.2026</t>
        </is>
      </c>
      <c r="B367" s="55" t="inlineStr">
        <is>
          <t>Bank RBK</t>
        </is>
      </c>
      <c r="C367" s="55" t="inlineStr">
        <is>
          <t>KZT</t>
        </is>
      </c>
      <c r="D367" s="55" t="inlineStr">
        <is>
          <t>0001</t>
        </is>
      </c>
      <c r="E367" s="55" t="inlineStr">
        <is>
          <t>ТОО "WayStar Group"</t>
        </is>
      </c>
      <c r="F367" s="55" t="inlineStr">
        <is>
          <t>240340014287</t>
        </is>
      </c>
      <c r="G367" s="55" t="inlineStr"/>
      <c r="H367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67" s="57" t="n">
        <v>82000000</v>
      </c>
      <c r="J367" s="57" t="n"/>
      <c r="K367" s="58" t="n">
        <v>1</v>
      </c>
      <c r="L367" s="57" t="n">
        <v>82000000</v>
      </c>
      <c r="M367" s="57" t="n"/>
      <c r="N367" s="59" t="inlineStr">
        <is>
          <t>Внутренний перевод</t>
        </is>
      </c>
      <c r="O367" s="55" t="inlineStr">
        <is>
          <t>Технические</t>
        </is>
      </c>
      <c r="P367" s="55" t="inlineStr">
        <is>
          <t>Перевод между своими счетами</t>
        </is>
      </c>
      <c r="Q367" s="55" t="inlineStr"/>
    </row>
    <row r="368">
      <c r="A368" s="55" t="inlineStr">
        <is>
          <t>03.07.2026</t>
        </is>
      </c>
      <c r="B368" s="55" t="inlineStr">
        <is>
          <t>Bank RBK</t>
        </is>
      </c>
      <c r="C368" s="55" t="inlineStr">
        <is>
          <t>KZT</t>
        </is>
      </c>
      <c r="D368" s="55" t="inlineStr">
        <is>
          <t>0001</t>
        </is>
      </c>
      <c r="E368" s="55" t="inlineStr">
        <is>
          <t>Товарищество с ограниченной ответственностью "QAZAQ-ASTYQ GROUP"</t>
        </is>
      </c>
      <c r="F368" s="55" t="inlineStr">
        <is>
          <t>180240007079</t>
        </is>
      </c>
      <c r="G368" s="55" t="inlineStr"/>
      <c r="H368" s="56" t="inlineStr">
        <is>
          <t>Оплата по ТЭО (предоставление цистерн)  договор №ТЭО 573/2024/ОУ от 26.11.2024г. Счет №167 от 29.06.2026г. 200000000-00 тенге. В т.ч. НДС (16%) 27586206-90 тенге</t>
        </is>
      </c>
      <c r="I368" s="57" t="n"/>
      <c r="J368" s="57" t="n">
        <v>200000000</v>
      </c>
      <c r="K368" s="58" t="n">
        <v>1</v>
      </c>
      <c r="L368" s="57" t="n"/>
      <c r="M368" s="57" t="n">
        <v>200000000</v>
      </c>
      <c r="N368" s="55" t="inlineStr">
        <is>
          <t>Внешняя операция</t>
        </is>
      </c>
      <c r="O368" s="55" t="inlineStr">
        <is>
          <t>Выручка</t>
        </is>
      </c>
      <c r="P368" s="55" t="inlineStr">
        <is>
          <t>Операционная выручка (ТЭО, вагоны)</t>
        </is>
      </c>
      <c r="Q368" s="55" t="inlineStr">
        <is>
          <t>ТОО «QAZAQ-ASTYQ GROUP»</t>
        </is>
      </c>
    </row>
    <row r="369">
      <c r="A369" s="55" t="inlineStr">
        <is>
          <t>03.07.2026</t>
        </is>
      </c>
      <c r="B369" s="55" t="inlineStr">
        <is>
          <t>Bank RBK</t>
        </is>
      </c>
      <c r="C369" s="55" t="inlineStr">
        <is>
          <t>KZT</t>
        </is>
      </c>
      <c r="D369" s="55" t="inlineStr">
        <is>
          <t>0001</t>
        </is>
      </c>
      <c r="E369" s="55" t="inlineStr">
        <is>
          <t>ФИЛИАЛ АО "BANK RBK" В Г.АСТАНА</t>
        </is>
      </c>
      <c r="F369" s="55" t="inlineStr">
        <is>
          <t>111141019679</t>
        </is>
      </c>
      <c r="G369" s="55" t="inlineStr"/>
      <c r="H369" s="56" t="inlineStr">
        <is>
          <t>Комиссия Банка за переводные операции по платежному документу № 1379 от 03/07/2026, в т.ч. НДС.</t>
        </is>
      </c>
      <c r="I369" s="57" t="n">
        <v>4000</v>
      </c>
      <c r="J369" s="57" t="n"/>
      <c r="K369" s="58" t="n">
        <v>1</v>
      </c>
      <c r="L369" s="57" t="n">
        <v>4000</v>
      </c>
      <c r="M369" s="57" t="n"/>
      <c r="N369" s="55" t="inlineStr">
        <is>
          <t>Внешняя операция</t>
        </is>
      </c>
      <c r="O369" s="55" t="inlineStr">
        <is>
          <t>Финансовые</t>
        </is>
      </c>
      <c r="P369" s="55" t="inlineStr">
        <is>
          <t>Банковские комиссии</t>
        </is>
      </c>
      <c r="Q369" s="55" t="inlineStr">
        <is>
          <t>ФИЛИАЛ АО "BANK RBK" В Г.АСТАНА</t>
        </is>
      </c>
    </row>
    <row r="370">
      <c r="A370" s="55" t="inlineStr">
        <is>
          <t>03.07.2026</t>
        </is>
      </c>
      <c r="B370" s="55" t="inlineStr">
        <is>
          <t>Bank RBK</t>
        </is>
      </c>
      <c r="C370" s="55" t="inlineStr">
        <is>
          <t>KZT</t>
        </is>
      </c>
      <c r="D370" s="55" t="inlineStr">
        <is>
          <t>0001</t>
        </is>
      </c>
      <c r="E370" s="55" t="inlineStr">
        <is>
          <t>ТОО "WayStar Group"</t>
        </is>
      </c>
      <c r="F370" s="55" t="inlineStr">
        <is>
          <t>240340014287</t>
        </is>
      </c>
      <c r="G370" s="55" t="inlineStr"/>
      <c r="H370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70" s="57" t="n">
        <v>200000000</v>
      </c>
      <c r="J370" s="57" t="n"/>
      <c r="K370" s="58" t="n">
        <v>1</v>
      </c>
      <c r="L370" s="57" t="n">
        <v>200000000</v>
      </c>
      <c r="M370" s="57" t="n"/>
      <c r="N370" s="59" t="inlineStr">
        <is>
          <t>Внутренний перевод</t>
        </is>
      </c>
      <c r="O370" s="55" t="inlineStr">
        <is>
          <t>Технические</t>
        </is>
      </c>
      <c r="P370" s="55" t="inlineStr">
        <is>
          <t>Перевод между своими счетами</t>
        </is>
      </c>
      <c r="Q370" s="55" t="inlineStr"/>
    </row>
    <row r="371">
      <c r="A371" s="55" t="inlineStr">
        <is>
          <t>07.07.2026</t>
        </is>
      </c>
      <c r="B371" s="55" t="inlineStr">
        <is>
          <t>Bank RBK</t>
        </is>
      </c>
      <c r="C371" s="55" t="inlineStr">
        <is>
          <t>KZT</t>
        </is>
      </c>
      <c r="D371" s="55" t="inlineStr">
        <is>
          <t>0001</t>
        </is>
      </c>
      <c r="E371" s="55" t="inlineStr">
        <is>
          <t>ТОО "QAZAQ-ASTYQ GROUP"</t>
        </is>
      </c>
      <c r="F371" s="55" t="inlineStr">
        <is>
          <t>180240007079</t>
        </is>
      </c>
      <c r="G371" s="55" t="inlineStr"/>
      <c r="H371" s="56" t="inlineStr">
        <is>
          <t>Оплата по ТЭО (предоставление цистерн) Счет №167 от 29.06.2026 160074143-00 тенге. В т.ч. НДС (16%) 22079192-14 тенге Платежи за услуги железнодорожного транспорта</t>
        </is>
      </c>
      <c r="I371" s="57" t="n"/>
      <c r="J371" s="57" t="n">
        <v>160074143</v>
      </c>
      <c r="K371" s="58" t="n">
        <v>1</v>
      </c>
      <c r="L371" s="57" t="n"/>
      <c r="M371" s="57" t="n">
        <v>160074143</v>
      </c>
      <c r="N371" s="55" t="inlineStr">
        <is>
          <t>Внешняя операция</t>
        </is>
      </c>
      <c r="O371" s="55" t="inlineStr">
        <is>
          <t>Выручка</t>
        </is>
      </c>
      <c r="P371" s="55" t="inlineStr">
        <is>
          <t>Операционная выручка (ТЭО, вагоны)</t>
        </is>
      </c>
      <c r="Q371" s="55" t="inlineStr">
        <is>
          <t>ТОО «QAZAQ-ASTYQ GROUP»</t>
        </is>
      </c>
    </row>
    <row r="372">
      <c r="A372" s="55" t="inlineStr">
        <is>
          <t>07.07.2026</t>
        </is>
      </c>
      <c r="B372" s="55" t="inlineStr">
        <is>
          <t>Bank RBK</t>
        </is>
      </c>
      <c r="C372" s="55" t="inlineStr">
        <is>
          <t>KZT</t>
        </is>
      </c>
      <c r="D372" s="55" t="inlineStr">
        <is>
          <t>0001</t>
        </is>
      </c>
      <c r="E372" s="55" t="inlineStr">
        <is>
          <t>ФИЛИАЛ АО "BANK RBK" В Г.АСТАНА</t>
        </is>
      </c>
      <c r="F372" s="55" t="inlineStr">
        <is>
          <t>111141019679</t>
        </is>
      </c>
      <c r="G372" s="55" t="inlineStr"/>
      <c r="H372" s="56" t="inlineStr">
        <is>
          <t>Комиссия Банка за переводные операции по платежному документу № 1380 от 07/07/2026, в т.ч. НДС.</t>
        </is>
      </c>
      <c r="I372" s="57" t="n">
        <v>1300</v>
      </c>
      <c r="J372" s="57" t="n"/>
      <c r="K372" s="58" t="n">
        <v>1</v>
      </c>
      <c r="L372" s="57" t="n">
        <v>1300</v>
      </c>
      <c r="M372" s="57" t="n"/>
      <c r="N372" s="55" t="inlineStr">
        <is>
          <t>Внешняя операция</t>
        </is>
      </c>
      <c r="O372" s="55" t="inlineStr">
        <is>
          <t>Финансовые</t>
        </is>
      </c>
      <c r="P372" s="55" t="inlineStr">
        <is>
          <t>Банковские комиссии</t>
        </is>
      </c>
      <c r="Q372" s="55" t="inlineStr">
        <is>
          <t>ФИЛИАЛ АО "BANK RBK" В Г.АСТАНА</t>
        </is>
      </c>
    </row>
    <row r="373">
      <c r="A373" s="55" t="inlineStr">
        <is>
          <t>07.07.2026</t>
        </is>
      </c>
      <c r="B373" s="55" t="inlineStr">
        <is>
          <t>Bank RBK</t>
        </is>
      </c>
      <c r="C373" s="55" t="inlineStr">
        <is>
          <t>KZT</t>
        </is>
      </c>
      <c r="D373" s="55" t="inlineStr">
        <is>
          <t>0001</t>
        </is>
      </c>
      <c r="E373" s="55" t="inlineStr">
        <is>
          <t>ТОО "WayStar Group"</t>
        </is>
      </c>
      <c r="F373" s="55" t="inlineStr">
        <is>
          <t>240340014287</t>
        </is>
      </c>
      <c r="G373" s="55" t="inlineStr"/>
      <c r="H373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73" s="57" t="n">
        <v>160100000</v>
      </c>
      <c r="J373" s="57" t="n"/>
      <c r="K373" s="58" t="n">
        <v>1</v>
      </c>
      <c r="L373" s="57" t="n">
        <v>160100000</v>
      </c>
      <c r="M373" s="57" t="n"/>
      <c r="N373" s="59" t="inlineStr">
        <is>
          <t>Внутренний перевод</t>
        </is>
      </c>
      <c r="O373" s="55" t="inlineStr">
        <is>
          <t>Технические</t>
        </is>
      </c>
      <c r="P373" s="55" t="inlineStr">
        <is>
          <t>Перевод между своими счетами</t>
        </is>
      </c>
      <c r="Q373" s="55" t="inlineStr"/>
    </row>
    <row r="374">
      <c r="A374" s="55" t="inlineStr">
        <is>
          <t>08.07.2026</t>
        </is>
      </c>
      <c r="B374" s="55" t="inlineStr">
        <is>
          <t>Bank RBK</t>
        </is>
      </c>
      <c r="C374" s="55" t="inlineStr">
        <is>
          <t>KZT</t>
        </is>
      </c>
      <c r="D374" s="55" t="inlineStr">
        <is>
          <t>0001</t>
        </is>
      </c>
      <c r="E374" s="55" t="inlineStr">
        <is>
          <t>ТОО "TimeAgro"</t>
        </is>
      </c>
      <c r="F374" s="55" t="inlineStr">
        <is>
          <t>251040022945</t>
        </is>
      </c>
      <c r="G374" s="55" t="inlineStr"/>
      <c r="H374" s="56" t="inlineStr">
        <is>
          <t>За услуги. Оплата согласно счета на оплату №173 от 30.06.2026 года/предоставление и жд тариф Жана Семей- Жомбой</t>
        </is>
      </c>
      <c r="I374" s="57" t="n"/>
      <c r="J374" s="57" t="n">
        <v>2200000</v>
      </c>
      <c r="K374" s="58" t="n">
        <v>1</v>
      </c>
      <c r="L374" s="57" t="n"/>
      <c r="M374" s="57" t="n">
        <v>2200000</v>
      </c>
      <c r="N374" s="55" t="inlineStr">
        <is>
          <t>Внешняя операция</t>
        </is>
      </c>
      <c r="O374" s="55" t="inlineStr">
        <is>
          <t>Выручка</t>
        </is>
      </c>
      <c r="P374" s="55" t="inlineStr">
        <is>
          <t>Операционная выручка (ТЭО, вагоны)</t>
        </is>
      </c>
      <c r="Q374" s="55" t="inlineStr">
        <is>
          <t>ТОО "TimeAgro"</t>
        </is>
      </c>
    </row>
    <row r="375">
      <c r="A375" s="55" t="inlineStr">
        <is>
          <t>08.07.2026</t>
        </is>
      </c>
      <c r="B375" s="55" t="inlineStr">
        <is>
          <t>Bank RBK</t>
        </is>
      </c>
      <c r="C375" s="55" t="inlineStr">
        <is>
          <t>KZT</t>
        </is>
      </c>
      <c r="D375" s="55" t="inlineStr">
        <is>
          <t>0001</t>
        </is>
      </c>
      <c r="E375" s="55" t="inlineStr">
        <is>
          <t>ТОО ROYAL EXPORT</t>
        </is>
      </c>
      <c r="F375" s="55" t="inlineStr">
        <is>
          <t>120740010650</t>
        </is>
      </c>
      <c r="G375" s="55" t="inlineStr"/>
      <c r="H375" s="56" t="inlineStr">
        <is>
          <t>За услуги. Оплата за предоставление вагонов, согласна счет на оплату №172 от 30.06.2026г.</t>
        </is>
      </c>
      <c r="I375" s="57" t="n"/>
      <c r="J375" s="57" t="n">
        <v>5234000</v>
      </c>
      <c r="K375" s="58" t="n">
        <v>1</v>
      </c>
      <c r="L375" s="57" t="n"/>
      <c r="M375" s="57" t="n">
        <v>5234000</v>
      </c>
      <c r="N375" s="55" t="inlineStr">
        <is>
          <t>Внешняя операция</t>
        </is>
      </c>
      <c r="O375" s="55" t="inlineStr">
        <is>
          <t>Выручка</t>
        </is>
      </c>
      <c r="P375" s="55" t="inlineStr">
        <is>
          <t>Операционная выручка (ТЭО, вагоны)</t>
        </is>
      </c>
      <c r="Q375" s="55" t="inlineStr">
        <is>
          <t>ТОО ROYAL EXPORT</t>
        </is>
      </c>
    </row>
    <row r="376">
      <c r="A376" s="55" t="inlineStr">
        <is>
          <t>08.07.2026</t>
        </is>
      </c>
      <c r="B376" s="55" t="inlineStr">
        <is>
          <t>Bank RBK</t>
        </is>
      </c>
      <c r="C376" s="55" t="inlineStr">
        <is>
          <t>KZT</t>
        </is>
      </c>
      <c r="D376" s="55" t="inlineStr">
        <is>
          <t>0001</t>
        </is>
      </c>
      <c r="E376" s="55" t="inlineStr">
        <is>
          <t>ФИЛИАЛ АО "BANK RBK" В Г.АСТАНА</t>
        </is>
      </c>
      <c r="F376" s="55" t="inlineStr">
        <is>
          <t>111141019679</t>
        </is>
      </c>
      <c r="G376" s="55" t="inlineStr"/>
      <c r="H376" s="56" t="inlineStr">
        <is>
          <t>Комиссия Банка за переводные операции по платежному документу № 1381 от 08/07/2026, в т.ч. НДС.</t>
        </is>
      </c>
      <c r="I376" s="57" t="n">
        <v>3816.05</v>
      </c>
      <c r="J376" s="57" t="n"/>
      <c r="K376" s="58" t="n">
        <v>1</v>
      </c>
      <c r="L376" s="57" t="n">
        <v>3816.05</v>
      </c>
      <c r="M376" s="57" t="n"/>
      <c r="N376" s="55" t="inlineStr">
        <is>
          <t>Внешняя операция</t>
        </is>
      </c>
      <c r="O376" s="55" t="inlineStr">
        <is>
          <t>Финансовые</t>
        </is>
      </c>
      <c r="P376" s="55" t="inlineStr">
        <is>
          <t>Банковские комиссии</t>
        </is>
      </c>
      <c r="Q376" s="55" t="inlineStr">
        <is>
          <t>ФИЛИАЛ АО "BANK RBK" В Г.АСТАНА</t>
        </is>
      </c>
    </row>
    <row r="377">
      <c r="A377" s="55" t="inlineStr">
        <is>
          <t>08.07.2026</t>
        </is>
      </c>
      <c r="B377" s="55" t="inlineStr">
        <is>
          <t>Bank RBK</t>
        </is>
      </c>
      <c r="C377" s="55" t="inlineStr">
        <is>
          <t>KZT</t>
        </is>
      </c>
      <c r="D377" s="55" t="inlineStr">
        <is>
          <t>0001</t>
        </is>
      </c>
      <c r="E377" s="55" t="inlineStr">
        <is>
          <t>ТОО "WayStar Group"</t>
        </is>
      </c>
      <c r="F377" s="55" t="inlineStr">
        <is>
          <t>240340014287</t>
        </is>
      </c>
      <c r="G377" s="55" t="inlineStr"/>
      <c r="H377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77" s="57" t="n">
        <v>7450000</v>
      </c>
      <c r="J377" s="57" t="n"/>
      <c r="K377" s="58" t="n">
        <v>1</v>
      </c>
      <c r="L377" s="57" t="n">
        <v>7450000</v>
      </c>
      <c r="M377" s="57" t="n"/>
      <c r="N377" s="59" t="inlineStr">
        <is>
          <t>Внутренний перевод</t>
        </is>
      </c>
      <c r="O377" s="55" t="inlineStr">
        <is>
          <t>Технические</t>
        </is>
      </c>
      <c r="P377" s="55" t="inlineStr">
        <is>
          <t>Перевод между своими счетами</t>
        </is>
      </c>
      <c r="Q377" s="55" t="inlineStr"/>
    </row>
    <row r="378">
      <c r="A378" s="55" t="inlineStr">
        <is>
          <t>09.07.2026</t>
        </is>
      </c>
      <c r="B378" s="55" t="inlineStr">
        <is>
          <t>Bank RBK</t>
        </is>
      </c>
      <c r="C378" s="55" t="inlineStr">
        <is>
          <t>KZT</t>
        </is>
      </c>
      <c r="D378" s="55" t="inlineStr">
        <is>
          <t>0001</t>
        </is>
      </c>
      <c r="E378" s="55" t="inlineStr">
        <is>
          <t>ТОО Каз Алтын Групп</t>
        </is>
      </c>
      <c r="F378" s="55" t="inlineStr">
        <is>
          <t>140940002482</t>
        </is>
      </c>
      <c r="G378" s="55" t="inlineStr"/>
      <c r="H378" s="56" t="inlineStr">
        <is>
          <t>Оплата за услуги по счету № 144 от 23.06.2026г. Без НДС. Платежи за услуги железнодорожного транспорта</t>
        </is>
      </c>
      <c r="I378" s="57" t="n"/>
      <c r="J378" s="57" t="n">
        <v>550000</v>
      </c>
      <c r="K378" s="58" t="n">
        <v>1</v>
      </c>
      <c r="L378" s="57" t="n"/>
      <c r="M378" s="57" t="n">
        <v>550000</v>
      </c>
      <c r="N378" s="55" t="inlineStr">
        <is>
          <t>Внешняя операция</t>
        </is>
      </c>
      <c r="O378" s="55" t="inlineStr">
        <is>
          <t>Выручка</t>
        </is>
      </c>
      <c r="P378" s="55" t="inlineStr">
        <is>
          <t>Операционная выручка (ТЭО, вагоны)</t>
        </is>
      </c>
      <c r="Q378" s="55" t="inlineStr">
        <is>
          <t>ТОО Каз Алтын Групп</t>
        </is>
      </c>
    </row>
    <row r="379">
      <c r="A379" s="55" t="inlineStr">
        <is>
          <t>09.07.2026</t>
        </is>
      </c>
      <c r="B379" s="55" t="inlineStr">
        <is>
          <t>Bank RBK</t>
        </is>
      </c>
      <c r="C379" s="55" t="inlineStr">
        <is>
          <t>KZT</t>
        </is>
      </c>
      <c r="D379" s="55" t="inlineStr">
        <is>
          <t>0001</t>
        </is>
      </c>
      <c r="E379" s="55" t="inlineStr">
        <is>
          <t>ТОО East Agro Company</t>
        </is>
      </c>
      <c r="F379" s="55" t="inlineStr">
        <is>
          <t>230340042290</t>
        </is>
      </c>
      <c r="G379" s="55" t="inlineStr"/>
      <c r="H379" s="56" t="inlineStr">
        <is>
          <t>Оплата за услуги по счету 180 от 07.07.2026 Без налога (НДС) Договор: 2026/06-45 от 11.06.2026 Платежи за услуги железнодорожного транспорта,</t>
        </is>
      </c>
      <c r="I379" s="57" t="n"/>
      <c r="J379" s="57" t="n">
        <v>12700440</v>
      </c>
      <c r="K379" s="58" t="n">
        <v>1</v>
      </c>
      <c r="L379" s="57" t="n"/>
      <c r="M379" s="57" t="n">
        <v>12700440</v>
      </c>
      <c r="N379" s="55" t="inlineStr">
        <is>
          <t>Внешняя операция</t>
        </is>
      </c>
      <c r="O379" s="55" t="inlineStr">
        <is>
          <t>Выручка</t>
        </is>
      </c>
      <c r="P379" s="55" t="inlineStr">
        <is>
          <t>Операционная выручка (ТЭО, вагоны)</t>
        </is>
      </c>
      <c r="Q379" s="55" t="inlineStr">
        <is>
          <t>ТОО East Agro Company</t>
        </is>
      </c>
    </row>
    <row r="380">
      <c r="A380" s="55" t="inlineStr">
        <is>
          <t>09.07.2026</t>
        </is>
      </c>
      <c r="B380" s="55" t="inlineStr">
        <is>
          <t>Bank RBK</t>
        </is>
      </c>
      <c r="C380" s="55" t="inlineStr">
        <is>
          <t>KZT</t>
        </is>
      </c>
      <c r="D380" s="55" t="inlineStr">
        <is>
          <t>0001</t>
        </is>
      </c>
      <c r="E380" s="55" t="inlineStr">
        <is>
          <t>ТОО Altyn Shyghys</t>
        </is>
      </c>
      <c r="F380" s="55" t="inlineStr">
        <is>
          <t>190140000545</t>
        </is>
      </c>
      <c r="G380" s="55" t="inlineStr"/>
      <c r="H380" s="56" t="inlineStr">
        <is>
          <t>Оплата за услуги по счету 179 от 07.07.2026 Без налога (НДС) Договор: 2026/01-04 ТЭУ от 13.01.2026 Платежи за услуги железнодорожного транспорта,</t>
        </is>
      </c>
      <c r="I380" s="57" t="n"/>
      <c r="J380" s="57" t="n">
        <v>44100000</v>
      </c>
      <c r="K380" s="58" t="n">
        <v>1</v>
      </c>
      <c r="L380" s="57" t="n"/>
      <c r="M380" s="57" t="n">
        <v>44100000</v>
      </c>
      <c r="N380" s="55" t="inlineStr">
        <is>
          <t>Внешняя операция</t>
        </is>
      </c>
      <c r="O380" s="55" t="inlineStr">
        <is>
          <t>Выручка</t>
        </is>
      </c>
      <c r="P380" s="55" t="inlineStr">
        <is>
          <t>Операционная выручка (ТЭО, вагоны)</t>
        </is>
      </c>
      <c r="Q380" s="55" t="inlineStr">
        <is>
          <t>ТОО «Altyn Shyghys»</t>
        </is>
      </c>
    </row>
    <row r="381">
      <c r="A381" s="55" t="inlineStr">
        <is>
          <t>09.07.2026</t>
        </is>
      </c>
      <c r="B381" s="55" t="inlineStr">
        <is>
          <t>Bank RBK</t>
        </is>
      </c>
      <c r="C381" s="55" t="inlineStr">
        <is>
          <t>KZT</t>
        </is>
      </c>
      <c r="D381" s="55" t="inlineStr">
        <is>
          <t>0001</t>
        </is>
      </c>
      <c r="E381" s="55" t="inlineStr">
        <is>
          <t>ФИЛИАЛ АО "BANK RBK" В Г.АСТАНА</t>
        </is>
      </c>
      <c r="F381" s="55" t="inlineStr">
        <is>
          <t>111141019679</t>
        </is>
      </c>
      <c r="G381" s="55" t="inlineStr"/>
      <c r="H381" s="56" t="inlineStr">
        <is>
          <t>Комиссия Банка за переводные операции по платежному документу № 1381 от 08/07/2026, в т.ч. НДС.</t>
        </is>
      </c>
      <c r="I381" s="57" t="n">
        <v>183.95</v>
      </c>
      <c r="J381" s="57" t="n"/>
      <c r="K381" s="58" t="n">
        <v>1</v>
      </c>
      <c r="L381" s="57" t="n">
        <v>183.95</v>
      </c>
      <c r="M381" s="57" t="n"/>
      <c r="N381" s="55" t="inlineStr">
        <is>
          <t>Внешняя операция</t>
        </is>
      </c>
      <c r="O381" s="55" t="inlineStr">
        <is>
          <t>Финансовые</t>
        </is>
      </c>
      <c r="P381" s="55" t="inlineStr">
        <is>
          <t>Банковские комиссии</t>
        </is>
      </c>
      <c r="Q381" s="55" t="inlineStr">
        <is>
          <t>ФИЛИАЛ АО "BANK RBK" В Г.АСТАНА</t>
        </is>
      </c>
    </row>
    <row r="382">
      <c r="A382" s="55" t="inlineStr">
        <is>
          <t>09.07.2026</t>
        </is>
      </c>
      <c r="B382" s="55" t="inlineStr">
        <is>
          <t>Bank RBK</t>
        </is>
      </c>
      <c r="C382" s="55" t="inlineStr">
        <is>
          <t>KZT</t>
        </is>
      </c>
      <c r="D382" s="55" t="inlineStr">
        <is>
          <t>0001</t>
        </is>
      </c>
      <c r="E382" s="55" t="inlineStr">
        <is>
          <t>ФИЛИАЛ АО "BANK RBK" В Г.АСТАНА</t>
        </is>
      </c>
      <c r="F382" s="55" t="inlineStr">
        <is>
          <t>111141019679</t>
        </is>
      </c>
      <c r="G382" s="55" t="inlineStr"/>
      <c r="H382" s="56" t="inlineStr">
        <is>
          <t>Комиссия Банка за переводные операции по платежному документу № 1382 от 09/07/2026, в т.ч. НДС.</t>
        </is>
      </c>
      <c r="I382" s="57" t="n">
        <v>4000</v>
      </c>
      <c r="J382" s="57" t="n"/>
      <c r="K382" s="58" t="n">
        <v>1</v>
      </c>
      <c r="L382" s="57" t="n">
        <v>4000</v>
      </c>
      <c r="M382" s="57" t="n"/>
      <c r="N382" s="55" t="inlineStr">
        <is>
          <t>Внешняя операция</t>
        </is>
      </c>
      <c r="O382" s="55" t="inlineStr">
        <is>
          <t>Финансовые</t>
        </is>
      </c>
      <c r="P382" s="55" t="inlineStr">
        <is>
          <t>Банковские комиссии</t>
        </is>
      </c>
      <c r="Q382" s="55" t="inlineStr">
        <is>
          <t>ФИЛИАЛ АО "BANK RBK" В Г.АСТАНА</t>
        </is>
      </c>
    </row>
    <row r="383">
      <c r="A383" s="55" t="inlineStr">
        <is>
          <t>09.07.2026</t>
        </is>
      </c>
      <c r="B383" s="55" t="inlineStr">
        <is>
          <t>Bank RBK</t>
        </is>
      </c>
      <c r="C383" s="55" t="inlineStr">
        <is>
          <t>KZT</t>
        </is>
      </c>
      <c r="D383" s="55" t="inlineStr">
        <is>
          <t>0001</t>
        </is>
      </c>
      <c r="E383" s="55" t="inlineStr">
        <is>
          <t>ТОО "WayStar Group"</t>
        </is>
      </c>
      <c r="F383" s="55" t="inlineStr">
        <is>
          <t>240340014287</t>
        </is>
      </c>
      <c r="G383" s="55" t="inlineStr"/>
      <c r="H383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83" s="57" t="n">
        <v>57300000</v>
      </c>
      <c r="J383" s="57" t="n"/>
      <c r="K383" s="58" t="n">
        <v>1</v>
      </c>
      <c r="L383" s="57" t="n">
        <v>57300000</v>
      </c>
      <c r="M383" s="57" t="n"/>
      <c r="N383" s="59" t="inlineStr">
        <is>
          <t>Внутренний перевод</t>
        </is>
      </c>
      <c r="O383" s="55" t="inlineStr">
        <is>
          <t>Технические</t>
        </is>
      </c>
      <c r="P383" s="55" t="inlineStr">
        <is>
          <t>Перевод между своими счетами</t>
        </is>
      </c>
      <c r="Q383" s="55" t="inlineStr"/>
    </row>
    <row r="384">
      <c r="A384" s="55" t="inlineStr">
        <is>
          <t>13.07.2026</t>
        </is>
      </c>
      <c r="B384" s="55" t="inlineStr">
        <is>
          <t>Bank RBK</t>
        </is>
      </c>
      <c r="C384" s="55" t="inlineStr">
        <is>
          <t>KZT</t>
        </is>
      </c>
      <c r="D384" s="55" t="inlineStr">
        <is>
          <t>0001</t>
        </is>
      </c>
      <c r="E384" s="55" t="inlineStr">
        <is>
          <t>ФИЛИАЛ АО "BANK RBK" В Г.АСТАНА</t>
        </is>
      </c>
      <c r="F384" s="55" t="inlineStr">
        <is>
          <t>111141019679</t>
        </is>
      </c>
      <c r="G384" s="55" t="inlineStr"/>
      <c r="H384" s="56" t="inlineStr">
        <is>
          <t>Анықтамалар мен хаттар ұсынған үшін комиссия, оның ішінде ҚҚС/ Комиссия за предоставление справок и писем. в т.ч.НДС</t>
        </is>
      </c>
      <c r="I384" s="57" t="n">
        <v>2000</v>
      </c>
      <c r="J384" s="57" t="n"/>
      <c r="K384" s="58" t="n">
        <v>1</v>
      </c>
      <c r="L384" s="57" t="n">
        <v>2000</v>
      </c>
      <c r="M384" s="57" t="n"/>
      <c r="N384" s="55" t="inlineStr">
        <is>
          <t>Внешняя операция</t>
        </is>
      </c>
      <c r="O384" s="55" t="inlineStr">
        <is>
          <t>Финансовые</t>
        </is>
      </c>
      <c r="P384" s="55" t="inlineStr">
        <is>
          <t>Банковские комиссии</t>
        </is>
      </c>
      <c r="Q384" s="55" t="inlineStr">
        <is>
          <t>ФИЛИАЛ АО "BANK RBK" В Г.АСТАНА</t>
        </is>
      </c>
    </row>
    <row r="385">
      <c r="A385" s="55" t="inlineStr">
        <is>
          <t>15.07.2026</t>
        </is>
      </c>
      <c r="B385" s="55" t="inlineStr">
        <is>
          <t>Bank RBK</t>
        </is>
      </c>
      <c r="C385" s="55" t="inlineStr">
        <is>
          <t>KZT</t>
        </is>
      </c>
      <c r="D385" s="55" t="inlineStr">
        <is>
          <t>0001</t>
        </is>
      </c>
      <c r="E385" s="55" t="inlineStr">
        <is>
          <t>ТОО Темир Экспресс Логистик</t>
        </is>
      </c>
      <c r="F385" s="55" t="inlineStr">
        <is>
          <t>181140007424</t>
        </is>
      </c>
      <c r="G385" s="55" t="inlineStr"/>
      <c r="H385" s="56" t="inlineStr">
        <is>
          <t>Согласно счет на оплату 156 от 30 июня 2026 г. Платежи за услуги железнодорожного транспорта,</t>
        </is>
      </c>
      <c r="I385" s="57" t="n"/>
      <c r="J385" s="57" t="n">
        <v>4472225</v>
      </c>
      <c r="K385" s="58" t="n">
        <v>1</v>
      </c>
      <c r="L385" s="57" t="n"/>
      <c r="M385" s="57" t="n">
        <v>4472225</v>
      </c>
      <c r="N385" s="55" t="inlineStr">
        <is>
          <t>Внешняя операция</t>
        </is>
      </c>
      <c r="O385" s="55" t="inlineStr">
        <is>
          <t>Выручка</t>
        </is>
      </c>
      <c r="P385" s="55" t="inlineStr">
        <is>
          <t>Операционная выручка (ТЭО, вагоны)</t>
        </is>
      </c>
      <c r="Q385" s="55" t="inlineStr">
        <is>
          <t>ТОО Темир Экспресс Логистик</t>
        </is>
      </c>
    </row>
    <row r="386">
      <c r="A386" s="55" t="inlineStr">
        <is>
          <t>15.07.2026</t>
        </is>
      </c>
      <c r="B386" s="55" t="inlineStr">
        <is>
          <t>Bank RBK</t>
        </is>
      </c>
      <c r="C386" s="55" t="inlineStr">
        <is>
          <t>KZT</t>
        </is>
      </c>
      <c r="D386" s="55" t="inlineStr">
        <is>
          <t>0001</t>
        </is>
      </c>
      <c r="E386" s="55" t="inlineStr">
        <is>
          <t>ТОО REGAL EXPORT</t>
        </is>
      </c>
      <c r="F386" s="55" t="inlineStr">
        <is>
          <t>180240032119</t>
        </is>
      </c>
      <c r="G386" s="55" t="inlineStr"/>
      <c r="H386" s="56" t="inlineStr">
        <is>
          <t>Предоплата за транспортно- экспедиторские услуги , по договору №2026/06-51 от 25.06.2026г. маршрут Чкалово -Достык эксп., 11 вагонов, по счету №190 от 15.07.2026 года. Платежи за услуги железнодорожного транспорта, Платежи за услуги железнодорожного транспорта,</t>
        </is>
      </c>
      <c r="I386" s="57" t="n"/>
      <c r="J386" s="57" t="n">
        <v>16500000</v>
      </c>
      <c r="K386" s="58" t="n">
        <v>1</v>
      </c>
      <c r="L386" s="57" t="n"/>
      <c r="M386" s="57" t="n">
        <v>16500000</v>
      </c>
      <c r="N386" s="55" t="inlineStr">
        <is>
          <t>Внешняя операция</t>
        </is>
      </c>
      <c r="O386" s="55" t="inlineStr">
        <is>
          <t>Выручка</t>
        </is>
      </c>
      <c r="P386" s="55" t="inlineStr">
        <is>
          <t>Операционная выручка (ТЭО, вагоны)</t>
        </is>
      </c>
      <c r="Q386" s="55" t="inlineStr">
        <is>
          <t>ТОО REGAL EXPORT</t>
        </is>
      </c>
    </row>
    <row r="387">
      <c r="A387" s="55" t="inlineStr">
        <is>
          <t>16.07.2026</t>
        </is>
      </c>
      <c r="B387" s="55" t="inlineStr">
        <is>
          <t>Bank RBK</t>
        </is>
      </c>
      <c r="C387" s="55" t="inlineStr">
        <is>
          <t>KZT</t>
        </is>
      </c>
      <c r="D387" s="55" t="inlineStr">
        <is>
          <t>0001</t>
        </is>
      </c>
      <c r="E387" s="55" t="inlineStr">
        <is>
          <t>ФИЛИАЛ АО "BANK RBK" В Г.АСТАНА</t>
        </is>
      </c>
      <c r="F387" s="55" t="inlineStr">
        <is>
          <t>111141019679</t>
        </is>
      </c>
      <c r="G387" s="55" t="inlineStr"/>
      <c r="H387" s="56" t="inlineStr">
        <is>
          <t>Комиссия Банка за переводные операции по платежному документу № 1383 от 16/07/2026, в т.ч. НДС.</t>
        </is>
      </c>
      <c r="I387" s="57" t="n">
        <v>1300</v>
      </c>
      <c r="J387" s="57" t="n"/>
      <c r="K387" s="58" t="n">
        <v>1</v>
      </c>
      <c r="L387" s="57" t="n">
        <v>1300</v>
      </c>
      <c r="M387" s="57" t="n"/>
      <c r="N387" s="55" t="inlineStr">
        <is>
          <t>Внешняя операция</t>
        </is>
      </c>
      <c r="O387" s="55" t="inlineStr">
        <is>
          <t>Финансовые</t>
        </is>
      </c>
      <c r="P387" s="55" t="inlineStr">
        <is>
          <t>Банковские комиссии</t>
        </is>
      </c>
      <c r="Q387" s="55" t="inlineStr">
        <is>
          <t>ФИЛИАЛ АО "BANK RBK" В Г.АСТАНА</t>
        </is>
      </c>
    </row>
    <row r="388">
      <c r="A388" s="55" t="inlineStr">
        <is>
          <t>16.07.2026</t>
        </is>
      </c>
      <c r="B388" s="55" t="inlineStr">
        <is>
          <t>Bank RBK</t>
        </is>
      </c>
      <c r="C388" s="55" t="inlineStr">
        <is>
          <t>KZT</t>
        </is>
      </c>
      <c r="D388" s="55" t="inlineStr">
        <is>
          <t>0001</t>
        </is>
      </c>
      <c r="E388" s="55" t="inlineStr">
        <is>
          <t>ТОО "WayStar Group"</t>
        </is>
      </c>
      <c r="F388" s="55" t="inlineStr">
        <is>
          <t>240340014287</t>
        </is>
      </c>
      <c r="G388" s="55" t="inlineStr"/>
      <c r="H388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88" s="57" t="n">
        <v>21000000</v>
      </c>
      <c r="J388" s="57" t="n"/>
      <c r="K388" s="58" t="n">
        <v>1</v>
      </c>
      <c r="L388" s="57" t="n">
        <v>21000000</v>
      </c>
      <c r="M388" s="57" t="n"/>
      <c r="N388" s="59" t="inlineStr">
        <is>
          <t>Внутренний перевод</t>
        </is>
      </c>
      <c r="O388" s="55" t="inlineStr">
        <is>
          <t>Технические</t>
        </is>
      </c>
      <c r="P388" s="55" t="inlineStr">
        <is>
          <t>Перевод между своими счетами</t>
        </is>
      </c>
      <c r="Q388" s="55" t="inlineStr"/>
    </row>
    <row r="389">
      <c r="A389" s="55" t="inlineStr">
        <is>
          <t>17.07.2026</t>
        </is>
      </c>
      <c r="B389" s="55" t="inlineStr">
        <is>
          <t>Bank RBK</t>
        </is>
      </c>
      <c r="C389" s="55" t="inlineStr">
        <is>
          <t>KZT</t>
        </is>
      </c>
      <c r="D389" s="55" t="inlineStr">
        <is>
          <t>0001</t>
        </is>
      </c>
      <c r="E389" s="55" t="inlineStr">
        <is>
          <t>ТОО "WayStar Group"</t>
        </is>
      </c>
      <c r="F389" s="55" t="inlineStr">
        <is>
          <t>240340014287</t>
        </is>
      </c>
      <c r="G389" s="55" t="inlineStr"/>
      <c r="H389" s="56" t="inlineStr">
        <is>
          <t>перевод на другой счет.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89" s="57" t="n"/>
      <c r="J389" s="57" t="n">
        <v>50000</v>
      </c>
      <c r="K389" s="58" t="n">
        <v>1</v>
      </c>
      <c r="L389" s="57" t="n"/>
      <c r="M389" s="57" t="n">
        <v>50000</v>
      </c>
      <c r="N389" s="59" t="inlineStr">
        <is>
          <t>Внутренний перевод</t>
        </is>
      </c>
      <c r="O389" s="55" t="inlineStr">
        <is>
          <t>Технические</t>
        </is>
      </c>
      <c r="P389" s="55" t="inlineStr">
        <is>
          <t>Перевод между своими счетами</t>
        </is>
      </c>
      <c r="Q389" s="55" t="inlineStr"/>
    </row>
    <row r="390">
      <c r="A390" s="55" t="inlineStr">
        <is>
          <t>17.07.2026</t>
        </is>
      </c>
      <c r="B390" s="55" t="inlineStr">
        <is>
          <t>Bank RBK</t>
        </is>
      </c>
      <c r="C390" s="55" t="inlineStr">
        <is>
          <t>KZT</t>
        </is>
      </c>
      <c r="D390" s="55" t="inlineStr">
        <is>
          <t>0001</t>
        </is>
      </c>
      <c r="E390" s="55" t="inlineStr">
        <is>
          <t>ТОО ROYAL EXPORT</t>
        </is>
      </c>
      <c r="F390" s="55" t="inlineStr">
        <is>
          <t>120740010650</t>
        </is>
      </c>
      <c r="G390" s="55" t="inlineStr"/>
      <c r="H390" s="56" t="inlineStr">
        <is>
          <t>За услуги. Оплата за предоставление вагонов, согласна счет на оплату №192 от 16.07.2026г.</t>
        </is>
      </c>
      <c r="I390" s="57" t="n"/>
      <c r="J390" s="57" t="n">
        <v>7200000</v>
      </c>
      <c r="K390" s="58" t="n">
        <v>1</v>
      </c>
      <c r="L390" s="57" t="n"/>
      <c r="M390" s="57" t="n">
        <v>7200000</v>
      </c>
      <c r="N390" s="55" t="inlineStr">
        <is>
          <t>Внешняя операция</t>
        </is>
      </c>
      <c r="O390" s="55" t="inlineStr">
        <is>
          <t>Выручка</t>
        </is>
      </c>
      <c r="P390" s="55" t="inlineStr">
        <is>
          <t>Операционная выручка (ТЭО, вагоны)</t>
        </is>
      </c>
      <c r="Q390" s="55" t="inlineStr">
        <is>
          <t>ТОО ROYAL EXPORT</t>
        </is>
      </c>
    </row>
    <row r="391">
      <c r="A391" s="55" t="inlineStr">
        <is>
          <t>17.07.2026</t>
        </is>
      </c>
      <c r="B391" s="55" t="inlineStr">
        <is>
          <t>Bank RBK</t>
        </is>
      </c>
      <c r="C391" s="55" t="inlineStr">
        <is>
          <t>KZT</t>
        </is>
      </c>
      <c r="D391" s="55" t="inlineStr">
        <is>
          <t>0001</t>
        </is>
      </c>
      <c r="E391" s="55" t="inlineStr">
        <is>
          <t>ФИЛИАЛ АО "BANK RBK" В Г.АСТАНА</t>
        </is>
      </c>
      <c r="F391" s="55" t="inlineStr">
        <is>
          <t>111141019679</t>
        </is>
      </c>
      <c r="G391" s="55" t="inlineStr"/>
      <c r="H391" s="56" t="inlineStr">
        <is>
          <t>Комиссия Банка за переводные операции по платежному документу № 1384 от 17/07/2026, в т.ч. НДС.</t>
        </is>
      </c>
      <c r="I391" s="57" t="n">
        <v>1300</v>
      </c>
      <c r="J391" s="57" t="n"/>
      <c r="K391" s="58" t="n">
        <v>1</v>
      </c>
      <c r="L391" s="57" t="n">
        <v>1300</v>
      </c>
      <c r="M391" s="57" t="n"/>
      <c r="N391" s="55" t="inlineStr">
        <is>
          <t>Внешняя операция</t>
        </is>
      </c>
      <c r="O391" s="55" t="inlineStr">
        <is>
          <t>Финансовые</t>
        </is>
      </c>
      <c r="P391" s="55" t="inlineStr">
        <is>
          <t>Банковские комиссии</t>
        </is>
      </c>
      <c r="Q391" s="55" t="inlineStr">
        <is>
          <t>ФИЛИАЛ АО "BANK RBK" В Г.АСТАНА</t>
        </is>
      </c>
    </row>
    <row r="392">
      <c r="A392" s="55" t="inlineStr">
        <is>
          <t>17.07.2026</t>
        </is>
      </c>
      <c r="B392" s="55" t="inlineStr">
        <is>
          <t>Bank RBK</t>
        </is>
      </c>
      <c r="C392" s="55" t="inlineStr">
        <is>
          <t>KZT</t>
        </is>
      </c>
      <c r="D392" s="55" t="inlineStr">
        <is>
          <t>0001</t>
        </is>
      </c>
      <c r="E392" s="55" t="inlineStr">
        <is>
          <t>ТОО "WayStar Group"</t>
        </is>
      </c>
      <c r="F392" s="55" t="inlineStr">
        <is>
          <t>240340014287</t>
        </is>
      </c>
      <c r="G392" s="55" t="inlineStr"/>
      <c r="H392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92" s="57" t="n">
        <v>7000000</v>
      </c>
      <c r="J392" s="57" t="n"/>
      <c r="K392" s="58" t="n">
        <v>1</v>
      </c>
      <c r="L392" s="57" t="n">
        <v>7000000</v>
      </c>
      <c r="M392" s="57" t="n"/>
      <c r="N392" s="59" t="inlineStr">
        <is>
          <t>Внутренний перевод</t>
        </is>
      </c>
      <c r="O392" s="55" t="inlineStr">
        <is>
          <t>Технические</t>
        </is>
      </c>
      <c r="P392" s="55" t="inlineStr">
        <is>
          <t>Перевод между своими счетами</t>
        </is>
      </c>
      <c r="Q392" s="55" t="inlineStr"/>
    </row>
    <row r="393">
      <c r="A393" s="55" t="inlineStr">
        <is>
          <t>20.07.2026</t>
        </is>
      </c>
      <c r="B393" s="55" t="inlineStr">
        <is>
          <t>Bank RBK</t>
        </is>
      </c>
      <c r="C393" s="55" t="inlineStr">
        <is>
          <t>KZT</t>
        </is>
      </c>
      <c r="D393" s="55" t="inlineStr">
        <is>
          <t>0001</t>
        </is>
      </c>
      <c r="E393" s="55" t="inlineStr">
        <is>
          <t>ТОО "WayStar Group"</t>
        </is>
      </c>
      <c r="F393" s="55" t="inlineStr">
        <is>
          <t>240340014287</t>
        </is>
      </c>
      <c r="G393" s="55" t="inlineStr"/>
      <c r="H393" s="56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93" s="57" t="n"/>
      <c r="J393" s="57" t="n">
        <v>600</v>
      </c>
      <c r="K393" s="58" t="n">
        <v>1</v>
      </c>
      <c r="L393" s="57" t="n"/>
      <c r="M393" s="57" t="n">
        <v>600</v>
      </c>
      <c r="N393" s="59" t="inlineStr">
        <is>
          <t>Внутренний перевод</t>
        </is>
      </c>
      <c r="O393" s="55" t="inlineStr">
        <is>
          <t>Технические</t>
        </is>
      </c>
      <c r="P393" s="55" t="inlineStr">
        <is>
          <t>Перевод между своими счетами</t>
        </is>
      </c>
      <c r="Q393" s="55" t="inlineStr"/>
    </row>
    <row r="394">
      <c r="A394" s="55" t="inlineStr">
        <is>
          <t>20.07.2026</t>
        </is>
      </c>
      <c r="B394" s="55" t="inlineStr">
        <is>
          <t>Bank RBK</t>
        </is>
      </c>
      <c r="C394" s="55" t="inlineStr">
        <is>
          <t>KZT</t>
        </is>
      </c>
      <c r="D394" s="55" t="inlineStr">
        <is>
          <t>0001</t>
        </is>
      </c>
      <c r="E394" s="55" t="inlineStr">
        <is>
          <t>ТОО "TimeAgro"</t>
        </is>
      </c>
      <c r="F394" s="55" t="inlineStr">
        <is>
          <t>251040022945</t>
        </is>
      </c>
      <c r="G394" s="55" t="inlineStr"/>
      <c r="H394" s="56" t="inlineStr">
        <is>
          <t>За услуги. Оплата согласно счета на оплату №173 от 30.06.2026 года/предоставление и жд тариф Жана Семей- Жомбой</t>
        </is>
      </c>
      <c r="I394" s="57" t="n"/>
      <c r="J394" s="57" t="n">
        <v>1100000</v>
      </c>
      <c r="K394" s="58" t="n">
        <v>1</v>
      </c>
      <c r="L394" s="57" t="n"/>
      <c r="M394" s="57" t="n">
        <v>1100000</v>
      </c>
      <c r="N394" s="55" t="inlineStr">
        <is>
          <t>Внешняя операция</t>
        </is>
      </c>
      <c r="O394" s="55" t="inlineStr">
        <is>
          <t>Выручка</t>
        </is>
      </c>
      <c r="P394" s="55" t="inlineStr">
        <is>
          <t>Операционная выручка (ТЭО, вагоны)</t>
        </is>
      </c>
      <c r="Q394" s="55" t="inlineStr">
        <is>
          <t>ТОО "TimeAgro"</t>
        </is>
      </c>
    </row>
    <row r="395">
      <c r="A395" s="55" t="inlineStr">
        <is>
          <t>20.07.2026</t>
        </is>
      </c>
      <c r="B395" s="55" t="inlineStr">
        <is>
          <t>Bank RBK</t>
        </is>
      </c>
      <c r="C395" s="55" t="inlineStr">
        <is>
          <t>KZT</t>
        </is>
      </c>
      <c r="D395" s="55" t="inlineStr">
        <is>
          <t>0001</t>
        </is>
      </c>
      <c r="E395" s="55" t="inlineStr">
        <is>
          <t>ТОО "WayStar Group"</t>
        </is>
      </c>
      <c r="F395" s="55" t="inlineStr">
        <is>
          <t>240340014287</t>
        </is>
      </c>
      <c r="G395" s="55" t="inlineStr"/>
      <c r="H395" s="56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95" s="57" t="n"/>
      <c r="J395" s="57" t="n">
        <v>16539443.52</v>
      </c>
      <c r="K395" s="58" t="n">
        <v>1</v>
      </c>
      <c r="L395" s="57" t="n"/>
      <c r="M395" s="57" t="n">
        <v>16539443.52</v>
      </c>
      <c r="N395" s="59" t="inlineStr">
        <is>
          <t>Внутренний перевод</t>
        </is>
      </c>
      <c r="O395" s="55" t="inlineStr">
        <is>
          <t>Технические</t>
        </is>
      </c>
      <c r="P395" s="55" t="inlineStr">
        <is>
          <t>Перевод между своими счетами</t>
        </is>
      </c>
      <c r="Q395" s="55" t="inlineStr"/>
    </row>
    <row r="396">
      <c r="A396" s="55" t="inlineStr">
        <is>
          <t>20.07.2026</t>
        </is>
      </c>
      <c r="B396" s="55" t="inlineStr">
        <is>
          <t>Bank RBK</t>
        </is>
      </c>
      <c r="C396" s="55" t="inlineStr">
        <is>
          <t>KZT</t>
        </is>
      </c>
      <c r="D396" s="55" t="inlineStr">
        <is>
          <t>0001</t>
        </is>
      </c>
      <c r="E396" s="55" t="inlineStr">
        <is>
          <t>ТОО "WayStar Group"</t>
        </is>
      </c>
      <c r="F396" s="55" t="inlineStr">
        <is>
          <t>240340014287</t>
        </is>
      </c>
      <c r="G396" s="55" t="inlineStr"/>
      <c r="H396" s="56" t="inlineStr">
        <is>
          <t>Перевод на другой счет организации. Без НДС.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396" s="57" t="n"/>
      <c r="J396" s="57" t="n">
        <v>54394333</v>
      </c>
      <c r="K396" s="58" t="n">
        <v>1</v>
      </c>
      <c r="L396" s="57" t="n"/>
      <c r="M396" s="57" t="n">
        <v>54394333</v>
      </c>
      <c r="N396" s="59" t="inlineStr">
        <is>
          <t>Внутренний перевод</t>
        </is>
      </c>
      <c r="O396" s="55" t="inlineStr">
        <is>
          <t>Технические</t>
        </is>
      </c>
      <c r="P396" s="55" t="inlineStr">
        <is>
          <t>Перевод между своими счетами</t>
        </is>
      </c>
      <c r="Q396" s="55" t="inlineStr"/>
    </row>
    <row r="397">
      <c r="A397" s="55" t="inlineStr">
        <is>
          <t>20.07.2026</t>
        </is>
      </c>
      <c r="B397" s="55" t="inlineStr">
        <is>
          <t>Bank RBK</t>
        </is>
      </c>
      <c r="C397" s="55" t="inlineStr">
        <is>
          <t>KZT</t>
        </is>
      </c>
      <c r="D397" s="55" t="inlineStr">
        <is>
          <t>0001</t>
        </is>
      </c>
      <c r="E397" s="55" t="inlineStr">
        <is>
          <t>АО "Банк "Bank RBK"</t>
        </is>
      </c>
      <c r="F397" s="55" t="inlineStr">
        <is>
          <t>920440001102</t>
        </is>
      </c>
      <c r="G397" s="55" t="inlineStr"/>
      <c r="H397" s="56" t="inlineStr">
        <is>
          <t>Погашение начисленного вознаграждения по договору ТОО  "WayStar Group", согласно кредитному договору № КЛЮ629600/005-25/6 от 21.05.26</t>
        </is>
      </c>
      <c r="I397" s="57" t="n">
        <v>77381.05</v>
      </c>
      <c r="J397" s="57" t="n"/>
      <c r="K397" s="58" t="n">
        <v>1</v>
      </c>
      <c r="L397" s="57" t="n">
        <v>77381.05</v>
      </c>
      <c r="M397" s="57" t="n"/>
      <c r="N397" s="55" t="inlineStr">
        <is>
          <t>Внешняя операция</t>
        </is>
      </c>
      <c r="O397" s="55" t="inlineStr">
        <is>
          <t>Финансовые</t>
        </is>
      </c>
      <c r="P397" s="55" t="inlineStr">
        <is>
          <t>Проценты по кредиту</t>
        </is>
      </c>
      <c r="Q397" s="55" t="inlineStr">
        <is>
          <t>АО "Банк "Bank RBK"</t>
        </is>
      </c>
    </row>
    <row r="398">
      <c r="A398" s="55" t="inlineStr">
        <is>
          <t>20.07.2026</t>
        </is>
      </c>
      <c r="B398" s="55" t="inlineStr">
        <is>
          <t>Bank RBK</t>
        </is>
      </c>
      <c r="C398" s="55" t="inlineStr">
        <is>
          <t>KZT</t>
        </is>
      </c>
      <c r="D398" s="55" t="inlineStr">
        <is>
          <t>0001</t>
        </is>
      </c>
      <c r="E398" s="55" t="inlineStr">
        <is>
          <t>АО "Банк "Bank RBK"</t>
        </is>
      </c>
      <c r="F398" s="55" t="inlineStr">
        <is>
          <t>920440001102</t>
        </is>
      </c>
      <c r="G398" s="55" t="inlineStr"/>
      <c r="H398" s="56" t="inlineStr">
        <is>
          <t>Погашение начисленного вознаграждения по договору ТОО  "WayStar Group", согласно кредитному договору № КЛЮ629600/005-25/5 от 15.05.26</t>
        </is>
      </c>
      <c r="I398" s="57" t="n">
        <v>227333.33</v>
      </c>
      <c r="J398" s="57" t="n"/>
      <c r="K398" s="58" t="n">
        <v>1</v>
      </c>
      <c r="L398" s="57" t="n">
        <v>227333.33</v>
      </c>
      <c r="M398" s="57" t="n"/>
      <c r="N398" s="55" t="inlineStr">
        <is>
          <t>Внешняя операция</t>
        </is>
      </c>
      <c r="O398" s="55" t="inlineStr">
        <is>
          <t>Финансовые</t>
        </is>
      </c>
      <c r="P398" s="55" t="inlineStr">
        <is>
          <t>Проценты по кредиту</t>
        </is>
      </c>
      <c r="Q398" s="55" t="inlineStr">
        <is>
          <t>АО "Банк "Bank RBK"</t>
        </is>
      </c>
    </row>
    <row r="399">
      <c r="A399" s="55" t="inlineStr">
        <is>
          <t>20.07.2026</t>
        </is>
      </c>
      <c r="B399" s="55" t="inlineStr">
        <is>
          <t>Bank RBK</t>
        </is>
      </c>
      <c r="C399" s="55" t="inlineStr">
        <is>
          <t>KZT</t>
        </is>
      </c>
      <c r="D399" s="55" t="inlineStr">
        <is>
          <t>0001</t>
        </is>
      </c>
      <c r="E399" s="55" t="inlineStr">
        <is>
          <t>АО "Банк "Bank RBK"</t>
        </is>
      </c>
      <c r="F399" s="55" t="inlineStr">
        <is>
          <t>920440001102</t>
        </is>
      </c>
      <c r="G399" s="55" t="inlineStr"/>
      <c r="H399" s="56" t="inlineStr">
        <is>
          <t>Погашение начисленного вознаграждения по договору ТОО  "WayStar Group", согласно кредитному договору № КЛЮ629600/005-25/4 от 15.05.26</t>
        </is>
      </c>
      <c r="I399" s="57" t="n">
        <v>263881.05</v>
      </c>
      <c r="J399" s="57" t="n"/>
      <c r="K399" s="58" t="n">
        <v>1</v>
      </c>
      <c r="L399" s="57" t="n">
        <v>263881.05</v>
      </c>
      <c r="M399" s="57" t="n"/>
      <c r="N399" s="55" t="inlineStr">
        <is>
          <t>Внешняя операция</t>
        </is>
      </c>
      <c r="O399" s="55" t="inlineStr">
        <is>
          <t>Финансовые</t>
        </is>
      </c>
      <c r="P399" s="55" t="inlineStr">
        <is>
          <t>Проценты по кредиту</t>
        </is>
      </c>
      <c r="Q399" s="55" t="inlineStr">
        <is>
          <t>АО "Банк "Bank RBK"</t>
        </is>
      </c>
    </row>
    <row r="400">
      <c r="A400" s="55" t="inlineStr">
        <is>
          <t>20.07.2026</t>
        </is>
      </c>
      <c r="B400" s="55" t="inlineStr">
        <is>
          <t>Bank RBK</t>
        </is>
      </c>
      <c r="C400" s="55" t="inlineStr">
        <is>
          <t>KZT</t>
        </is>
      </c>
      <c r="D400" s="55" t="inlineStr">
        <is>
          <t>0001</t>
        </is>
      </c>
      <c r="E400" s="55" t="inlineStr">
        <is>
          <t>АО "Банк "Bank RBK"</t>
        </is>
      </c>
      <c r="F400" s="55" t="inlineStr">
        <is>
          <t>920440001102</t>
        </is>
      </c>
      <c r="G400" s="55" t="inlineStr"/>
      <c r="H400" s="56" t="inlineStr">
        <is>
          <t>Погашение начисленного вознаграждения по договору ТОО  "WayStar Group", согласно кредитному договору № КЛЮ629600/005-25/7 от 21.05.26</t>
        </is>
      </c>
      <c r="I400" s="57" t="n">
        <v>397833.33</v>
      </c>
      <c r="J400" s="57" t="n"/>
      <c r="K400" s="58" t="n">
        <v>1</v>
      </c>
      <c r="L400" s="57" t="n">
        <v>397833.33</v>
      </c>
      <c r="M400" s="57" t="n"/>
      <c r="N400" s="55" t="inlineStr">
        <is>
          <t>Внешняя операция</t>
        </is>
      </c>
      <c r="O400" s="55" t="inlineStr">
        <is>
          <t>Финансовые</t>
        </is>
      </c>
      <c r="P400" s="55" t="inlineStr">
        <is>
          <t>Проценты по кредиту</t>
        </is>
      </c>
      <c r="Q400" s="55" t="inlineStr">
        <is>
          <t>АО "Банк "Bank RBK"</t>
        </is>
      </c>
    </row>
    <row r="401">
      <c r="A401" s="55" t="inlineStr">
        <is>
          <t>20.07.2026</t>
        </is>
      </c>
      <c r="B401" s="55" t="inlineStr">
        <is>
          <t>Bank RBK</t>
        </is>
      </c>
      <c r="C401" s="55" t="inlineStr">
        <is>
          <t>KZT</t>
        </is>
      </c>
      <c r="D401" s="55" t="inlineStr">
        <is>
          <t>0001</t>
        </is>
      </c>
      <c r="E401" s="55" t="inlineStr">
        <is>
          <t>АО "Банк "Bank RBK"</t>
        </is>
      </c>
      <c r="F401" s="55" t="inlineStr">
        <is>
          <t>920440001102</t>
        </is>
      </c>
      <c r="G401" s="55" t="inlineStr"/>
      <c r="H401" s="56" t="inlineStr">
        <is>
          <t>Погашение начисленного вознаграждения по договору ТОО  "WayStar Group", согласно кредитному договору № КЛЮ629600/005-25/4 от 15.05.26</t>
        </is>
      </c>
      <c r="I401" s="57" t="n">
        <v>1022618.95</v>
      </c>
      <c r="J401" s="57" t="n"/>
      <c r="K401" s="58" t="n">
        <v>1</v>
      </c>
      <c r="L401" s="57" t="n">
        <v>1022618.95</v>
      </c>
      <c r="M401" s="57" t="n"/>
      <c r="N401" s="55" t="inlineStr">
        <is>
          <t>Внешняя операция</t>
        </is>
      </c>
      <c r="O401" s="55" t="inlineStr">
        <is>
          <t>Финансовые</t>
        </is>
      </c>
      <c r="P401" s="55" t="inlineStr">
        <is>
          <t>Проценты по кредиту</t>
        </is>
      </c>
      <c r="Q401" s="55" t="inlineStr">
        <is>
          <t>АО "Банк "Bank RBK"</t>
        </is>
      </c>
    </row>
    <row r="402">
      <c r="A402" s="55" t="inlineStr">
        <is>
          <t>20.07.2026</t>
        </is>
      </c>
      <c r="B402" s="55" t="inlineStr">
        <is>
          <t>Bank RBK</t>
        </is>
      </c>
      <c r="C402" s="55" t="inlineStr">
        <is>
          <t>KZT</t>
        </is>
      </c>
      <c r="D402" s="55" t="inlineStr">
        <is>
          <t>0001</t>
        </is>
      </c>
      <c r="E402" s="55" t="inlineStr">
        <is>
          <t>АО "Банк "Bank RBK"</t>
        </is>
      </c>
      <c r="F402" s="55" t="inlineStr">
        <is>
          <t>920440001102</t>
        </is>
      </c>
      <c r="G402" s="55" t="inlineStr"/>
      <c r="H402" s="56" t="inlineStr">
        <is>
          <t>Погашение начисленного вознаграждения по договору ТОО  "WayStar Group", согласно кредитному договору № КЛЮ629600/005-25/6 от 21.05.26</t>
        </is>
      </c>
      <c r="I402" s="57" t="n">
        <v>1209118.95</v>
      </c>
      <c r="J402" s="57" t="n"/>
      <c r="K402" s="58" t="n">
        <v>1</v>
      </c>
      <c r="L402" s="57" t="n">
        <v>1209118.95</v>
      </c>
      <c r="M402" s="57" t="n"/>
      <c r="N402" s="55" t="inlineStr">
        <is>
          <t>Внешняя операция</t>
        </is>
      </c>
      <c r="O402" s="55" t="inlineStr">
        <is>
          <t>Финансовые</t>
        </is>
      </c>
      <c r="P402" s="55" t="inlineStr">
        <is>
          <t>Проценты по кредиту</t>
        </is>
      </c>
      <c r="Q402" s="55" t="inlineStr">
        <is>
          <t>АО "Банк "Bank RBK"</t>
        </is>
      </c>
    </row>
    <row r="403">
      <c r="A403" s="55" t="inlineStr">
        <is>
          <t>20.07.2026</t>
        </is>
      </c>
      <c r="B403" s="55" t="inlineStr">
        <is>
          <t>Bank RBK</t>
        </is>
      </c>
      <c r="C403" s="55" t="inlineStr">
        <is>
          <t>KZT</t>
        </is>
      </c>
      <c r="D403" s="55" t="inlineStr">
        <is>
          <t>0001</t>
        </is>
      </c>
      <c r="E403" s="55" t="inlineStr">
        <is>
          <t>АО "Банк "Bank RBK"</t>
        </is>
      </c>
      <c r="F403" s="55" t="inlineStr">
        <is>
          <t>920440001102</t>
        </is>
      </c>
      <c r="G403" s="55" t="inlineStr"/>
      <c r="H403" s="56" t="inlineStr">
        <is>
          <t>Погашение начисленного вознаграждения по договору ТОО  "WayStar Group", согласно кредитному договору № КЛЮ791149/005-26/1 от 06.03.26</t>
        </is>
      </c>
      <c r="I403" s="57" t="n">
        <v>2170000</v>
      </c>
      <c r="J403" s="57" t="n"/>
      <c r="K403" s="58" t="n">
        <v>1</v>
      </c>
      <c r="L403" s="57" t="n">
        <v>2170000</v>
      </c>
      <c r="M403" s="57" t="n"/>
      <c r="N403" s="55" t="inlineStr">
        <is>
          <t>Внешняя операция</t>
        </is>
      </c>
      <c r="O403" s="55" t="inlineStr">
        <is>
          <t>Финансовые</t>
        </is>
      </c>
      <c r="P403" s="55" t="inlineStr">
        <is>
          <t>Проценты по кредиту</t>
        </is>
      </c>
      <c r="Q403" s="55" t="inlineStr">
        <is>
          <t>АО "Банк "Bank RBK"</t>
        </is>
      </c>
    </row>
    <row r="404">
      <c r="A404" s="55" t="inlineStr">
        <is>
          <t>20.07.2026</t>
        </is>
      </c>
      <c r="B404" s="55" t="inlineStr">
        <is>
          <t>Bank RBK</t>
        </is>
      </c>
      <c r="C404" s="55" t="inlineStr">
        <is>
          <t>KZT</t>
        </is>
      </c>
      <c r="D404" s="55" t="inlineStr">
        <is>
          <t>0001</t>
        </is>
      </c>
      <c r="E404" s="55" t="inlineStr">
        <is>
          <t>АО "Банк "Bank RBK"</t>
        </is>
      </c>
      <c r="F404" s="55" t="inlineStr">
        <is>
          <t>920440001102</t>
        </is>
      </c>
      <c r="G404" s="55" t="inlineStr"/>
      <c r="H404" s="56" t="inlineStr">
        <is>
          <t>Погашение суммы займа по договору ТОО  "WayStar Group", согласно кредитному договору № КЛЮ791149/005-26/1 от 06.03.26.</t>
        </is>
      </c>
      <c r="I404" s="57" t="n">
        <v>66666666.67</v>
      </c>
      <c r="J404" s="57" t="n"/>
      <c r="K404" s="58" t="n">
        <v>1</v>
      </c>
      <c r="L404" s="57" t="n">
        <v>66666666.67</v>
      </c>
      <c r="M404" s="57" t="n"/>
      <c r="N404" s="55" t="inlineStr">
        <is>
          <t>Внешняя операция</t>
        </is>
      </c>
      <c r="O404" s="55" t="inlineStr">
        <is>
          <t>Финансовые</t>
        </is>
      </c>
      <c r="P404" s="55" t="inlineStr">
        <is>
          <t>Погашение кредита — тело</t>
        </is>
      </c>
      <c r="Q404" s="55" t="inlineStr">
        <is>
          <t>АО "Банк "Bank RBK"</t>
        </is>
      </c>
    </row>
    <row r="405">
      <c r="A405" s="55" t="inlineStr">
        <is>
          <t>21.07.2026</t>
        </is>
      </c>
      <c r="B405" s="55" t="inlineStr">
        <is>
          <t>Bank RBK</t>
        </is>
      </c>
      <c r="C405" s="55" t="inlineStr">
        <is>
          <t>KZT</t>
        </is>
      </c>
      <c r="D405" s="55" t="inlineStr">
        <is>
          <t>0001</t>
        </is>
      </c>
      <c r="E405" s="55" t="inlineStr">
        <is>
          <t>Данияр Алим</t>
        </is>
      </c>
      <c r="F405" s="55" t="inlineStr">
        <is>
          <t>020420550046</t>
        </is>
      </c>
      <c r="G405" s="55" t="inlineStr"/>
      <c r="H405" s="56" t="inlineStr">
        <is>
          <t>Погашение краткосрочного займа (не более одного года). Безналичный перевод. ИИН/БИН получателя - 240340014287. Получатель  Товарищество С Ограниченной Ответственностью "waystar Group"</t>
        </is>
      </c>
      <c r="I405" s="57" t="n"/>
      <c r="J405" s="57" t="n">
        <v>1000</v>
      </c>
      <c r="K405" s="58" t="n">
        <v>1</v>
      </c>
      <c r="L405" s="57" t="n"/>
      <c r="M405" s="57" t="n">
        <v>1000</v>
      </c>
      <c r="N405" s="55" t="inlineStr">
        <is>
          <t>Внешняя операция</t>
        </is>
      </c>
      <c r="O405" s="55" t="inlineStr">
        <is>
          <t>Финансовые</t>
        </is>
      </c>
      <c r="P405" s="55" t="inlineStr">
        <is>
          <t>Возврат выданных займов</t>
        </is>
      </c>
      <c r="Q405" s="55" t="inlineStr">
        <is>
          <t>Данияр Алим</t>
        </is>
      </c>
    </row>
    <row r="406">
      <c r="A406" s="55" t="inlineStr">
        <is>
          <t>21.07.2026</t>
        </is>
      </c>
      <c r="B406" s="55" t="inlineStr">
        <is>
          <t>Bank RBK</t>
        </is>
      </c>
      <c r="C406" s="55" t="inlineStr">
        <is>
          <t>KZT</t>
        </is>
      </c>
      <c r="D406" s="55" t="inlineStr">
        <is>
          <t>0001</t>
        </is>
      </c>
      <c r="E406" s="55" t="inlineStr">
        <is>
          <t>ТОО ALTAI MAI</t>
        </is>
      </c>
      <c r="F406" s="55" t="inlineStr">
        <is>
          <t>181140016750</t>
        </is>
      </c>
      <c r="G406" s="55" t="inlineStr"/>
      <c r="H406" s="56" t="inlineStr">
        <is>
          <t>Оплата за транспортно-экспедиторские услуги по маршруту Оскемен1-Тайынша,согласно счета на оплату №187 от 14.07.2026г..Сумма 3 000 000-00 те?ге без НДС Платежи за услуги железнодорожного транспорта,</t>
        </is>
      </c>
      <c r="I406" s="57" t="n"/>
      <c r="J406" s="57" t="n">
        <v>3000000</v>
      </c>
      <c r="K406" s="58" t="n">
        <v>1</v>
      </c>
      <c r="L406" s="57" t="n"/>
      <c r="M406" s="57" t="n">
        <v>3000000</v>
      </c>
      <c r="N406" s="55" t="inlineStr">
        <is>
          <t>Внешняя операция</t>
        </is>
      </c>
      <c r="O406" s="55" t="inlineStr">
        <is>
          <t>Выручка</t>
        </is>
      </c>
      <c r="P406" s="55" t="inlineStr">
        <is>
          <t>Операционная выручка (ТЭО, вагоны)</t>
        </is>
      </c>
      <c r="Q406" s="55" t="inlineStr">
        <is>
          <t>ТОО ALTAI MAI</t>
        </is>
      </c>
    </row>
    <row r="407">
      <c r="A407" s="55" t="inlineStr">
        <is>
          <t>21.07.2026</t>
        </is>
      </c>
      <c r="B407" s="55" t="inlineStr">
        <is>
          <t>Bank RBK</t>
        </is>
      </c>
      <c r="C407" s="55" t="inlineStr">
        <is>
          <t>KZT</t>
        </is>
      </c>
      <c r="D407" s="55" t="inlineStr">
        <is>
          <t>0001</t>
        </is>
      </c>
      <c r="E407" s="55" t="inlineStr">
        <is>
          <t>ТОО "ШыгысАгроТорг"</t>
        </is>
      </c>
      <c r="F407" s="55" t="inlineStr">
        <is>
          <t>250940025325</t>
        </is>
      </c>
      <c r="G407" s="55" t="inlineStr"/>
      <c r="H407" s="56" t="inlineStr">
        <is>
          <t>Оплата по счету №193 от 16.07.2026г. за предоставление цистерн июль Договор №2026/05-39 ТЭУ от 18.05.2026г.. Без НДС. Платежи за услуги железнодорожного транспорта</t>
        </is>
      </c>
      <c r="I407" s="57" t="n"/>
      <c r="J407" s="57" t="n">
        <v>22400000</v>
      </c>
      <c r="K407" s="58" t="n">
        <v>1</v>
      </c>
      <c r="L407" s="57" t="n"/>
      <c r="M407" s="57" t="n">
        <v>22400000</v>
      </c>
      <c r="N407" s="55" t="inlineStr">
        <is>
          <t>Внешняя операция</t>
        </is>
      </c>
      <c r="O407" s="55" t="inlineStr">
        <is>
          <t>Выручка</t>
        </is>
      </c>
      <c r="P407" s="55" t="inlineStr">
        <is>
          <t>Операционная выручка (ТЭО, вагоны)</t>
        </is>
      </c>
      <c r="Q407" s="55" t="inlineStr">
        <is>
          <t>ТОО "ШыгысАгроТорг"</t>
        </is>
      </c>
    </row>
    <row r="408">
      <c r="A408" s="55" t="inlineStr">
        <is>
          <t>21.07.2026</t>
        </is>
      </c>
      <c r="B408" s="55" t="inlineStr">
        <is>
          <t>Bank RBK</t>
        </is>
      </c>
      <c r="C408" s="55" t="inlineStr">
        <is>
          <t>KZT</t>
        </is>
      </c>
      <c r="D408" s="55" t="inlineStr">
        <is>
          <t>0001</t>
        </is>
      </c>
      <c r="E408" s="55" t="inlineStr">
        <is>
          <t>ФИЛИАЛ АО "BANK RBK" В Г.АСТАНА</t>
        </is>
      </c>
      <c r="F408" s="55" t="inlineStr">
        <is>
          <t>111141019679</t>
        </is>
      </c>
      <c r="G408" s="55" t="inlineStr"/>
      <c r="H408" s="56" t="inlineStr">
        <is>
          <t>Комиссия Банка за переводные операции по платежному документу № 1385 от 21/07/2026, в т.ч. НДС.</t>
        </is>
      </c>
      <c r="I408" s="57" t="n">
        <v>4000</v>
      </c>
      <c r="J408" s="57" t="n"/>
      <c r="K408" s="58" t="n">
        <v>1</v>
      </c>
      <c r="L408" s="57" t="n">
        <v>4000</v>
      </c>
      <c r="M408" s="57" t="n"/>
      <c r="N408" s="55" t="inlineStr">
        <is>
          <t>Внешняя операция</t>
        </is>
      </c>
      <c r="O408" s="55" t="inlineStr">
        <is>
          <t>Финансовые</t>
        </is>
      </c>
      <c r="P408" s="55" t="inlineStr">
        <is>
          <t>Банковские комиссии</t>
        </is>
      </c>
      <c r="Q408" s="55" t="inlineStr">
        <is>
          <t>ФИЛИАЛ АО "BANK RBK" В Г.АСТАНА</t>
        </is>
      </c>
    </row>
    <row r="409">
      <c r="A409" s="55" t="inlineStr">
        <is>
          <t>21.07.2026</t>
        </is>
      </c>
      <c r="B409" s="55" t="inlineStr">
        <is>
          <t>Bank RBK</t>
        </is>
      </c>
      <c r="C409" s="55" t="inlineStr">
        <is>
          <t>KZT</t>
        </is>
      </c>
      <c r="D409" s="55" t="inlineStr">
        <is>
          <t>0001</t>
        </is>
      </c>
      <c r="E409" s="55" t="inlineStr">
        <is>
          <t>ТОО "WayStar Group"</t>
        </is>
      </c>
      <c r="F409" s="55" t="inlineStr">
        <is>
          <t>240340014287</t>
        </is>
      </c>
      <c r="G409" s="55" t="inlineStr"/>
      <c r="H409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09" s="57" t="n">
        <v>25000000</v>
      </c>
      <c r="J409" s="57" t="n"/>
      <c r="K409" s="58" t="n">
        <v>1</v>
      </c>
      <c r="L409" s="57" t="n">
        <v>25000000</v>
      </c>
      <c r="M409" s="57" t="n"/>
      <c r="N409" s="59" t="inlineStr">
        <is>
          <t>Внутренний перевод</t>
        </is>
      </c>
      <c r="O409" s="55" t="inlineStr">
        <is>
          <t>Технические</t>
        </is>
      </c>
      <c r="P409" s="55" t="inlineStr">
        <is>
          <t>Перевод между своими счетами</t>
        </is>
      </c>
      <c r="Q409" s="55" t="inlineStr"/>
    </row>
    <row r="410">
      <c r="A410" s="55" t="inlineStr">
        <is>
          <t>22.07.2026</t>
        </is>
      </c>
      <c r="B410" s="55" t="inlineStr">
        <is>
          <t>Bank RBK</t>
        </is>
      </c>
      <c r="C410" s="55" t="inlineStr">
        <is>
          <t>KZT</t>
        </is>
      </c>
      <c r="D410" s="55" t="inlineStr">
        <is>
          <t>0001</t>
        </is>
      </c>
      <c r="E410" s="55" t="inlineStr">
        <is>
          <t>ТОО Altyn Shyghys</t>
        </is>
      </c>
      <c r="F410" s="55" t="inlineStr">
        <is>
          <t>190140000545</t>
        </is>
      </c>
      <c r="G410" s="55" t="inlineStr"/>
      <c r="H410" s="56" t="inlineStr">
        <is>
          <t>Оплата за услуги по счету 191 от 15.07.2026 Без налога (НДС) Договор: 2026/01-04 ТЭУ от 13.01.2026 Платежи за услуги железнодорожного транспорта,</t>
        </is>
      </c>
      <c r="I410" s="57" t="n"/>
      <c r="J410" s="57" t="n">
        <v>70164000</v>
      </c>
      <c r="K410" s="58" t="n">
        <v>1</v>
      </c>
      <c r="L410" s="57" t="n"/>
      <c r="M410" s="57" t="n">
        <v>70164000</v>
      </c>
      <c r="N410" s="55" t="inlineStr">
        <is>
          <t>Внешняя операция</t>
        </is>
      </c>
      <c r="O410" s="55" t="inlineStr">
        <is>
          <t>Выручка</t>
        </is>
      </c>
      <c r="P410" s="55" t="inlineStr">
        <is>
          <t>Операционная выручка (ТЭО, вагоны)</t>
        </is>
      </c>
      <c r="Q410" s="55" t="inlineStr">
        <is>
          <t>ТОО «Altyn Shyghys»</t>
        </is>
      </c>
    </row>
    <row r="411">
      <c r="A411" s="55" t="inlineStr">
        <is>
          <t>22.07.2026</t>
        </is>
      </c>
      <c r="B411" s="55" t="inlineStr">
        <is>
          <t>Bank RBK</t>
        </is>
      </c>
      <c r="C411" s="55" t="inlineStr">
        <is>
          <t>KZT</t>
        </is>
      </c>
      <c r="D411" s="55" t="inlineStr">
        <is>
          <t>0001</t>
        </is>
      </c>
      <c r="E411" s="55" t="inlineStr">
        <is>
          <t>ФИЛИАЛ АО "BANK RBK" В Г.АСТАНА</t>
        </is>
      </c>
      <c r="F411" s="55" t="inlineStr">
        <is>
          <t>111141019679</t>
        </is>
      </c>
      <c r="G411" s="55" t="inlineStr"/>
      <c r="H411" s="56" t="inlineStr">
        <is>
          <t>Комиссия Банка за переводные операции по платежному документу № 1386 от 22/07/2026, в т.ч. НДС.</t>
        </is>
      </c>
      <c r="I411" s="57" t="n">
        <v>975</v>
      </c>
      <c r="J411" s="57" t="n"/>
      <c r="K411" s="58" t="n">
        <v>1</v>
      </c>
      <c r="L411" s="57" t="n">
        <v>975</v>
      </c>
      <c r="M411" s="57" t="n"/>
      <c r="N411" s="55" t="inlineStr">
        <is>
          <t>Внешняя операция</t>
        </is>
      </c>
      <c r="O411" s="55" t="inlineStr">
        <is>
          <t>Финансовые</t>
        </is>
      </c>
      <c r="P411" s="55" t="inlineStr">
        <is>
          <t>Банковские комиссии</t>
        </is>
      </c>
      <c r="Q411" s="55" t="inlineStr">
        <is>
          <t>ФИЛИАЛ АО "BANK RBK" В Г.АСТАНА</t>
        </is>
      </c>
    </row>
    <row r="412">
      <c r="A412" s="55" t="inlineStr">
        <is>
          <t>22.07.2026</t>
        </is>
      </c>
      <c r="B412" s="55" t="inlineStr">
        <is>
          <t>Bank RBK</t>
        </is>
      </c>
      <c r="C412" s="55" t="inlineStr">
        <is>
          <t>KZT</t>
        </is>
      </c>
      <c r="D412" s="55" t="inlineStr">
        <is>
          <t>0001</t>
        </is>
      </c>
      <c r="E412" s="55" t="inlineStr">
        <is>
          <t>ФИЛИАЛ АО "BANK RBK" В Г.АСТАНА</t>
        </is>
      </c>
      <c r="F412" s="55" t="inlineStr">
        <is>
          <t>111141019679</t>
        </is>
      </c>
      <c r="G412" s="55" t="inlineStr"/>
      <c r="H412" s="56" t="inlineStr">
        <is>
          <t>Комиссия за Принятие договора к валютному контролю и присвоение учетного номера контракта, ТОО  "WayStar Group", '240340014287', НДС в том числе Договор № 2026/07-57 FFS от 14.07/2026</t>
        </is>
      </c>
      <c r="I412" s="57" t="n">
        <v>5000</v>
      </c>
      <c r="J412" s="57" t="n"/>
      <c r="K412" s="58" t="n">
        <v>1</v>
      </c>
      <c r="L412" s="57" t="n">
        <v>5000</v>
      </c>
      <c r="M412" s="57" t="n"/>
      <c r="N412" s="55" t="inlineStr">
        <is>
          <t>Внешняя операция</t>
        </is>
      </c>
      <c r="O412" s="55" t="inlineStr">
        <is>
          <t>Финансовые</t>
        </is>
      </c>
      <c r="P412" s="55" t="inlineStr">
        <is>
          <t>Банковские комиссии</t>
        </is>
      </c>
      <c r="Q412" s="55" t="inlineStr">
        <is>
          <t>ФИЛИАЛ АО "BANK RBK" В Г.АСТАНА</t>
        </is>
      </c>
    </row>
    <row r="413">
      <c r="A413" s="55" t="inlineStr">
        <is>
          <t>22.07.2026</t>
        </is>
      </c>
      <c r="B413" s="55" t="inlineStr">
        <is>
          <t>Bank RBK</t>
        </is>
      </c>
      <c r="C413" s="55" t="inlineStr">
        <is>
          <t>KZT</t>
        </is>
      </c>
      <c r="D413" s="55" t="inlineStr">
        <is>
          <t>0001</t>
        </is>
      </c>
      <c r="E413" s="55" t="inlineStr">
        <is>
          <t>ТОО "WayStar Group"</t>
        </is>
      </c>
      <c r="F413" s="55" t="inlineStr">
        <is>
          <t>240340014287</t>
        </is>
      </c>
      <c r="G413" s="55" t="inlineStr"/>
      <c r="H413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13" s="57" t="n">
        <v>650000</v>
      </c>
      <c r="J413" s="57" t="n"/>
      <c r="K413" s="58" t="n">
        <v>1</v>
      </c>
      <c r="L413" s="57" t="n">
        <v>650000</v>
      </c>
      <c r="M413" s="57" t="n"/>
      <c r="N413" s="59" t="inlineStr">
        <is>
          <t>Внутренний перевод</t>
        </is>
      </c>
      <c r="O413" s="55" t="inlineStr">
        <is>
          <t>Технические</t>
        </is>
      </c>
      <c r="P413" s="55" t="inlineStr">
        <is>
          <t>Перевод между своими счетами</t>
        </is>
      </c>
      <c r="Q413" s="55" t="inlineStr"/>
    </row>
    <row r="414">
      <c r="A414" s="55" t="inlineStr">
        <is>
          <t>23.07.2026</t>
        </is>
      </c>
      <c r="B414" s="55" t="inlineStr">
        <is>
          <t>Bank RBK</t>
        </is>
      </c>
      <c r="C414" s="55" t="inlineStr">
        <is>
          <t>KZT</t>
        </is>
      </c>
      <c r="D414" s="55" t="inlineStr">
        <is>
          <t>0001</t>
        </is>
      </c>
      <c r="E414" s="55" t="inlineStr">
        <is>
          <t>ФИЛИАЛ АО "BANK RBK" В Г.АСТАНА</t>
        </is>
      </c>
      <c r="F414" s="55" t="inlineStr">
        <is>
          <t>111141019679</t>
        </is>
      </c>
      <c r="G414" s="55" t="inlineStr"/>
      <c r="H414" s="56" t="inlineStr">
        <is>
          <t>Комиссия Банка за переводные операции по платежному документу № 1387 от 23/07/2026, в т.ч. НДС.</t>
        </is>
      </c>
      <c r="I414" s="57" t="n">
        <v>1300</v>
      </c>
      <c r="J414" s="57" t="n"/>
      <c r="K414" s="58" t="n">
        <v>1</v>
      </c>
      <c r="L414" s="57" t="n">
        <v>1300</v>
      </c>
      <c r="M414" s="57" t="n"/>
      <c r="N414" s="55" t="inlineStr">
        <is>
          <t>Внешняя операция</t>
        </is>
      </c>
      <c r="O414" s="55" t="inlineStr">
        <is>
          <t>Финансовые</t>
        </is>
      </c>
      <c r="P414" s="55" t="inlineStr">
        <is>
          <t>Банковские комиссии</t>
        </is>
      </c>
      <c r="Q414" s="55" t="inlineStr">
        <is>
          <t>ФИЛИАЛ АО "BANK RBK" В Г.АСТАНА</t>
        </is>
      </c>
    </row>
    <row r="415">
      <c r="A415" s="55" t="inlineStr">
        <is>
          <t>23.07.2026</t>
        </is>
      </c>
      <c r="B415" s="55" t="inlineStr">
        <is>
          <t>Bank RBK</t>
        </is>
      </c>
      <c r="C415" s="55" t="inlineStr">
        <is>
          <t>KZT</t>
        </is>
      </c>
      <c r="D415" s="55" t="inlineStr">
        <is>
          <t>0001</t>
        </is>
      </c>
      <c r="E415" s="55" t="inlineStr">
        <is>
          <t>ТОО "WayStar Group"</t>
        </is>
      </c>
      <c r="F415" s="55" t="inlineStr">
        <is>
          <t>240340014287</t>
        </is>
      </c>
      <c r="G415" s="55" t="inlineStr"/>
      <c r="H415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15" s="57" t="n">
        <v>70100000</v>
      </c>
      <c r="J415" s="57" t="n"/>
      <c r="K415" s="58" t="n">
        <v>1</v>
      </c>
      <c r="L415" s="57" t="n">
        <v>70100000</v>
      </c>
      <c r="M415" s="57" t="n"/>
      <c r="N415" s="59" t="inlineStr">
        <is>
          <t>Внутренний перевод</t>
        </is>
      </c>
      <c r="O415" s="55" t="inlineStr">
        <is>
          <t>Технические</t>
        </is>
      </c>
      <c r="P415" s="55" t="inlineStr">
        <is>
          <t>Перевод между своими счетами</t>
        </is>
      </c>
      <c r="Q415" s="55" t="inlineStr"/>
    </row>
    <row r="416">
      <c r="A416" s="55" t="inlineStr">
        <is>
          <t>24.07.2026</t>
        </is>
      </c>
      <c r="B416" s="55" t="inlineStr">
        <is>
          <t>Bank RBK</t>
        </is>
      </c>
      <c r="C416" s="55" t="inlineStr">
        <is>
          <t>KZT</t>
        </is>
      </c>
      <c r="D416" s="55" t="inlineStr">
        <is>
          <t>0001</t>
        </is>
      </c>
      <c r="E416" s="55" t="inlineStr">
        <is>
          <t>Товарищество с ограниченной ответственностью "УСТЬ-КАМЕНОГОРСКИЙ МАСЛО-ЭКСТРАКЦИОННЫЙ КОМПЛЕКС"</t>
        </is>
      </c>
      <c r="F416" s="55" t="inlineStr">
        <is>
          <t>100840000306</t>
        </is>
      </c>
      <c r="G416" s="55" t="inlineStr"/>
      <c r="H416" s="56" t="inlineStr">
        <is>
          <t>Перечисляется за аренду вагонов, согласно счета на оплату № 189 от 15.07.26г.Сумма 12000000-00  теңге  без налога</t>
        </is>
      </c>
      <c r="I416" s="57" t="n"/>
      <c r="J416" s="57" t="n">
        <v>12000000</v>
      </c>
      <c r="K416" s="58" t="n">
        <v>1</v>
      </c>
      <c r="L416" s="57" t="n"/>
      <c r="M416" s="57" t="n">
        <v>12000000</v>
      </c>
      <c r="N416" s="55" t="inlineStr">
        <is>
          <t>Внешняя операция</t>
        </is>
      </c>
      <c r="O416" s="55" t="inlineStr">
        <is>
          <t>Выручка</t>
        </is>
      </c>
      <c r="P416" s="55" t="inlineStr">
        <is>
          <t>Операционная выручка (ТЭО, вагоны)</t>
        </is>
      </c>
      <c r="Q416" s="55" t="inlineStr">
        <is>
          <t>ТОО "УСТЬ-КАМЕНОГОРСКИЙ МАСЛО-ЭКСТРАКЦИОННЫЙ</t>
        </is>
      </c>
    </row>
    <row r="417">
      <c r="A417" s="55" t="inlineStr">
        <is>
          <t>24.07.2026</t>
        </is>
      </c>
      <c r="B417" s="55" t="inlineStr">
        <is>
          <t>Bank RBK</t>
        </is>
      </c>
      <c r="C417" s="55" t="inlineStr">
        <is>
          <t>KZT</t>
        </is>
      </c>
      <c r="D417" s="55" t="inlineStr">
        <is>
          <t>0001</t>
        </is>
      </c>
      <c r="E417" s="55" t="inlineStr">
        <is>
          <t>ФИЛИАЛ АО "BANK RBK" В Г.АСТАНА</t>
        </is>
      </c>
      <c r="F417" s="55" t="inlineStr">
        <is>
          <t>111141019679</t>
        </is>
      </c>
      <c r="G417" s="55" t="inlineStr"/>
      <c r="H417" s="56" t="inlineStr">
        <is>
          <t>Комиссия Банка за переводные операции по платежному документу № 1388 от 24/07/2026, в т.ч. НДС.</t>
        </is>
      </c>
      <c r="I417" s="57" t="n">
        <v>1300</v>
      </c>
      <c r="J417" s="57" t="n"/>
      <c r="K417" s="58" t="n">
        <v>1</v>
      </c>
      <c r="L417" s="57" t="n">
        <v>1300</v>
      </c>
      <c r="M417" s="57" t="n"/>
      <c r="N417" s="55" t="inlineStr">
        <is>
          <t>Внешняя операция</t>
        </is>
      </c>
      <c r="O417" s="55" t="inlineStr">
        <is>
          <t>Финансовые</t>
        </is>
      </c>
      <c r="P417" s="55" t="inlineStr">
        <is>
          <t>Банковские комиссии</t>
        </is>
      </c>
      <c r="Q417" s="55" t="inlineStr">
        <is>
          <t>ФИЛИАЛ АО "BANK RBK" В Г.АСТАНА</t>
        </is>
      </c>
    </row>
    <row r="418">
      <c r="A418" s="55" t="inlineStr">
        <is>
          <t>24.07.2026</t>
        </is>
      </c>
      <c r="B418" s="55" t="inlineStr">
        <is>
          <t>Bank RBK</t>
        </is>
      </c>
      <c r="C418" s="55" t="inlineStr">
        <is>
          <t>KZT</t>
        </is>
      </c>
      <c r="D418" s="55" t="inlineStr">
        <is>
          <t>0001</t>
        </is>
      </c>
      <c r="E418" s="55" t="inlineStr">
        <is>
          <t>ТОО "WayStar Group"</t>
        </is>
      </c>
      <c r="F418" s="55" t="inlineStr">
        <is>
          <t>240340014287</t>
        </is>
      </c>
      <c r="G418" s="55" t="inlineStr"/>
      <c r="H418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18" s="57" t="n">
        <v>12000000</v>
      </c>
      <c r="J418" s="57" t="n"/>
      <c r="K418" s="58" t="n">
        <v>1</v>
      </c>
      <c r="L418" s="57" t="n">
        <v>12000000</v>
      </c>
      <c r="M418" s="57" t="n"/>
      <c r="N418" s="59" t="inlineStr">
        <is>
          <t>Внутренний перевод</t>
        </is>
      </c>
      <c r="O418" s="55" t="inlineStr">
        <is>
          <t>Технические</t>
        </is>
      </c>
      <c r="P418" s="55" t="inlineStr">
        <is>
          <t>Перевод между своими счетами</t>
        </is>
      </c>
      <c r="Q418" s="55" t="inlineStr"/>
    </row>
    <row r="419">
      <c r="A419" s="55" t="inlineStr">
        <is>
          <t>27.07.2026</t>
        </is>
      </c>
      <c r="B419" s="55" t="inlineStr">
        <is>
          <t>Bank RBK</t>
        </is>
      </c>
      <c r="C419" s="55" t="inlineStr">
        <is>
          <t>KZT</t>
        </is>
      </c>
      <c r="D419" s="55" t="inlineStr">
        <is>
          <t>0001</t>
        </is>
      </c>
      <c r="E419" s="55" t="inlineStr">
        <is>
          <t>ТОО ROYAL EXPORT</t>
        </is>
      </c>
      <c r="F419" s="55" t="inlineStr">
        <is>
          <t>120740010650</t>
        </is>
      </c>
      <c r="G419" s="55" t="inlineStr"/>
      <c r="H419" s="56" t="inlineStr">
        <is>
          <t>За услуги. Оплата за предоставление вагонов, согласна счет на оплату №192 от 16.07.2026г.</t>
        </is>
      </c>
      <c r="I419" s="57" t="n"/>
      <c r="J419" s="57" t="n">
        <v>7200000</v>
      </c>
      <c r="K419" s="58" t="n">
        <v>1</v>
      </c>
      <c r="L419" s="57" t="n"/>
      <c r="M419" s="57" t="n">
        <v>7200000</v>
      </c>
      <c r="N419" s="55" t="inlineStr">
        <is>
          <t>Внешняя операция</t>
        </is>
      </c>
      <c r="O419" s="55" t="inlineStr">
        <is>
          <t>Выручка</t>
        </is>
      </c>
      <c r="P419" s="55" t="inlineStr">
        <is>
          <t>Операционная выручка (ТЭО, вагоны)</t>
        </is>
      </c>
      <c r="Q419" s="55" t="inlineStr">
        <is>
          <t>ТОО ROYAL EXPORT</t>
        </is>
      </c>
    </row>
    <row r="420">
      <c r="A420" s="55" t="inlineStr">
        <is>
          <t>27.07.2026</t>
        </is>
      </c>
      <c r="B420" s="55" t="inlineStr">
        <is>
          <t>Bank RBK</t>
        </is>
      </c>
      <c r="C420" s="55" t="inlineStr">
        <is>
          <t>KZT</t>
        </is>
      </c>
      <c r="D420" s="55" t="inlineStr">
        <is>
          <t>0001</t>
        </is>
      </c>
      <c r="E420" s="55" t="inlineStr">
        <is>
          <t>ФИЛИАЛ АО "BANK RBK" В Г.АСТАНА</t>
        </is>
      </c>
      <c r="F420" s="55" t="inlineStr">
        <is>
          <t>111141019679</t>
        </is>
      </c>
      <c r="G420" s="55" t="inlineStr"/>
      <c r="H420" s="56" t="inlineStr">
        <is>
          <t>Комиссия Банка за переводные операции по платежному документу № 1389 от 27/07/2026, в т.ч. НДС.</t>
        </is>
      </c>
      <c r="I420" s="57" t="n">
        <v>4000</v>
      </c>
      <c r="J420" s="57" t="n"/>
      <c r="K420" s="58" t="n">
        <v>1</v>
      </c>
      <c r="L420" s="57" t="n">
        <v>4000</v>
      </c>
      <c r="M420" s="57" t="n"/>
      <c r="N420" s="55" t="inlineStr">
        <is>
          <t>Внешняя операция</t>
        </is>
      </c>
      <c r="O420" s="55" t="inlineStr">
        <is>
          <t>Финансовые</t>
        </is>
      </c>
      <c r="P420" s="55" t="inlineStr">
        <is>
          <t>Банковские комиссии</t>
        </is>
      </c>
      <c r="Q420" s="55" t="inlineStr">
        <is>
          <t>ФИЛИАЛ АО "BANK RBK" В Г.АСТАНА</t>
        </is>
      </c>
    </row>
    <row r="421">
      <c r="A421" s="55" t="inlineStr">
        <is>
          <t>27.07.2026</t>
        </is>
      </c>
      <c r="B421" s="55" t="inlineStr">
        <is>
          <t>Bank RBK</t>
        </is>
      </c>
      <c r="C421" s="55" t="inlineStr">
        <is>
          <t>KZT</t>
        </is>
      </c>
      <c r="D421" s="55" t="inlineStr">
        <is>
          <t>0001</t>
        </is>
      </c>
      <c r="E421" s="55" t="inlineStr">
        <is>
          <t>ТОО "WayStar Group"</t>
        </is>
      </c>
      <c r="F421" s="55" t="inlineStr">
        <is>
          <t>240340014287</t>
        </is>
      </c>
      <c r="G421" s="55" t="inlineStr"/>
      <c r="H421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21" s="57" t="n">
        <v>7200000</v>
      </c>
      <c r="J421" s="57" t="n"/>
      <c r="K421" s="58" t="n">
        <v>1</v>
      </c>
      <c r="L421" s="57" t="n">
        <v>7200000</v>
      </c>
      <c r="M421" s="57" t="n"/>
      <c r="N421" s="59" t="inlineStr">
        <is>
          <t>Внутренний перевод</t>
        </is>
      </c>
      <c r="O421" s="55" t="inlineStr">
        <is>
          <t>Технические</t>
        </is>
      </c>
      <c r="P421" s="55" t="inlineStr">
        <is>
          <t>Перевод между своими счетами</t>
        </is>
      </c>
      <c r="Q421" s="55" t="inlineStr"/>
    </row>
    <row r="422">
      <c r="A422" s="55" t="inlineStr">
        <is>
          <t>28.07.2026</t>
        </is>
      </c>
      <c r="B422" s="55" t="inlineStr">
        <is>
          <t>Bank RBK</t>
        </is>
      </c>
      <c r="C422" s="55" t="inlineStr">
        <is>
          <t>KZT</t>
        </is>
      </c>
      <c r="D422" s="55" t="inlineStr">
        <is>
          <t>0001</t>
        </is>
      </c>
      <c r="E422" s="55" t="inlineStr">
        <is>
          <t>ТОО Каз Алтын Групп</t>
        </is>
      </c>
      <c r="F422" s="55" t="inlineStr">
        <is>
          <t>140940002482</t>
        </is>
      </c>
      <c r="G422" s="55" t="inlineStr"/>
      <c r="H422" s="56" t="inlineStr">
        <is>
          <t>Оплата за услуги по счету № 200 от 22.07.2026г. Без НДС. Платежи за услуги железнодорожного транспорта</t>
        </is>
      </c>
      <c r="I422" s="57" t="n"/>
      <c r="J422" s="57" t="n">
        <v>340000</v>
      </c>
      <c r="K422" s="58" t="n">
        <v>1</v>
      </c>
      <c r="L422" s="57" t="n"/>
      <c r="M422" s="57" t="n">
        <v>340000</v>
      </c>
      <c r="N422" s="55" t="inlineStr">
        <is>
          <t>Внешняя операция</t>
        </is>
      </c>
      <c r="O422" s="55" t="inlineStr">
        <is>
          <t>Выручка</t>
        </is>
      </c>
      <c r="P422" s="55" t="inlineStr">
        <is>
          <t>Операционная выручка (ТЭО, вагоны)</t>
        </is>
      </c>
      <c r="Q422" s="55" t="inlineStr">
        <is>
          <t>ТОО Каз Алтын Групп</t>
        </is>
      </c>
    </row>
    <row r="423">
      <c r="A423" s="55" t="inlineStr">
        <is>
          <t>28.07.2026</t>
        </is>
      </c>
      <c r="B423" s="55" t="inlineStr">
        <is>
          <t>Bank RBK</t>
        </is>
      </c>
      <c r="C423" s="55" t="inlineStr">
        <is>
          <t>KZT</t>
        </is>
      </c>
      <c r="D423" s="55" t="inlineStr">
        <is>
          <t>0001</t>
        </is>
      </c>
      <c r="E423" s="55" t="inlineStr">
        <is>
          <t>ФИЛИАЛ АО "BANK RBK" В Г.АСТАНА</t>
        </is>
      </c>
      <c r="F423" s="55" t="inlineStr">
        <is>
          <t>111141019679</t>
        </is>
      </c>
      <c r="G423" s="55" t="inlineStr"/>
      <c r="H423" s="56" t="inlineStr">
        <is>
          <t>Принятие изменений/дополнений к валютному договору, ТОО  "WayStar Group", '240340014287', НДС в том числе Договор № 2026/07-57 FFS от 14.07/2026 УНК 1/821/0000/7380</t>
        </is>
      </c>
      <c r="I423" s="57" t="n">
        <v>2000</v>
      </c>
      <c r="J423" s="57" t="n"/>
      <c r="K423" s="58" t="n">
        <v>1</v>
      </c>
      <c r="L423" s="57" t="n">
        <v>2000</v>
      </c>
      <c r="M423" s="57" t="n"/>
      <c r="N423" s="55" t="inlineStr">
        <is>
          <t>Внешняя операция</t>
        </is>
      </c>
      <c r="O423" s="55" t="inlineStr">
        <is>
          <t>Прочее</t>
        </is>
      </c>
      <c r="P423" s="55" t="inlineStr">
        <is>
          <t>Прочие расходы</t>
        </is>
      </c>
      <c r="Q423" s="55" t="inlineStr">
        <is>
          <t>ФИЛИАЛ АО "BANK RBK" В Г.АСТАНА</t>
        </is>
      </c>
    </row>
    <row r="424">
      <c r="A424" s="55" t="inlineStr">
        <is>
          <t>29.07.2026</t>
        </is>
      </c>
      <c r="B424" s="55" t="inlineStr">
        <is>
          <t>Bank RBK</t>
        </is>
      </c>
      <c r="C424" s="55" t="inlineStr">
        <is>
          <t>KZT</t>
        </is>
      </c>
      <c r="D424" s="55" t="inlineStr">
        <is>
          <t>0001</t>
        </is>
      </c>
      <c r="E424" s="55" t="inlineStr">
        <is>
          <t>ТОО Kaz-Smart Logistics</t>
        </is>
      </c>
      <c r="F424" s="55" t="inlineStr">
        <is>
          <t>181140003372</t>
        </is>
      </c>
      <c r="G424" s="55" t="inlineStr"/>
      <c r="H424" s="56" t="inlineStr">
        <is>
          <t>оплата на основании Договора №2026/06-650ТЭУ от 22.06.2026г, согласна счета на оплату №212 от 29.07.2026г, за оперирование вагонов Платежи за услуги железнодорожного транспорта,</t>
        </is>
      </c>
      <c r="I424" s="57" t="n"/>
      <c r="J424" s="57" t="n">
        <v>710000</v>
      </c>
      <c r="K424" s="58" t="n">
        <v>1</v>
      </c>
      <c r="L424" s="57" t="n"/>
      <c r="M424" s="57" t="n">
        <v>710000</v>
      </c>
      <c r="N424" s="55" t="inlineStr">
        <is>
          <t>Внешняя операция</t>
        </is>
      </c>
      <c r="O424" s="55" t="inlineStr">
        <is>
          <t>Выручка</t>
        </is>
      </c>
      <c r="P424" s="55" t="inlineStr">
        <is>
          <t>Операционная выручка (ТЭО, вагоны)</t>
        </is>
      </c>
      <c r="Q424" s="55" t="inlineStr">
        <is>
          <t>ТОО Kaz-Smart Logistics</t>
        </is>
      </c>
    </row>
    <row r="425">
      <c r="A425" s="55" t="inlineStr">
        <is>
          <t>29.07.2026</t>
        </is>
      </c>
      <c r="B425" s="55" t="inlineStr">
        <is>
          <t>Bank RBK</t>
        </is>
      </c>
      <c r="C425" s="55" t="inlineStr">
        <is>
          <t>KZT</t>
        </is>
      </c>
      <c r="D425" s="55" t="inlineStr">
        <is>
          <t>0001</t>
        </is>
      </c>
      <c r="E425" s="55" t="inlineStr">
        <is>
          <t>ТОО  "WayStar Group"</t>
        </is>
      </c>
      <c r="F425" s="55" t="inlineStr">
        <is>
          <t>240340014287</t>
        </is>
      </c>
      <c r="G425" s="55" t="inlineStr"/>
      <c r="H425" s="56" t="inlineStr">
        <is>
          <t>Курс сделки 475.96. конвертация дс</t>
        </is>
      </c>
      <c r="I425" s="57" t="n"/>
      <c r="J425" s="57" t="n">
        <v>44999999.93</v>
      </c>
      <c r="K425" s="58" t="n">
        <v>1</v>
      </c>
      <c r="L425" s="57" t="n"/>
      <c r="M425" s="57" t="n">
        <v>44999999.93</v>
      </c>
      <c r="N425" s="59" t="inlineStr">
        <is>
          <t>Внутренний перевод</t>
        </is>
      </c>
      <c r="O425" s="55" t="inlineStr">
        <is>
          <t>Технические</t>
        </is>
      </c>
      <c r="P425" s="55" t="inlineStr">
        <is>
          <t>Перевод между своими счетами</t>
        </is>
      </c>
      <c r="Q425" s="55" t="inlineStr"/>
    </row>
    <row r="426">
      <c r="A426" s="55" t="inlineStr">
        <is>
          <t>29.07.2026</t>
        </is>
      </c>
      <c r="B426" s="55" t="inlineStr">
        <is>
          <t>Bank RBK</t>
        </is>
      </c>
      <c r="C426" s="55" t="inlineStr">
        <is>
          <t>KZT</t>
        </is>
      </c>
      <c r="D426" s="55" t="inlineStr">
        <is>
          <t>0001</t>
        </is>
      </c>
      <c r="E426" s="55" t="inlineStr">
        <is>
          <t>ТОО  "WayStar Group"</t>
        </is>
      </c>
      <c r="F426" s="55" t="inlineStr">
        <is>
          <t>240340014287</t>
        </is>
      </c>
      <c r="G426" s="55" t="inlineStr"/>
      <c r="H426" s="56" t="inlineStr">
        <is>
          <t>Курс сделки 475.6. конвертация дс</t>
        </is>
      </c>
      <c r="I426" s="57" t="n"/>
      <c r="J426" s="57" t="n">
        <v>47560000</v>
      </c>
      <c r="K426" s="58" t="n">
        <v>1</v>
      </c>
      <c r="L426" s="57" t="n"/>
      <c r="M426" s="57" t="n">
        <v>47560000</v>
      </c>
      <c r="N426" s="59" t="inlineStr">
        <is>
          <t>Внутренний перевод</t>
        </is>
      </c>
      <c r="O426" s="55" t="inlineStr">
        <is>
          <t>Технические</t>
        </is>
      </c>
      <c r="P426" s="55" t="inlineStr">
        <is>
          <t>Перевод между своими счетами</t>
        </is>
      </c>
      <c r="Q426" s="55" t="inlineStr"/>
    </row>
    <row r="427">
      <c r="A427" s="55" t="inlineStr">
        <is>
          <t>29.07.2026</t>
        </is>
      </c>
      <c r="B427" s="55" t="inlineStr">
        <is>
          <t>Bank RBK</t>
        </is>
      </c>
      <c r="C427" s="55" t="inlineStr">
        <is>
          <t>KZT</t>
        </is>
      </c>
      <c r="D427" s="55" t="inlineStr">
        <is>
          <t>0001</t>
        </is>
      </c>
      <c r="E427" s="55" t="inlineStr">
        <is>
          <t>ФИЛИАЛ АО "BANK RBK" В Г.АСТАНА</t>
        </is>
      </c>
      <c r="F427" s="55" t="inlineStr">
        <is>
          <t>111141019679</t>
        </is>
      </c>
      <c r="G427" s="55" t="inlineStr"/>
      <c r="H427" s="56" t="inlineStr">
        <is>
          <t>Комиссия Банка за переводные операции по платежному документу № 1391 от 29/07/2026, в т.ч. НДС.</t>
        </is>
      </c>
      <c r="I427" s="57" t="n">
        <v>4000</v>
      </c>
      <c r="J427" s="57" t="n"/>
      <c r="K427" s="58" t="n">
        <v>1</v>
      </c>
      <c r="L427" s="57" t="n">
        <v>4000</v>
      </c>
      <c r="M427" s="57" t="n"/>
      <c r="N427" s="55" t="inlineStr">
        <is>
          <t>Внешняя операция</t>
        </is>
      </c>
      <c r="O427" s="55" t="inlineStr">
        <is>
          <t>Финансовые</t>
        </is>
      </c>
      <c r="P427" s="55" t="inlineStr">
        <is>
          <t>Банковские комиссии</t>
        </is>
      </c>
      <c r="Q427" s="55" t="inlineStr">
        <is>
          <t>ФИЛИАЛ АО "BANK RBK" В Г.АСТАНА</t>
        </is>
      </c>
    </row>
    <row r="428">
      <c r="A428" s="55" t="inlineStr">
        <is>
          <t>29.07.2026</t>
        </is>
      </c>
      <c r="B428" s="55" t="inlineStr">
        <is>
          <t>Bank RBK</t>
        </is>
      </c>
      <c r="C428" s="55" t="inlineStr">
        <is>
          <t>KZT</t>
        </is>
      </c>
      <c r="D428" s="55" t="inlineStr">
        <is>
          <t>0001</t>
        </is>
      </c>
      <c r="E428" s="55" t="inlineStr">
        <is>
          <t>ФИЛИАЛ АО "BANK RBK" В Г.АСТАНА</t>
        </is>
      </c>
      <c r="F428" s="55" t="inlineStr">
        <is>
          <t>111141019679</t>
        </is>
      </c>
      <c r="G428" s="55" t="inlineStr"/>
      <c r="H428" s="56" t="inlineStr">
        <is>
          <t>Комиссия за ведение счета, Комиссия за пакет 2026 RBK COMFORT-1 мес. ТОО  "WayStar Group" БИН 240340014287, в т.ч. НДС</t>
        </is>
      </c>
      <c r="I428" s="57" t="n">
        <v>10700</v>
      </c>
      <c r="J428" s="57" t="n"/>
      <c r="K428" s="58" t="n">
        <v>1</v>
      </c>
      <c r="L428" s="57" t="n">
        <v>10700</v>
      </c>
      <c r="M428" s="57" t="n"/>
      <c r="N428" s="55" t="inlineStr">
        <is>
          <t>Внешняя операция</t>
        </is>
      </c>
      <c r="O428" s="55" t="inlineStr">
        <is>
          <t>Финансовые</t>
        </is>
      </c>
      <c r="P428" s="55" t="inlineStr">
        <is>
          <t>Банковские комиссии</t>
        </is>
      </c>
      <c r="Q428" s="55" t="inlineStr">
        <is>
          <t>ФИЛИАЛ АО "BANK RBK" В Г.АСТАНА</t>
        </is>
      </c>
    </row>
    <row r="429">
      <c r="A429" s="55" t="inlineStr">
        <is>
          <t>29.07.2026</t>
        </is>
      </c>
      <c r="B429" s="55" t="inlineStr">
        <is>
          <t>Bank RBK</t>
        </is>
      </c>
      <c r="C429" s="55" t="inlineStr">
        <is>
          <t>KZT</t>
        </is>
      </c>
      <c r="D429" s="55" t="inlineStr">
        <is>
          <t>0001</t>
        </is>
      </c>
      <c r="E429" s="55" t="inlineStr">
        <is>
          <t>ТОО "WayStar Group"</t>
        </is>
      </c>
      <c r="F429" s="55" t="inlineStr">
        <is>
          <t>240340014287</t>
        </is>
      </c>
      <c r="G429" s="55" t="inlineStr"/>
      <c r="H429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29" s="57" t="n">
        <v>45000000</v>
      </c>
      <c r="J429" s="57" t="n"/>
      <c r="K429" s="58" t="n">
        <v>1</v>
      </c>
      <c r="L429" s="57" t="n">
        <v>45000000</v>
      </c>
      <c r="M429" s="57" t="n"/>
      <c r="N429" s="59" t="inlineStr">
        <is>
          <t>Внутренний перевод</t>
        </is>
      </c>
      <c r="O429" s="55" t="inlineStr">
        <is>
          <t>Технические</t>
        </is>
      </c>
      <c r="P429" s="55" t="inlineStr">
        <is>
          <t>Перевод между своими счетами</t>
        </is>
      </c>
      <c r="Q429" s="55" t="inlineStr"/>
    </row>
    <row r="430">
      <c r="A430" s="55" t="inlineStr">
        <is>
          <t>29.07.2026</t>
        </is>
      </c>
      <c r="B430" s="55" t="inlineStr">
        <is>
          <t>Bank RBK</t>
        </is>
      </c>
      <c r="C430" s="55" t="inlineStr">
        <is>
          <t>KZT</t>
        </is>
      </c>
      <c r="D430" s="55" t="inlineStr">
        <is>
          <t>0001</t>
        </is>
      </c>
      <c r="E430" s="55" t="inlineStr">
        <is>
          <t>ТОО "WayStar Group"</t>
        </is>
      </c>
      <c r="F430" s="55" t="inlineStr">
        <is>
          <t>240340014287</t>
        </is>
      </c>
      <c r="G430" s="55" t="inlineStr"/>
      <c r="H430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30" s="57" t="n">
        <v>48000000</v>
      </c>
      <c r="J430" s="57" t="n"/>
      <c r="K430" s="58" t="n">
        <v>1</v>
      </c>
      <c r="L430" s="57" t="n">
        <v>48000000</v>
      </c>
      <c r="M430" s="57" t="n"/>
      <c r="N430" s="59" t="inlineStr">
        <is>
          <t>Внутренний перевод</t>
        </is>
      </c>
      <c r="O430" s="55" t="inlineStr">
        <is>
          <t>Технические</t>
        </is>
      </c>
      <c r="P430" s="55" t="inlineStr">
        <is>
          <t>Перевод между своими счетами</t>
        </is>
      </c>
      <c r="Q430" s="55" t="inlineStr"/>
    </row>
    <row r="431">
      <c r="A431" s="55" t="inlineStr">
        <is>
          <t>30.07.2026</t>
        </is>
      </c>
      <c r="B431" s="55" t="inlineStr">
        <is>
          <t>Bank RBK</t>
        </is>
      </c>
      <c r="C431" s="55" t="inlineStr">
        <is>
          <t>KZT</t>
        </is>
      </c>
      <c r="D431" s="55" t="inlineStr">
        <is>
          <t>0001</t>
        </is>
      </c>
      <c r="E431" s="55" t="inlineStr">
        <is>
          <t>ТОО "FRS logistics"</t>
        </is>
      </c>
      <c r="F431" s="55" t="inlineStr">
        <is>
          <t>260140008159</t>
        </is>
      </c>
      <c r="G431" s="55" t="inlineStr"/>
      <c r="H431" s="56" t="inlineStr">
        <is>
          <t>За оперирование вагона согласно счета №211 от 29.07.26 Платежи за услуги железнодорожного транспорта,</t>
        </is>
      </c>
      <c r="I431" s="57" t="n"/>
      <c r="J431" s="57" t="n">
        <v>450000</v>
      </c>
      <c r="K431" s="58" t="n">
        <v>1</v>
      </c>
      <c r="L431" s="57" t="n"/>
      <c r="M431" s="57" t="n">
        <v>450000</v>
      </c>
      <c r="N431" s="55" t="inlineStr">
        <is>
          <t>Внешняя операция</t>
        </is>
      </c>
      <c r="O431" s="55" t="inlineStr">
        <is>
          <t>Выручка</t>
        </is>
      </c>
      <c r="P431" s="55" t="inlineStr">
        <is>
          <t>Операционная выручка (ТЭО, вагоны)</t>
        </is>
      </c>
      <c r="Q431" s="55" t="inlineStr">
        <is>
          <t>ТОО "FRS logistics"</t>
        </is>
      </c>
    </row>
    <row r="432">
      <c r="A432" s="55" t="inlineStr">
        <is>
          <t>30.07.2026</t>
        </is>
      </c>
      <c r="B432" s="55" t="inlineStr">
        <is>
          <t>Bank RBK</t>
        </is>
      </c>
      <c r="C432" s="55" t="inlineStr">
        <is>
          <t>KZT</t>
        </is>
      </c>
      <c r="D432" s="55" t="inlineStr">
        <is>
          <t>0001</t>
        </is>
      </c>
      <c r="E432" s="55" t="inlineStr">
        <is>
          <t>ТОО ROYAL EXPORT</t>
        </is>
      </c>
      <c r="F432" s="55" t="inlineStr">
        <is>
          <t>120740010650</t>
        </is>
      </c>
      <c r="G432" s="55" t="inlineStr"/>
      <c r="H432" s="56" t="inlineStr">
        <is>
          <t>За услуги. Оплата за предоставление вагонов, согласна счет на оплату №197 от 21.07.2026г.</t>
        </is>
      </c>
      <c r="I432" s="57" t="n"/>
      <c r="J432" s="57" t="n">
        <v>3600000</v>
      </c>
      <c r="K432" s="58" t="n">
        <v>1</v>
      </c>
      <c r="L432" s="57" t="n"/>
      <c r="M432" s="57" t="n">
        <v>3600000</v>
      </c>
      <c r="N432" s="55" t="inlineStr">
        <is>
          <t>Внешняя операция</t>
        </is>
      </c>
      <c r="O432" s="55" t="inlineStr">
        <is>
          <t>Выручка</t>
        </is>
      </c>
      <c r="P432" s="55" t="inlineStr">
        <is>
          <t>Операционная выручка (ТЭО, вагоны)</t>
        </is>
      </c>
      <c r="Q432" s="55" t="inlineStr">
        <is>
          <t>ТОО ROYAL EXPORT</t>
        </is>
      </c>
    </row>
    <row r="433">
      <c r="A433" s="55" t="inlineStr">
        <is>
          <t>30.07.2026</t>
        </is>
      </c>
      <c r="B433" s="55" t="inlineStr">
        <is>
          <t>Bank RBK</t>
        </is>
      </c>
      <c r="C433" s="55" t="inlineStr">
        <is>
          <t>KZT</t>
        </is>
      </c>
      <c r="D433" s="55" t="inlineStr">
        <is>
          <t>0001</t>
        </is>
      </c>
      <c r="E433" s="55" t="inlineStr">
        <is>
          <t>ТОО  "WayStar Group"</t>
        </is>
      </c>
      <c r="F433" s="55" t="inlineStr">
        <is>
          <t>240340014287</t>
        </is>
      </c>
      <c r="G433" s="55" t="inlineStr"/>
      <c r="H433" s="56" t="inlineStr">
        <is>
          <t>Курс сделки 471.8. конвертация ДС</t>
        </is>
      </c>
      <c r="I433" s="57" t="n"/>
      <c r="J433" s="57" t="n">
        <v>120523310.43</v>
      </c>
      <c r="K433" s="58" t="n">
        <v>1</v>
      </c>
      <c r="L433" s="57" t="n"/>
      <c r="M433" s="57" t="n">
        <v>120523310.43</v>
      </c>
      <c r="N433" s="59" t="inlineStr">
        <is>
          <t>Внутренний перевод</t>
        </is>
      </c>
      <c r="O433" s="55" t="inlineStr">
        <is>
          <t>Технические</t>
        </is>
      </c>
      <c r="P433" s="55" t="inlineStr">
        <is>
          <t>Перевод между своими счетами</t>
        </is>
      </c>
      <c r="Q433" s="55" t="inlineStr"/>
    </row>
    <row r="434">
      <c r="A434" s="55" t="inlineStr">
        <is>
          <t>30.07.2026</t>
        </is>
      </c>
      <c r="B434" s="55" t="inlineStr">
        <is>
          <t>Bank RBK</t>
        </is>
      </c>
      <c r="C434" s="55" t="inlineStr">
        <is>
          <t>KZT</t>
        </is>
      </c>
      <c r="D434" s="55" t="inlineStr">
        <is>
          <t>0001</t>
        </is>
      </c>
      <c r="E434" s="55" t="inlineStr">
        <is>
          <t>ТОО "WayStar Group"</t>
        </is>
      </c>
      <c r="F434" s="55" t="inlineStr">
        <is>
          <t>240340014287</t>
        </is>
      </c>
      <c r="G434" s="55" t="inlineStr"/>
      <c r="H434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34" s="57" t="n">
        <v>4070000</v>
      </c>
      <c r="J434" s="57" t="n"/>
      <c r="K434" s="58" t="n">
        <v>1</v>
      </c>
      <c r="L434" s="57" t="n">
        <v>4070000</v>
      </c>
      <c r="M434" s="57" t="n"/>
      <c r="N434" s="59" t="inlineStr">
        <is>
          <t>Внутренний перевод</t>
        </is>
      </c>
      <c r="O434" s="55" t="inlineStr">
        <is>
          <t>Технические</t>
        </is>
      </c>
      <c r="P434" s="55" t="inlineStr">
        <is>
          <t>Перевод между своими счетами</t>
        </is>
      </c>
      <c r="Q434" s="55" t="inlineStr"/>
    </row>
    <row r="435">
      <c r="A435" s="55" t="inlineStr">
        <is>
          <t>30.07.2026</t>
        </is>
      </c>
      <c r="B435" s="55" t="inlineStr">
        <is>
          <t>Bank RBK</t>
        </is>
      </c>
      <c r="C435" s="55" t="inlineStr">
        <is>
          <t>KZT</t>
        </is>
      </c>
      <c r="D435" s="55" t="inlineStr">
        <is>
          <t>0001</t>
        </is>
      </c>
      <c r="E435" s="55" t="inlineStr">
        <is>
          <t>ТОО "WayStar Group"</t>
        </is>
      </c>
      <c r="F435" s="55" t="inlineStr">
        <is>
          <t>240340014287</t>
        </is>
      </c>
      <c r="G435" s="55" t="inlineStr"/>
      <c r="H435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35" s="57" t="n">
        <v>121153000</v>
      </c>
      <c r="J435" s="57" t="n"/>
      <c r="K435" s="58" t="n">
        <v>1</v>
      </c>
      <c r="L435" s="57" t="n">
        <v>121153000</v>
      </c>
      <c r="M435" s="57" t="n"/>
      <c r="N435" s="59" t="inlineStr">
        <is>
          <t>Внутренний перевод</t>
        </is>
      </c>
      <c r="O435" s="55" t="inlineStr">
        <is>
          <t>Технические</t>
        </is>
      </c>
      <c r="P435" s="55" t="inlineStr">
        <is>
          <t>Перевод между своими счетами</t>
        </is>
      </c>
      <c r="Q435" s="55" t="inlineStr"/>
    </row>
    <row r="436">
      <c r="A436" s="55" t="inlineStr">
        <is>
          <t>31.07.2026</t>
        </is>
      </c>
      <c r="B436" s="55" t="inlineStr">
        <is>
          <t>Bank RBK</t>
        </is>
      </c>
      <c r="C436" s="55" t="inlineStr">
        <is>
          <t>KZT</t>
        </is>
      </c>
      <c r="D436" s="55" t="inlineStr">
        <is>
          <t>0001</t>
        </is>
      </c>
      <c r="E436" s="55" t="inlineStr">
        <is>
          <t>ТОО "GREENLIGHTS (ГРИНЛАЙТС)"</t>
        </is>
      </c>
      <c r="F436" s="55" t="inlineStr">
        <is>
          <t>210840025853</t>
        </is>
      </c>
      <c r="G436" s="55" t="inlineStr"/>
      <c r="H436" s="56" t="inlineStr">
        <is>
          <t>Оперирование собстенным ПС, согл счету №215,216 от 30.07.2026 Сумма 5879375-00 теңге без налога Платежи за услуги железнодорожного транспорта</t>
        </is>
      </c>
      <c r="I436" s="57" t="n"/>
      <c r="J436" s="57" t="n">
        <v>5879375</v>
      </c>
      <c r="K436" s="58" t="n">
        <v>1</v>
      </c>
      <c r="L436" s="57" t="n"/>
      <c r="M436" s="57" t="n">
        <v>5879375</v>
      </c>
      <c r="N436" s="55" t="inlineStr">
        <is>
          <t>Внешняя операция</t>
        </is>
      </c>
      <c r="O436" s="55" t="inlineStr">
        <is>
          <t>Выручка</t>
        </is>
      </c>
      <c r="P436" s="55" t="inlineStr">
        <is>
          <t>Операционная выручка (ТЭО, вагоны)</t>
        </is>
      </c>
      <c r="Q436" s="55" t="inlineStr">
        <is>
          <t>ТОО "GREENLIGHTS (ГРИНЛАЙТС)"</t>
        </is>
      </c>
    </row>
    <row r="437">
      <c r="A437" s="55" t="inlineStr">
        <is>
          <t>31.07.2026</t>
        </is>
      </c>
      <c r="B437" s="55" t="inlineStr">
        <is>
          <t>Bank RBK</t>
        </is>
      </c>
      <c r="C437" s="55" t="inlineStr">
        <is>
          <t>KZT</t>
        </is>
      </c>
      <c r="D437" s="55" t="inlineStr">
        <is>
          <t>0001</t>
        </is>
      </c>
      <c r="E437" s="55" t="inlineStr">
        <is>
          <t>ФИЛИАЛ АО "BANK RBK" В Г.АСТАНА</t>
        </is>
      </c>
      <c r="F437" s="55" t="inlineStr">
        <is>
          <t>111141019679</t>
        </is>
      </c>
      <c r="G437" s="55" t="inlineStr"/>
      <c r="H437" s="56" t="inlineStr">
        <is>
          <t>Комиссия Банка за переводные операции по платежному документу № 1394 от 31/07/2026, в т.ч. НДС.</t>
        </is>
      </c>
      <c r="I437" s="57" t="n">
        <v>2834.6</v>
      </c>
      <c r="J437" s="57" t="n"/>
      <c r="K437" s="58" t="n">
        <v>1</v>
      </c>
      <c r="L437" s="57" t="n">
        <v>2834.6</v>
      </c>
      <c r="M437" s="57" t="n"/>
      <c r="N437" s="55" t="inlineStr">
        <is>
          <t>Внешняя операция</t>
        </is>
      </c>
      <c r="O437" s="55" t="inlineStr">
        <is>
          <t>Финансовые</t>
        </is>
      </c>
      <c r="P437" s="55" t="inlineStr">
        <is>
          <t>Банковские комиссии</t>
        </is>
      </c>
      <c r="Q437" s="55" t="inlineStr">
        <is>
          <t>ФИЛИАЛ АО "BANK RBK" В Г.АСТАНА</t>
        </is>
      </c>
    </row>
    <row r="438">
      <c r="A438" s="55" t="inlineStr">
        <is>
          <t>31.07.2026</t>
        </is>
      </c>
      <c r="B438" s="55" t="inlineStr">
        <is>
          <t>Bank RBK</t>
        </is>
      </c>
      <c r="C438" s="55" t="inlineStr">
        <is>
          <t>KZT</t>
        </is>
      </c>
      <c r="D438" s="55" t="inlineStr">
        <is>
          <t>0001</t>
        </is>
      </c>
      <c r="E438" s="55" t="inlineStr">
        <is>
          <t>ТОО "WayStar Group"</t>
        </is>
      </c>
      <c r="F438" s="55" t="inlineStr">
        <is>
          <t>240340014287</t>
        </is>
      </c>
      <c r="G438" s="55" t="inlineStr"/>
      <c r="H438" s="56" t="inlineStr">
        <is>
          <t>перевод на другой счет Переводы клиентом денег со своего текущего счета в одном банке, филиале банка-нерезидента Республики Казахстан на свой текущий счет в другом банке, филиале другого банка-нерезидента Республики Казахстан</t>
        </is>
      </c>
      <c r="I438" s="57" t="n">
        <v>5882000</v>
      </c>
      <c r="J438" s="57" t="n"/>
      <c r="K438" s="58" t="n">
        <v>1</v>
      </c>
      <c r="L438" s="57" t="n">
        <v>5882000</v>
      </c>
      <c r="M438" s="57" t="n"/>
      <c r="N438" s="59" t="inlineStr">
        <is>
          <t>Внутренний перевод</t>
        </is>
      </c>
      <c r="O438" s="55" t="inlineStr">
        <is>
          <t>Технические</t>
        </is>
      </c>
      <c r="P438" s="55" t="inlineStr">
        <is>
          <t>Перевод между своими счетами</t>
        </is>
      </c>
      <c r="Q438" s="55" t="inlineStr"/>
    </row>
    <row r="439">
      <c r="A439" s="55" t="inlineStr">
        <is>
          <t>28.07.2026</t>
        </is>
      </c>
      <c r="B439" s="55" t="inlineStr">
        <is>
          <t>Bank RBK</t>
        </is>
      </c>
      <c r="C439" s="55" t="inlineStr">
        <is>
          <t>USD</t>
        </is>
      </c>
      <c r="D439" s="55" t="inlineStr">
        <is>
          <t>0063</t>
        </is>
      </c>
      <c r="E439" s="55" t="inlineStr">
        <is>
          <t>ALBATAREEQ TRADING L L C           OFF105 32607 94119                 GARHOUD 858                        DUBAI AE</t>
        </is>
      </c>
      <c r="F439" s="55" t="inlineStr">
        <is>
          <t>ИИК: AE790351001327120694002</t>
        </is>
      </c>
      <c r="G439" s="55" t="inlineStr"/>
      <c r="H439" s="56" t="inlineStr">
        <is>
          <t>CONTRACT NO 2026 07 57 DATED 14 07 2026 /IMA/SSN:00073571                  /INS/CITIUS33
Отправитель ALBATAREEQ TRADING L L C           OFF105 32607 94119                 GARHOUD 858                        DUBAI AE оплата за ЖД транспортн-оэкспедиторские услуги, УНК 1/821/0000/7380 от 22.07.2026, INVOICE
No. 188 dated 14.07.2026, ДОПОЛНИТЕЛЬНОЕ СОГЛАШЕНИЕ №1 к Договору №2026/07-57 FFS оказания транспортно-экспедиционных услуг (для нерезидентов РК) от «14» июля 2026 г. Согласно заявления клиента ID446442191834 от 28.07.2026</t>
        </is>
      </c>
      <c r="I439" s="57" t="n"/>
      <c r="J439" s="57" t="n">
        <v>450000</v>
      </c>
      <c r="K439" s="58" t="n">
        <v>480.72</v>
      </c>
      <c r="L439" s="57" t="n"/>
      <c r="M439" s="57" t="n">
        <v>216324000</v>
      </c>
      <c r="N439" s="55" t="inlineStr">
        <is>
          <t>Внешняя операция</t>
        </is>
      </c>
      <c r="O439" s="55" t="inlineStr">
        <is>
          <t>Выручка</t>
        </is>
      </c>
      <c r="P439" s="55" t="inlineStr">
        <is>
          <t>Операционная выручка (ТЭО, вагоны)</t>
        </is>
      </c>
      <c r="Q439" s="55" t="inlineStr">
        <is>
          <t>ALBATAREEQ TRADING LLC (ОАЭ)</t>
        </is>
      </c>
    </row>
    <row r="440">
      <c r="A440" s="55" t="inlineStr">
        <is>
          <t>29.07.2026</t>
        </is>
      </c>
      <c r="B440" s="55" t="inlineStr">
        <is>
          <t>Bank RBK</t>
        </is>
      </c>
      <c r="C440" s="55" t="inlineStr">
        <is>
          <t>USD</t>
        </is>
      </c>
      <c r="D440" s="55" t="inlineStr">
        <is>
          <t>0063</t>
        </is>
      </c>
      <c r="E440" s="55" t="inlineStr">
        <is>
          <t>ТОО  "WayStar Group"</t>
        </is>
      </c>
      <c r="F440" s="55" t="inlineStr">
        <is>
          <t>240340014287</t>
        </is>
      </c>
      <c r="G440" s="55" t="inlineStr"/>
      <c r="H440" s="56" t="inlineStr">
        <is>
          <t>Курс сделки 475.96. конвертация дс</t>
        </is>
      </c>
      <c r="I440" s="57" t="n">
        <v>94545.75999999999</v>
      </c>
      <c r="J440" s="57" t="n"/>
      <c r="K440" s="58" t="n">
        <v>480.72</v>
      </c>
      <c r="L440" s="57" t="n">
        <v>45450037.75</v>
      </c>
      <c r="M440" s="57" t="n"/>
      <c r="N440" s="59" t="inlineStr">
        <is>
          <t>Внутренний перевод</t>
        </is>
      </c>
      <c r="O440" s="55" t="inlineStr">
        <is>
          <t>Технические</t>
        </is>
      </c>
      <c r="P440" s="55" t="inlineStr">
        <is>
          <t>Перевод между своими счетами</t>
        </is>
      </c>
      <c r="Q440" s="55" t="inlineStr"/>
    </row>
    <row r="441">
      <c r="A441" s="55" t="inlineStr">
        <is>
          <t>29.07.2026</t>
        </is>
      </c>
      <c r="B441" s="55" t="inlineStr">
        <is>
          <t>Bank RBK</t>
        </is>
      </c>
      <c r="C441" s="55" t="inlineStr">
        <is>
          <t>USD</t>
        </is>
      </c>
      <c r="D441" s="55" t="inlineStr">
        <is>
          <t>0063</t>
        </is>
      </c>
      <c r="E441" s="55" t="inlineStr">
        <is>
          <t>ТОО  "WayStar Group"</t>
        </is>
      </c>
      <c r="F441" s="55" t="inlineStr">
        <is>
          <t>240340014287</t>
        </is>
      </c>
      <c r="G441" s="55" t="inlineStr"/>
      <c r="H441" s="56" t="inlineStr">
        <is>
          <t>Курс сделки 475.6. конвертация дс</t>
        </is>
      </c>
      <c r="I441" s="57" t="n">
        <v>100000</v>
      </c>
      <c r="J441" s="57" t="n"/>
      <c r="K441" s="58" t="n">
        <v>480.72</v>
      </c>
      <c r="L441" s="57" t="n">
        <v>48072000</v>
      </c>
      <c r="M441" s="57" t="n"/>
      <c r="N441" s="59" t="inlineStr">
        <is>
          <t>Внутренний перевод</t>
        </is>
      </c>
      <c r="O441" s="55" t="inlineStr">
        <is>
          <t>Технические</t>
        </is>
      </c>
      <c r="P441" s="55" t="inlineStr">
        <is>
          <t>Перевод между своими счетами</t>
        </is>
      </c>
      <c r="Q441" s="55" t="inlineStr"/>
    </row>
    <row r="442">
      <c r="A442" s="55" t="inlineStr">
        <is>
          <t>30.07.2026</t>
        </is>
      </c>
      <c r="B442" s="55" t="inlineStr">
        <is>
          <t>Bank RBK</t>
        </is>
      </c>
      <c r="C442" s="55" t="inlineStr">
        <is>
          <t>USD</t>
        </is>
      </c>
      <c r="D442" s="55" t="inlineStr">
        <is>
          <t>0063</t>
        </is>
      </c>
      <c r="E442" s="55" t="inlineStr">
        <is>
          <t>ТОО  "WayStar Group"</t>
        </is>
      </c>
      <c r="F442" s="55" t="inlineStr">
        <is>
          <t>240340014287</t>
        </is>
      </c>
      <c r="G442" s="55" t="inlineStr"/>
      <c r="H442" s="56" t="inlineStr">
        <is>
          <t>Курс сделки 471.8. конвертация ДС</t>
        </is>
      </c>
      <c r="I442" s="57" t="n">
        <v>255454.24</v>
      </c>
      <c r="J442" s="57" t="n"/>
      <c r="K442" s="58" t="n">
        <v>480.72</v>
      </c>
      <c r="L442" s="57" t="n">
        <v>122801962.25</v>
      </c>
      <c r="M442" s="57" t="n"/>
      <c r="N442" s="59" t="inlineStr">
        <is>
          <t>Внутренний перевод</t>
        </is>
      </c>
      <c r="O442" s="55" t="inlineStr">
        <is>
          <t>Технические</t>
        </is>
      </c>
      <c r="P442" s="55" t="inlineStr">
        <is>
          <t>Перевод между своими счетами</t>
        </is>
      </c>
      <c r="Q442" s="55" t="inlineStr"/>
    </row>
  </sheetData>
  <autoFilter ref="A4:Q442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2026-08-03T09:52:46Z</dcterms:created>
  <dcterms:modified xsi:type="dcterms:W3CDTF">2026-08-03T09:52:46Z</dcterms:modified>
</cp:coreProperties>
</file>