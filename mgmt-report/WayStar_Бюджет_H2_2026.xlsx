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ценарии" sheetId="1" state="visible" r:id="rId1"/>
    <sheet name="Бюджет P&amp;L" sheetId="2" state="visible" r:id="rId2"/>
    <sheet name="Бюджет ДДС" sheetId="3" state="visible" r:id="rId3"/>
    <sheet name="Предпосылки" sheetId="4" state="visible" r:id="rId4"/>
    <sheet name="База (факт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13294B"/>
      <sz val="15"/>
    </font>
    <font>
      <name val="Calibri"/>
      <i val="1"/>
      <color rgb="00777777"/>
      <sz val="9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i val="1"/>
      <color rgb="001A1A1A"/>
      <sz val="10"/>
    </font>
    <font>
      <name val="Calibri"/>
      <b val="1"/>
      <color rgb="00FFFFFF"/>
      <sz val="9"/>
    </font>
    <font>
      <name val="Calibri"/>
      <b val="1"/>
      <color rgb="0013294B"/>
      <sz val="14"/>
    </font>
    <font>
      <name val="Calibri"/>
      <b val="1"/>
      <color rgb="00FFFFFF"/>
      <sz val="10"/>
    </font>
    <font>
      <name val="Calibri"/>
      <color rgb="00B23A3A"/>
      <sz val="10"/>
    </font>
    <font>
      <name val="Calibri"/>
      <b val="1"/>
      <color rgb="00B23A3A"/>
      <sz val="10"/>
    </font>
    <font>
      <name val="Calibri"/>
      <b val="1"/>
      <color rgb="001E7A3D"/>
      <sz val="10"/>
    </font>
    <font>
      <name val="Calibri"/>
      <b val="1"/>
      <i val="1"/>
      <color rgb="001A1A1A"/>
      <sz val="9"/>
    </font>
    <font>
      <name val="Calibri"/>
      <color rgb="001A1A1A"/>
      <sz val="9"/>
    </font>
    <font>
      <name val="Calibri"/>
      <b val="1"/>
      <i val="1"/>
      <color rgb="001A1A1A"/>
      <sz val="10"/>
    </font>
    <font>
      <name val="Calibri"/>
      <i val="1"/>
      <color rgb="001A1A1A"/>
      <sz val="9"/>
    </font>
    <font>
      <name val="Calibri"/>
      <b val="1"/>
      <color rgb="0013294B"/>
      <sz val="13"/>
    </font>
  </fonts>
  <fills count="6">
    <fill>
      <patternFill/>
    </fill>
    <fill>
      <patternFill patternType="gray125"/>
    </fill>
    <fill>
      <patternFill patternType="solid">
        <fgColor rgb="002F6690"/>
      </patternFill>
    </fill>
    <fill>
      <patternFill patternType="solid">
        <fgColor rgb="00FFF6D5"/>
      </patternFill>
    </fill>
    <fill>
      <patternFill patternType="solid">
        <fgColor rgb="0013294B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164" fontId="12" fillId="5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165" fontId="1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Выручка и EBITDA по месяцам, ₸</a:t>
            </a:r>
          </a:p>
        </rich>
      </tx>
    </title>
    <plotArea>
      <lineChart>
        <grouping val="standard"/>
        <ser>
          <idx val="0"/>
          <order val="0"/>
          <spPr>
            <a:ln>
              <a:solidFill>
                <a:srgbClr val="13294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'Бюджет P&amp;L'!$C$4:$H$4</f>
            </numRef>
          </cat>
          <val>
            <numRef>
              <f>'Бюджет P&amp;L'!$C$7:$H$7</f>
            </numRef>
          </val>
        </ser>
        <ser>
          <idx val="1"/>
          <order val="1"/>
          <spPr>
            <a:ln>
              <a:solidFill>
                <a:srgbClr val="C4772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'Бюджет P&amp;L'!$C$4:$H$4</f>
            </numRef>
          </cat>
          <val>
            <numRef>
              <f>'Бюджет P&amp;L'!$C$13:$H$13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Прогноз остатка денежных средств, ₸</a:t>
            </a:r>
          </a:p>
        </rich>
      </tx>
    </title>
    <plotArea>
      <lineChart>
        <grouping val="standard"/>
        <ser>
          <idx val="0"/>
          <order val="0"/>
          <spPr>
            <a:ln>
              <a:solidFill>
                <a:srgbClr val="1E7A3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'Бюджет P&amp;L'!$C$4:$H$4</f>
            </numRef>
          </cat>
          <val>
            <numRef>
              <f>'Бюджет ДДС'!$C$10:$H$10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31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СЦЕНАРИИ БЮДЖЕТА · H2 2026</t>
        </is>
      </c>
    </row>
    <row r="2">
      <c r="A2" s="2" t="inlineStr">
        <is>
          <t>Чувствительность к нормализации выручки (риск концентрации QAZAQ-ASTYQ) и марже</t>
        </is>
      </c>
    </row>
    <row r="4">
      <c r="A4" s="3" t="inlineStr">
        <is>
          <t>Сценарий</t>
        </is>
      </c>
      <c r="B4" s="3" t="inlineStr">
        <is>
          <t>Предпосылки</t>
        </is>
      </c>
      <c r="C4" s="3" t="inlineStr">
        <is>
          <t>Выручка H2</t>
        </is>
      </c>
      <c r="D4" s="3" t="inlineStr">
        <is>
          <t>EBITDA H2</t>
        </is>
      </c>
      <c r="E4" s="3" t="inlineStr">
        <is>
          <t>Чистая приб. H2</t>
        </is>
      </c>
      <c r="F4" s="3" t="inlineStr">
        <is>
          <t>Остаток ден. на конец</t>
        </is>
      </c>
    </row>
    <row r="5">
      <c r="A5" s="4" t="inlineStr">
        <is>
          <t>Консервативный</t>
        </is>
      </c>
      <c r="B5" s="5" t="inlineStr">
        <is>
          <t>норм. 70%, COGS +2 п.п., рост 0%</t>
        </is>
      </c>
      <c r="C5" s="6" t="n">
        <v>3857696687</v>
      </c>
      <c r="D5" s="6" t="n">
        <v>808609173</v>
      </c>
      <c r="E5" s="6" t="n">
        <v>578492376</v>
      </c>
      <c r="F5" s="6" t="n">
        <v>691903878</v>
      </c>
    </row>
    <row r="6">
      <c r="A6" s="7" t="inlineStr">
        <is>
          <t>Базовый (рекоменд.)</t>
        </is>
      </c>
      <c r="B6" s="5" t="inlineStr">
        <is>
          <t>норм. 85%, COGS факт, рост 0%</t>
        </is>
      </c>
      <c r="C6" s="6" t="n">
        <v>4684345977</v>
      </c>
      <c r="D6" s="6" t="n">
        <v>1132555971</v>
      </c>
      <c r="E6" s="6" t="n">
        <v>889827914</v>
      </c>
      <c r="F6" s="6" t="n">
        <v>1003239416</v>
      </c>
    </row>
    <row r="7">
      <c r="A7" s="4" t="inlineStr">
        <is>
          <t>Оптимистичный</t>
        </is>
      </c>
      <c r="B7" s="5" t="inlineStr">
        <is>
          <t>норм. 100%, рост +2%/мес, COGS −1 п.п.</t>
        </is>
      </c>
      <c r="C7" s="6" t="n">
        <v>5794004129</v>
      </c>
      <c r="D7" s="6" t="n">
        <v>1521780048</v>
      </c>
      <c r="E7" s="6" t="n">
        <v>1262123184</v>
      </c>
      <c r="F7" s="6" t="n">
        <v>1375534686</v>
      </c>
    </row>
    <row r="9">
      <c r="A9" s="8" t="inlineStr">
        <is>
          <t>Метрики (базовый):</t>
        </is>
      </c>
    </row>
    <row r="10">
      <c r="A10" s="9" t="inlineStr">
        <is>
          <t xml:space="preserve">   Выручка H2</t>
        </is>
      </c>
      <c r="C10" s="6" t="n">
        <v>4684345977</v>
      </c>
    </row>
    <row r="11">
      <c r="A11" s="9" t="inlineStr">
        <is>
          <t xml:space="preserve">   EBITDA-маржа</t>
        </is>
      </c>
      <c r="C11" s="10" t="n">
        <v>0.2417746205126928</v>
      </c>
    </row>
    <row r="12">
      <c r="A12" s="9" t="inlineStr">
        <is>
          <t xml:space="preserve">   Чистая маржа</t>
        </is>
      </c>
      <c r="C12" s="10" t="n">
        <v>0.189957769655528</v>
      </c>
    </row>
    <row r="13">
      <c r="A13" s="9" t="inlineStr">
        <is>
          <t xml:space="preserve">   Средняя чистая прибыль/мес</t>
        </is>
      </c>
      <c r="C13" s="6" t="n">
        <v>148304652</v>
      </c>
    </row>
    <row r="14">
      <c r="A14" s="9" t="inlineStr">
        <is>
          <t xml:space="preserve">   Прирост денежных средств за H2</t>
        </is>
      </c>
      <c r="C14" s="6" t="n">
        <v>889827914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БЮДЖЕТ · ОТЧЁТ О ПРИБЫЛЯХ И УБЫТКАХ · H2 2026</t>
        </is>
      </c>
    </row>
    <row r="2">
      <c r="A2" s="2" t="inlineStr">
        <is>
          <t>ТОО «WayStar Group» (БИН 240340014287)  ·  ₸  ·  кассовый метод (формулы от листа «Предпосылки»)</t>
        </is>
      </c>
    </row>
    <row r="4">
      <c r="A4" s="11" t="inlineStr">
        <is>
          <t>Показатель</t>
        </is>
      </c>
      <c r="B4" s="3" t="inlineStr"/>
      <c r="C4" s="3" t="inlineStr">
        <is>
          <t>Июль
2026</t>
        </is>
      </c>
      <c r="D4" s="3" t="inlineStr">
        <is>
          <t>Август
2026</t>
        </is>
      </c>
      <c r="E4" s="3" t="inlineStr">
        <is>
          <t>Сентябрь
2026</t>
        </is>
      </c>
      <c r="F4" s="3" t="inlineStr">
        <is>
          <t>Октябрь
2026</t>
        </is>
      </c>
      <c r="G4" s="3" t="inlineStr">
        <is>
          <t>Ноябрь
2026</t>
        </is>
      </c>
      <c r="H4" s="3" t="inlineStr">
        <is>
          <t>Декабрь
2026</t>
        </is>
      </c>
      <c r="I4" s="3" t="inlineStr">
        <is>
          <t>ИТОГО H2</t>
        </is>
      </c>
    </row>
    <row r="5">
      <c r="A5" s="9" t="inlineStr">
        <is>
          <t xml:space="preserve">      Выручка — Аренда</t>
        </is>
      </c>
      <c r="B5" s="9" t="inlineStr"/>
      <c r="C5" s="6">
        <f>'Предпосылки'!$B$5*'Предпосылки'!$B$7*'Предпосылки'!$C$10*(1+'Предпосылки'!$B$8)^0</f>
        <v/>
      </c>
      <c r="D5" s="6">
        <f>'Предпосылки'!$B$5*'Предпосылки'!$B$7*'Предпосылки'!$D$10*(1+'Предпосылки'!$B$8)^1</f>
        <v/>
      </c>
      <c r="E5" s="6">
        <f>'Предпосылки'!$B$5*'Предпосылки'!$B$7*'Предпосылки'!$E$10*(1+'Предпосылки'!$B$8)^2</f>
        <v/>
      </c>
      <c r="F5" s="6">
        <f>'Предпосылки'!$B$5*'Предпосылки'!$B$7*'Предпосылки'!$F$10*(1+'Предпосылки'!$B$8)^3</f>
        <v/>
      </c>
      <c r="G5" s="6">
        <f>'Предпосылки'!$B$5*'Предпосылки'!$B$7*'Предпосылки'!$G$10*(1+'Предпосылки'!$B$8)^4</f>
        <v/>
      </c>
      <c r="H5" s="6">
        <f>'Предпосылки'!$B$5*'Предпосылки'!$B$7*'Предпосылки'!$H$10*(1+'Предпосылки'!$B$8)^5</f>
        <v/>
      </c>
      <c r="I5" s="12">
        <f>SUM(C5:H5)</f>
        <v/>
      </c>
    </row>
    <row r="6">
      <c r="A6" s="9" t="inlineStr">
        <is>
          <t xml:space="preserve">      Выручка — ТЭО</t>
        </is>
      </c>
      <c r="B6" s="9" t="inlineStr"/>
      <c r="C6" s="6">
        <f>'Предпосылки'!$B$6*'Предпосылки'!$B$7*'Предпосылки'!$C$10*(1+'Предпосылки'!$B$8)^0</f>
        <v/>
      </c>
      <c r="D6" s="6">
        <f>'Предпосылки'!$B$6*'Предпосылки'!$B$7*'Предпосылки'!$D$10*(1+'Предпосылки'!$B$8)^1</f>
        <v/>
      </c>
      <c r="E6" s="6">
        <f>'Предпосылки'!$B$6*'Предпосылки'!$B$7*'Предпосылки'!$E$10*(1+'Предпосылки'!$B$8)^2</f>
        <v/>
      </c>
      <c r="F6" s="6">
        <f>'Предпосылки'!$B$6*'Предпосылки'!$B$7*'Предпосылки'!$F$10*(1+'Предпосылки'!$B$8)^3</f>
        <v/>
      </c>
      <c r="G6" s="6">
        <f>'Предпосылки'!$B$6*'Предпосылки'!$B$7*'Предпосылки'!$G$10*(1+'Предпосылки'!$B$8)^4</f>
        <v/>
      </c>
      <c r="H6" s="6">
        <f>'Предпосылки'!$B$6*'Предпосылки'!$B$7*'Предпосылки'!$H$10*(1+'Предпосылки'!$B$8)^5</f>
        <v/>
      </c>
      <c r="I6" s="12">
        <f>SUM(C6:H6)</f>
        <v/>
      </c>
    </row>
    <row r="7">
      <c r="A7" s="13" t="inlineStr">
        <is>
          <t>Выручка, итого</t>
        </is>
      </c>
      <c r="B7" s="14" t="inlineStr"/>
      <c r="C7" s="12">
        <f>C5+C6</f>
        <v/>
      </c>
      <c r="D7" s="12">
        <f>D5+D6</f>
        <v/>
      </c>
      <c r="E7" s="12">
        <f>E5+E6</f>
        <v/>
      </c>
      <c r="F7" s="12">
        <f>F5+F6</f>
        <v/>
      </c>
      <c r="G7" s="12">
        <f>G5+G6</f>
        <v/>
      </c>
      <c r="H7" s="12">
        <f>H5+H6</f>
        <v/>
      </c>
      <c r="I7" s="12">
        <f>SUM(C7:H7)</f>
        <v/>
      </c>
    </row>
    <row r="8">
      <c r="A8" s="9" t="inlineStr">
        <is>
          <t xml:space="preserve">      COGS — Аренда</t>
        </is>
      </c>
      <c r="B8" s="9" t="inlineStr"/>
      <c r="C8" s="15">
        <f>-C5*'Предпосылки'!$B$13</f>
        <v/>
      </c>
      <c r="D8" s="15">
        <f>-D5*'Предпосылки'!$B$13</f>
        <v/>
      </c>
      <c r="E8" s="15">
        <f>-E5*'Предпосылки'!$B$13</f>
        <v/>
      </c>
      <c r="F8" s="15">
        <f>-F5*'Предпосылки'!$B$13</f>
        <v/>
      </c>
      <c r="G8" s="15">
        <f>-G5*'Предпосылки'!$B$13</f>
        <v/>
      </c>
      <c r="H8" s="15">
        <f>-H5*'Предпосылки'!$B$13</f>
        <v/>
      </c>
      <c r="I8" s="16">
        <f>SUM(C8:H8)</f>
        <v/>
      </c>
    </row>
    <row r="9">
      <c r="A9" s="9" t="inlineStr">
        <is>
          <t xml:space="preserve">      COGS — ТЭО</t>
        </is>
      </c>
      <c r="B9" s="9" t="inlineStr"/>
      <c r="C9" s="15">
        <f>-C6*'Предпосылки'!$B$14</f>
        <v/>
      </c>
      <c r="D9" s="15">
        <f>-D6*'Предпосылки'!$B$14</f>
        <v/>
      </c>
      <c r="E9" s="15">
        <f>-E6*'Предпосылки'!$B$14</f>
        <v/>
      </c>
      <c r="F9" s="15">
        <f>-F6*'Предпосылки'!$B$14</f>
        <v/>
      </c>
      <c r="G9" s="15">
        <f>-G6*'Предпосылки'!$B$14</f>
        <v/>
      </c>
      <c r="H9" s="15">
        <f>-H6*'Предпосылки'!$B$14</f>
        <v/>
      </c>
      <c r="I9" s="16">
        <f>SUM(C9:H9)</f>
        <v/>
      </c>
    </row>
    <row r="10">
      <c r="A10" s="13" t="inlineStr">
        <is>
          <t>Себестоимость, итого</t>
        </is>
      </c>
      <c r="B10" s="14" t="inlineStr"/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  <c r="H10" s="16">
        <f>H8+H9</f>
        <v/>
      </c>
      <c r="I10" s="16">
        <f>SUM(C10:H10)</f>
        <v/>
      </c>
    </row>
    <row r="11">
      <c r="A11" s="13" t="inlineStr">
        <is>
          <t>ВАЛОВАЯ ПРИБЫЛЬ</t>
        </is>
      </c>
      <c r="B11" s="14" t="inlineStr"/>
      <c r="C11" s="17">
        <f>C7+C10</f>
        <v/>
      </c>
      <c r="D11" s="17">
        <f>D7+D10</f>
        <v/>
      </c>
      <c r="E11" s="17">
        <f>E7+E10</f>
        <v/>
      </c>
      <c r="F11" s="17">
        <f>F7+F10</f>
        <v/>
      </c>
      <c r="G11" s="17">
        <f>G7+G10</f>
        <v/>
      </c>
      <c r="H11" s="17">
        <f>H7+H10</f>
        <v/>
      </c>
      <c r="I11" s="17">
        <f>SUM(C11:H11)</f>
        <v/>
      </c>
    </row>
    <row r="12">
      <c r="A12" s="9" t="inlineStr">
        <is>
          <t xml:space="preserve">      Операционные расходы (SG&amp;A)</t>
        </is>
      </c>
      <c r="B12" s="9" t="inlineStr"/>
      <c r="C12" s="15">
        <f>-'Предпосылки'!$B$17*(1+'Предпосылки'!$B$18)^0</f>
        <v/>
      </c>
      <c r="D12" s="15">
        <f>-'Предпосылки'!$B$17*(1+'Предпосылки'!$B$18)^1</f>
        <v/>
      </c>
      <c r="E12" s="15">
        <f>-'Предпосылки'!$B$17*(1+'Предпосылки'!$B$18)^2</f>
        <v/>
      </c>
      <c r="F12" s="15">
        <f>-'Предпосылки'!$B$17*(1+'Предпосылки'!$B$18)^3</f>
        <v/>
      </c>
      <c r="G12" s="15">
        <f>-'Предпосылки'!$B$17*(1+'Предпосылки'!$B$18)^4</f>
        <v/>
      </c>
      <c r="H12" s="15">
        <f>-'Предпосылки'!$B$17*(1+'Предпосылки'!$B$18)^5</f>
        <v/>
      </c>
      <c r="I12" s="16">
        <f>SUM(C12:H12)</f>
        <v/>
      </c>
    </row>
    <row r="13">
      <c r="A13" s="13" t="inlineStr">
        <is>
          <t>EBITDA</t>
        </is>
      </c>
      <c r="B13" s="14" t="inlineStr"/>
      <c r="C13" s="17">
        <f>C11+C12</f>
        <v/>
      </c>
      <c r="D13" s="17">
        <f>D11+D12</f>
        <v/>
      </c>
      <c r="E13" s="17">
        <f>E11+E12</f>
        <v/>
      </c>
      <c r="F13" s="17">
        <f>F11+F12</f>
        <v/>
      </c>
      <c r="G13" s="17">
        <f>G11+G12</f>
        <v/>
      </c>
      <c r="H13" s="17">
        <f>H11+H12</f>
        <v/>
      </c>
      <c r="I13" s="17">
        <f>SUM(C13:H13)</f>
        <v/>
      </c>
    </row>
    <row r="14">
      <c r="A14" s="9" t="inlineStr">
        <is>
          <t xml:space="preserve">      Налоги</t>
        </is>
      </c>
      <c r="B14" s="9" t="inlineStr"/>
      <c r="C14" s="15">
        <f>-C7*'Предпосылки'!$B$19</f>
        <v/>
      </c>
      <c r="D14" s="15">
        <f>-D7*'Предпосылки'!$B$19</f>
        <v/>
      </c>
      <c r="E14" s="15">
        <f>-E7*'Предпосылки'!$B$19</f>
        <v/>
      </c>
      <c r="F14" s="15">
        <f>-F7*'Предпосылки'!$B$19</f>
        <v/>
      </c>
      <c r="G14" s="15">
        <f>-G7*'Предпосылки'!$B$19</f>
        <v/>
      </c>
      <c r="H14" s="15">
        <f>-H7*'Предпосылки'!$B$19</f>
        <v/>
      </c>
      <c r="I14" s="16">
        <f>SUM(C14:H14)</f>
        <v/>
      </c>
    </row>
    <row r="15">
      <c r="A15" s="9" t="inlineStr">
        <is>
          <t xml:space="preserve">      Финансовые доходы (% депозиты)</t>
        </is>
      </c>
      <c r="B15" s="9" t="inlineStr"/>
      <c r="C15" s="6">
        <f>'Предпосылки'!$B$22</f>
        <v/>
      </c>
      <c r="D15" s="6">
        <f>'Предпосылки'!$B$22</f>
        <v/>
      </c>
      <c r="E15" s="6">
        <f>'Предпосылки'!$B$22</f>
        <v/>
      </c>
      <c r="F15" s="6">
        <f>'Предпосылки'!$B$22</f>
        <v/>
      </c>
      <c r="G15" s="6">
        <f>'Предпосылки'!$B$22</f>
        <v/>
      </c>
      <c r="H15" s="6">
        <f>'Предпосылки'!$B$22</f>
        <v/>
      </c>
      <c r="I15" s="12">
        <f>SUM(C15:H15)</f>
        <v/>
      </c>
    </row>
    <row r="16">
      <c r="A16" s="9" t="inlineStr">
        <is>
          <t xml:space="preserve">      Финансовые расходы (% кредиты)</t>
        </is>
      </c>
      <c r="B16" s="9" t="inlineStr"/>
      <c r="C16" s="15">
        <f>-'Предпосылки'!$B$23</f>
        <v/>
      </c>
      <c r="D16" s="15">
        <f>-'Предпосылки'!$B$23</f>
        <v/>
      </c>
      <c r="E16" s="15">
        <f>-'Предпосылки'!$B$23</f>
        <v/>
      </c>
      <c r="F16" s="15">
        <f>-'Предпосылки'!$B$23</f>
        <v/>
      </c>
      <c r="G16" s="15">
        <f>-'Предпосылки'!$B$23</f>
        <v/>
      </c>
      <c r="H16" s="15">
        <f>-'Предпосылки'!$B$23</f>
        <v/>
      </c>
      <c r="I16" s="16">
        <f>SUM(C16:H16)</f>
        <v/>
      </c>
    </row>
    <row r="17">
      <c r="A17" s="13" t="inlineStr">
        <is>
          <t>ЧИСТАЯ ПРИБЫЛЬ</t>
        </is>
      </c>
      <c r="B17" s="14" t="inlineStr"/>
      <c r="C17" s="17">
        <f>C13+C14+C15+C16</f>
        <v/>
      </c>
      <c r="D17" s="17">
        <f>D13+D14+D15+D16</f>
        <v/>
      </c>
      <c r="E17" s="17">
        <f>E13+E14+E15+E16</f>
        <v/>
      </c>
      <c r="F17" s="17">
        <f>F13+F14+F15+F16</f>
        <v/>
      </c>
      <c r="G17" s="17">
        <f>G13+G14+G15+G16</f>
        <v/>
      </c>
      <c r="H17" s="17">
        <f>H13+H14+H15+H16</f>
        <v/>
      </c>
      <c r="I17" s="17">
        <f>SUM(C17:H17)</f>
        <v/>
      </c>
    </row>
    <row r="19">
      <c r="A19" s="18" t="inlineStr">
        <is>
          <t>Справочно — маржа, %</t>
        </is>
      </c>
    </row>
    <row r="20">
      <c r="A20" s="19" t="inlineStr">
        <is>
          <t xml:space="preserve">  Валовая маржа</t>
        </is>
      </c>
      <c r="C20" s="20">
        <f>IFERROR(C11/C7,0)</f>
        <v/>
      </c>
      <c r="D20" s="20">
        <f>IFERROR(D11/D7,0)</f>
        <v/>
      </c>
      <c r="E20" s="20">
        <f>IFERROR(E11/E7,0)</f>
        <v/>
      </c>
      <c r="F20" s="20">
        <f>IFERROR(F11/F7,0)</f>
        <v/>
      </c>
      <c r="G20" s="20">
        <f>IFERROR(G11/G7,0)</f>
        <v/>
      </c>
      <c r="H20" s="20">
        <f>IFERROR(H11/H7,0)</f>
        <v/>
      </c>
      <c r="I20" s="20">
        <f>IFERROR(I11/I7,0)</f>
        <v/>
      </c>
    </row>
    <row r="21">
      <c r="A21" s="19" t="inlineStr">
        <is>
          <t xml:space="preserve">  EBITDA-маржа</t>
        </is>
      </c>
      <c r="C21" s="20">
        <f>IFERROR(C13/C7,0)</f>
        <v/>
      </c>
      <c r="D21" s="20">
        <f>IFERROR(D13/D7,0)</f>
        <v/>
      </c>
      <c r="E21" s="20">
        <f>IFERROR(E13/E7,0)</f>
        <v/>
      </c>
      <c r="F21" s="20">
        <f>IFERROR(F13/F7,0)</f>
        <v/>
      </c>
      <c r="G21" s="20">
        <f>IFERROR(G13/G7,0)</f>
        <v/>
      </c>
      <c r="H21" s="20">
        <f>IFERROR(H13/H7,0)</f>
        <v/>
      </c>
      <c r="I21" s="20">
        <f>IFERROR(I13/I7,0)</f>
        <v/>
      </c>
    </row>
    <row r="22">
      <c r="A22" s="19" t="inlineStr">
        <is>
          <t xml:space="preserve">  Чистая маржа</t>
        </is>
      </c>
      <c r="C22" s="20">
        <f>IFERROR(C17/C7,0)</f>
        <v/>
      </c>
      <c r="D22" s="20">
        <f>IFERROR(D17/D7,0)</f>
        <v/>
      </c>
      <c r="E22" s="20">
        <f>IFERROR(E17/E7,0)</f>
        <v/>
      </c>
      <c r="F22" s="20">
        <f>IFERROR(F17/F7,0)</f>
        <v/>
      </c>
      <c r="G22" s="20">
        <f>IFERROR(G17/G7,0)</f>
        <v/>
      </c>
      <c r="H22" s="20">
        <f>IFERROR(H17/H7,0)</f>
        <v/>
      </c>
      <c r="I22" s="20">
        <f>IFERROR(I17/I7,0)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БЮДЖЕТ · ДВИЖЕНИЕ ДЕНЕЖНЫХ СРЕДСТВ · H2 2026</t>
        </is>
      </c>
    </row>
    <row r="2">
      <c r="A2" s="2" t="inlineStr">
        <is>
          <t>ТОО «WayStar Group» (БИН 240340014287)  ·  ₸</t>
        </is>
      </c>
    </row>
    <row r="4">
      <c r="A4" s="11" t="inlineStr">
        <is>
          <t>Статья</t>
        </is>
      </c>
      <c r="B4" s="21" t="inlineStr"/>
      <c r="C4" s="3" t="inlineStr">
        <is>
          <t>Июль
2026</t>
        </is>
      </c>
      <c r="D4" s="3" t="inlineStr">
        <is>
          <t>Август
2026</t>
        </is>
      </c>
      <c r="E4" s="3" t="inlineStr">
        <is>
          <t>Сентябрь
2026</t>
        </is>
      </c>
      <c r="F4" s="3" t="inlineStr">
        <is>
          <t>Октябрь
2026</t>
        </is>
      </c>
      <c r="G4" s="3" t="inlineStr">
        <is>
          <t>Ноябрь
2026</t>
        </is>
      </c>
      <c r="H4" s="3" t="inlineStr">
        <is>
          <t>Декабрь
2026</t>
        </is>
      </c>
      <c r="I4" s="3" t="inlineStr">
        <is>
          <t>ИТОГО H2</t>
        </is>
      </c>
    </row>
    <row r="5">
      <c r="A5" s="4" t="inlineStr">
        <is>
          <t>Денежные средства на начало месяца</t>
        </is>
      </c>
      <c r="C5" s="22">
        <f>'Предпосылки'!$B$26</f>
        <v/>
      </c>
      <c r="D5" s="22">
        <f>C10</f>
        <v/>
      </c>
      <c r="E5" s="22">
        <f>D10</f>
        <v/>
      </c>
      <c r="F5" s="22">
        <f>E10</f>
        <v/>
      </c>
      <c r="G5" s="22">
        <f>F10</f>
        <v/>
      </c>
      <c r="H5" s="22">
        <f>G10</f>
        <v/>
      </c>
      <c r="I5" s="22">
        <f>C5</f>
        <v/>
      </c>
    </row>
    <row r="6">
      <c r="A6" s="9" t="inlineStr">
        <is>
          <t>Чистая прибыль (операц. поток)</t>
        </is>
      </c>
      <c r="B6" s="9" t="inlineStr"/>
      <c r="C6" s="6">
        <f>'Бюджет P&amp;L'!C17</f>
        <v/>
      </c>
      <c r="D6" s="6">
        <f>'Бюджет P&amp;L'!D17</f>
        <v/>
      </c>
      <c r="E6" s="6">
        <f>'Бюджет P&amp;L'!E17</f>
        <v/>
      </c>
      <c r="F6" s="6">
        <f>'Бюджет P&amp;L'!F17</f>
        <v/>
      </c>
      <c r="G6" s="6">
        <f>'Бюджет P&amp;L'!G17</f>
        <v/>
      </c>
      <c r="H6" s="6">
        <f>'Бюджет P&amp;L'!H17</f>
        <v/>
      </c>
      <c r="I6" s="12">
        <f>SUM(C6:H6)</f>
        <v/>
      </c>
    </row>
    <row r="7">
      <c r="A7" s="9" t="inlineStr">
        <is>
          <t>Погашение основного долга</t>
        </is>
      </c>
      <c r="B7" s="9" t="inlineStr"/>
      <c r="C7" s="15">
        <f>-'Предпосылки'!$B$24</f>
        <v/>
      </c>
      <c r="D7" s="15">
        <f>-'Предпосылки'!$B$24</f>
        <v/>
      </c>
      <c r="E7" s="15">
        <f>-'Предпосылки'!$B$24</f>
        <v/>
      </c>
      <c r="F7" s="15">
        <f>-'Предпосылки'!$B$24</f>
        <v/>
      </c>
      <c r="G7" s="15">
        <f>-'Предпосылки'!$B$24</f>
        <v/>
      </c>
      <c r="H7" s="15">
        <f>-'Предпосылки'!$B$24</f>
        <v/>
      </c>
      <c r="I7" s="16">
        <f>SUM(C7:H7)</f>
        <v/>
      </c>
    </row>
    <row r="8">
      <c r="A8" s="9" t="inlineStr">
        <is>
          <t>Новые займы / транши</t>
        </is>
      </c>
      <c r="B8" s="9" t="inlineStr"/>
      <c r="C8" s="6">
        <f>'Предпосылки'!$B$25</f>
        <v/>
      </c>
      <c r="D8" s="6">
        <f>'Предпосылки'!$B$25</f>
        <v/>
      </c>
      <c r="E8" s="6">
        <f>'Предпосылки'!$B$25</f>
        <v/>
      </c>
      <c r="F8" s="6">
        <f>'Предпосылки'!$B$25</f>
        <v/>
      </c>
      <c r="G8" s="6">
        <f>'Предпосылки'!$B$25</f>
        <v/>
      </c>
      <c r="H8" s="6">
        <f>'Предпосылки'!$B$25</f>
        <v/>
      </c>
      <c r="I8" s="12">
        <f>SUM(C8:H8)</f>
        <v/>
      </c>
    </row>
    <row r="9">
      <c r="A9" s="13" t="inlineStr">
        <is>
          <t>Чистый денежный поток за месяц</t>
        </is>
      </c>
      <c r="B9" s="14" t="inlineStr"/>
      <c r="C9" s="17">
        <f>C6+C7+C8</f>
        <v/>
      </c>
      <c r="D9" s="17">
        <f>D6+D7+D8</f>
        <v/>
      </c>
      <c r="E9" s="17">
        <f>E6+E7+E8</f>
        <v/>
      </c>
      <c r="F9" s="17">
        <f>F6+F7+F8</f>
        <v/>
      </c>
      <c r="G9" s="17">
        <f>G6+G7+G8</f>
        <v/>
      </c>
      <c r="H9" s="17">
        <f>H6+H7+H8</f>
        <v/>
      </c>
      <c r="I9" s="17">
        <f>SUM(C9:H9)</f>
        <v/>
      </c>
    </row>
    <row r="10">
      <c r="A10" s="13" t="inlineStr">
        <is>
          <t>Денежные средства на конец месяца</t>
        </is>
      </c>
      <c r="B10" s="14" t="inlineStr"/>
      <c r="C10" s="17">
        <f>C5+C9</f>
        <v/>
      </c>
      <c r="D10" s="17">
        <f>D5+D9</f>
        <v/>
      </c>
      <c r="E10" s="17">
        <f>E5+E9</f>
        <v/>
      </c>
      <c r="F10" s="17">
        <f>F5+F9</f>
        <v/>
      </c>
      <c r="G10" s="17">
        <f>G5+G9</f>
        <v/>
      </c>
      <c r="H10" s="17">
        <f>H5+H9</f>
        <v/>
      </c>
      <c r="I10" s="17">
        <f>H10</f>
        <v/>
      </c>
    </row>
    <row r="12">
      <c r="A12" s="23" t="inlineStr">
        <is>
          <t>Свободный денежный поток (для депозитов/дивидендов)</t>
        </is>
      </c>
      <c r="C12" s="24">
        <f>C6+C7</f>
        <v/>
      </c>
      <c r="D12" s="24">
        <f>D6+D7</f>
        <v/>
      </c>
      <c r="E12" s="24">
        <f>E6+E7</f>
        <v/>
      </c>
      <c r="F12" s="24">
        <f>F6+F7</f>
        <v/>
      </c>
      <c r="G12" s="24">
        <f>G6+G7</f>
        <v/>
      </c>
      <c r="H12" s="24">
        <f>H6+H7</f>
        <v/>
      </c>
      <c r="I12" s="22">
        <f>SUM(C12:H12)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25" t="inlineStr">
        <is>
          <t>ПРЕДПОСЫЛКИ БЮДЖЕТА · H2 2026 (июль–декабрь)</t>
        </is>
      </c>
    </row>
    <row r="2">
      <c r="A2" s="26" t="inlineStr">
        <is>
          <t>ТОО «WayStar Group» (БИН 240340014287)  ·  жёлтые ячейки — редактируемые драйверы; отчёты пересчитываются автоматически</t>
        </is>
      </c>
    </row>
    <row r="4">
      <c r="A4" s="27" t="inlineStr">
        <is>
          <t>ВЫРУЧКА (база — факт 15.06–15.07.2026, ₸/мес)</t>
        </is>
      </c>
      <c r="B4" s="28" t="inlineStr"/>
      <c r="C4" s="28" t="inlineStr"/>
    </row>
    <row r="5">
      <c r="A5" s="9" t="inlineStr">
        <is>
          <t>Базовая выручка — Аренда (сдача вагонов/цистерн)</t>
        </is>
      </c>
      <c r="B5" s="29" t="n">
        <v>56187810</v>
      </c>
      <c r="C5" s="30" t="inlineStr">
        <is>
          <t>из факт-месяца</t>
        </is>
      </c>
    </row>
    <row r="6">
      <c r="A6" s="9" t="inlineStr">
        <is>
          <t>Базовая выручка — ТЭО (экспедирование, тариф)</t>
        </is>
      </c>
      <c r="B6" s="29" t="n">
        <v>862311401</v>
      </c>
      <c r="C6" s="30" t="inlineStr">
        <is>
          <t>из факт-месяца</t>
        </is>
      </c>
    </row>
    <row r="7">
      <c r="A7" s="9" t="inlineStr">
        <is>
          <t>Нормализация базы, %</t>
        </is>
      </c>
      <c r="B7" s="31" t="n">
        <v>0.85</v>
      </c>
      <c r="C7" s="30" t="inlineStr">
        <is>
          <t>хайркат под разовые авансы QAZAQ (ТЭО 200+160 млн)</t>
        </is>
      </c>
    </row>
    <row r="8">
      <c r="A8" s="9" t="inlineStr">
        <is>
          <t>Рост выручки, %/мес</t>
        </is>
      </c>
      <c r="B8" s="31" t="n">
        <v>0</v>
      </c>
      <c r="C8" s="30" t="inlineStr">
        <is>
          <t>органический рост month-over-month</t>
        </is>
      </c>
    </row>
    <row r="9">
      <c r="A9" s="32" t="inlineStr">
        <is>
          <t>Сезонность по месяцам (коэффициент):</t>
        </is>
      </c>
      <c r="C9" s="33" t="inlineStr">
        <is>
          <t>Июль</t>
        </is>
      </c>
      <c r="D9" s="33" t="inlineStr">
        <is>
          <t>Август</t>
        </is>
      </c>
      <c r="E9" s="33" t="inlineStr">
        <is>
          <t>Сентябрь</t>
        </is>
      </c>
      <c r="F9" s="33" t="inlineStr">
        <is>
          <t>Октябрь</t>
        </is>
      </c>
      <c r="G9" s="33" t="inlineStr">
        <is>
          <t>Ноябрь</t>
        </is>
      </c>
      <c r="H9" s="33" t="inlineStr">
        <is>
          <t>Декабрь</t>
        </is>
      </c>
    </row>
    <row r="10">
      <c r="A10" s="9" t="inlineStr">
        <is>
          <t xml:space="preserve">  коэффициент сезонности</t>
        </is>
      </c>
      <c r="C10" s="34" t="n">
        <v>1</v>
      </c>
      <c r="D10" s="34" t="n">
        <v>1</v>
      </c>
      <c r="E10" s="34" t="n">
        <v>1</v>
      </c>
      <c r="F10" s="34" t="n">
        <v>1</v>
      </c>
      <c r="G10" s="34" t="n">
        <v>1</v>
      </c>
      <c r="H10" s="34" t="n">
        <v>1</v>
      </c>
    </row>
    <row r="12">
      <c r="A12" s="27" t="inlineStr">
        <is>
          <t>СЕБЕСТОИМОСТЬ (% от выручки сегмента)</t>
        </is>
      </c>
      <c r="B12" s="28" t="inlineStr"/>
      <c r="C12" s="28" t="inlineStr"/>
    </row>
    <row r="13">
      <c r="A13" s="9" t="inlineStr">
        <is>
          <t>COGS Аренда, % от выручки Аренда</t>
        </is>
      </c>
      <c r="B13" s="31" t="n">
        <v>0.781</v>
      </c>
      <c r="C13" s="30" t="inlineStr">
        <is>
          <t>аренда вагонов у собственников</t>
        </is>
      </c>
    </row>
    <row r="14">
      <c r="A14" s="9" t="inlineStr">
        <is>
          <t>COGS ТЭО, % от выручки ТЭО</t>
        </is>
      </c>
      <c r="B14" s="31" t="n">
        <v>0.696</v>
      </c>
      <c r="C14" s="30" t="inlineStr">
        <is>
          <t>ж/д тариф РК + иностр. транзит + ремонт</t>
        </is>
      </c>
    </row>
    <row r="16">
      <c r="A16" s="27" t="inlineStr">
        <is>
          <t>ОПЕРАЦИОННЫЕ РАСХОДЫ И НАЛОГИ</t>
        </is>
      </c>
      <c r="B16" s="28" t="inlineStr"/>
      <c r="C16" s="28" t="inlineStr"/>
    </row>
    <row r="17">
      <c r="A17" s="9" t="inlineStr">
        <is>
          <t>OPEX базовый (ЗП, аренда, банк, связь), ₸/мес</t>
        </is>
      </c>
      <c r="B17" s="29" t="n">
        <v>44322821</v>
      </c>
      <c r="C17" s="30" t="inlineStr">
        <is>
          <t>условно-постоянные</t>
        </is>
      </c>
    </row>
    <row r="18">
      <c r="A18" s="9" t="inlineStr">
        <is>
          <t>Инфляция OPEX, %/мес</t>
        </is>
      </c>
      <c r="B18" s="31" t="n">
        <v>0</v>
      </c>
      <c r="C18" s="30" t="inlineStr"/>
    </row>
    <row r="19">
      <c r="A19" s="9" t="inlineStr">
        <is>
          <t>Налоги, % от выручки (касс. оценка)</t>
        </is>
      </c>
      <c r="B19" s="31" t="n">
        <v>0.0153</v>
      </c>
      <c r="C19" s="30" t="inlineStr">
        <is>
          <t>payroll+соц.+КПН за нерезид.</t>
        </is>
      </c>
    </row>
    <row r="21">
      <c r="A21" s="27" t="inlineStr">
        <is>
          <t>ФИНАНСЫ И ДЕНЕЖНЫЕ СРЕДСТВА (₸/мес)</t>
        </is>
      </c>
      <c r="B21" s="28" t="inlineStr"/>
      <c r="C21" s="28" t="inlineStr"/>
    </row>
    <row r="22">
      <c r="A22" s="9" t="inlineStr">
        <is>
          <t>Доход по депозитам</t>
        </is>
      </c>
      <c r="B22" s="29" t="n">
        <v>3904212</v>
      </c>
      <c r="C22" s="30" t="inlineStr">
        <is>
          <t>% на размещённые средства</t>
        </is>
      </c>
    </row>
    <row r="23">
      <c r="A23" s="9" t="inlineStr">
        <is>
          <t>Проценты по кредитам</t>
        </is>
      </c>
      <c r="B23" s="29" t="n">
        <v>32448254</v>
      </c>
      <c r="C23" s="30" t="inlineStr">
        <is>
          <t>обслуживание долга (факт вкл. пени)</t>
        </is>
      </c>
    </row>
    <row r="24">
      <c r="A24" s="9" t="inlineStr">
        <is>
          <t>Погашение основного долга</t>
        </is>
      </c>
      <c r="B24" s="29" t="n">
        <v>0</v>
      </c>
      <c r="C24" s="30" t="inlineStr">
        <is>
          <t>плановое, если есть график</t>
        </is>
      </c>
    </row>
    <row r="25">
      <c r="A25" s="9" t="inlineStr">
        <is>
          <t>Новые займы / транши</t>
        </is>
      </c>
      <c r="B25" s="29" t="n">
        <v>0</v>
      </c>
      <c r="C25" s="30" t="inlineStr">
        <is>
          <t>привлечение финансирования</t>
        </is>
      </c>
    </row>
    <row r="26">
      <c r="A26" s="9" t="inlineStr">
        <is>
          <t>Остаток денежных средств на начало H2</t>
        </is>
      </c>
      <c r="B26" s="29" t="n">
        <v>113411502</v>
      </c>
      <c r="C26" s="30">
        <f> остаток на 15.07.2026 (4 счёта)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</cols>
  <sheetData>
    <row r="1">
      <c r="A1" s="35" t="inlineStr">
        <is>
          <t>БАЗА БЮДЖЕТА — ФАКТ ЗА 15.06–15.07.2026 (₸/мес)</t>
        </is>
      </c>
    </row>
    <row r="2">
      <c r="A2" s="2" t="inlineStr">
        <is>
          <t>Месячный run-rate из консолидированной управленческой отчётности (4 счёта)</t>
        </is>
      </c>
    </row>
    <row r="4">
      <c r="A4" s="3" t="inlineStr">
        <is>
          <t>Показатель</t>
        </is>
      </c>
      <c r="B4" s="3" t="inlineStr">
        <is>
          <t>₸/мес</t>
        </is>
      </c>
      <c r="C4" s="3" t="inlineStr">
        <is>
          <t>% выручки</t>
        </is>
      </c>
    </row>
    <row r="5">
      <c r="A5" s="9" t="inlineStr">
        <is>
          <t>Выручка — Аренда</t>
        </is>
      </c>
      <c r="B5" s="6" t="n">
        <v>56187810</v>
      </c>
      <c r="C5" s="10" t="n">
        <v>0.06117349836755236</v>
      </c>
    </row>
    <row r="6">
      <c r="A6" s="9" t="inlineStr">
        <is>
          <t>Выручка — ТЭО</t>
        </is>
      </c>
      <c r="B6" s="6" t="n">
        <v>862311401</v>
      </c>
      <c r="C6" s="10" t="n">
        <v>0.9388265016324476</v>
      </c>
    </row>
    <row r="7">
      <c r="A7" s="13" t="inlineStr">
        <is>
          <t>Выручка, итого</t>
        </is>
      </c>
      <c r="B7" s="17" t="n">
        <v>918499211</v>
      </c>
      <c r="C7" s="36" t="n">
        <v>1</v>
      </c>
    </row>
    <row r="8">
      <c r="A8" s="9" t="inlineStr">
        <is>
          <t>COGS — Аренда</t>
        </is>
      </c>
      <c r="B8" s="6" t="n">
        <v>-43894920</v>
      </c>
      <c r="C8" s="10" t="n">
        <v>-0.04778982873623017</v>
      </c>
    </row>
    <row r="9">
      <c r="A9" s="9" t="inlineStr">
        <is>
          <t>COGS — ТЭО</t>
        </is>
      </c>
      <c r="B9" s="6" t="n">
        <v>-600389998</v>
      </c>
      <c r="C9" s="10" t="n">
        <v>-0.6536641410207853</v>
      </c>
    </row>
    <row r="10">
      <c r="A10" s="13" t="inlineStr">
        <is>
          <t>Себестоимость, итого</t>
        </is>
      </c>
      <c r="B10" s="12" t="n">
        <v>-644284918</v>
      </c>
      <c r="C10" s="36" t="n">
        <v>-0.7014539697570155</v>
      </c>
    </row>
    <row r="11">
      <c r="A11" s="13" t="inlineStr">
        <is>
          <t>ВАЛОВАЯ ПРИБЫЛЬ</t>
        </is>
      </c>
      <c r="B11" s="17" t="n">
        <v>274214293</v>
      </c>
      <c r="C11" s="36" t="n">
        <v>0.2985460302429845</v>
      </c>
    </row>
    <row r="12">
      <c r="A12" s="9" t="inlineStr">
        <is>
          <t>Операционные расходы</t>
        </is>
      </c>
      <c r="B12" s="6" t="n">
        <v>-44322821</v>
      </c>
      <c r="C12" s="10" t="n">
        <v>-0.04825569827074797</v>
      </c>
    </row>
    <row r="13">
      <c r="A13" s="13" t="inlineStr">
        <is>
          <t>EBITDA</t>
        </is>
      </c>
      <c r="B13" s="17" t="n">
        <v>229891472</v>
      </c>
      <c r="C13" s="36" t="n">
        <v>0.2502903319722365</v>
      </c>
    </row>
    <row r="14">
      <c r="A14" s="9" t="inlineStr">
        <is>
          <t>Налоги</t>
        </is>
      </c>
      <c r="B14" s="6" t="n">
        <v>-14012510</v>
      </c>
      <c r="C14" s="10" t="n">
        <v>-0.01525587638875613</v>
      </c>
    </row>
    <row r="15">
      <c r="A15" s="9" t="inlineStr">
        <is>
          <t>Финансовые доходы</t>
        </is>
      </c>
      <c r="B15" s="6" t="n">
        <v>3904212</v>
      </c>
      <c r="C15" s="10" t="n">
        <v>0.004250642223945622</v>
      </c>
    </row>
    <row r="16">
      <c r="A16" s="9" t="inlineStr">
        <is>
          <t>Финансовые расходы</t>
        </is>
      </c>
      <c r="B16" s="6" t="n">
        <v>-32448254</v>
      </c>
      <c r="C16" s="10" t="n">
        <v>-0.03532747052209295</v>
      </c>
    </row>
    <row r="17">
      <c r="A17" s="13" t="inlineStr">
        <is>
          <t>ЧИСТАЯ ПРИБЫЛЬ</t>
        </is>
      </c>
      <c r="B17" s="17" t="n">
        <v>187334920</v>
      </c>
      <c r="C17" s="36" t="n">
        <v>0.2039576272853331</v>
      </c>
    </row>
    <row r="19">
      <c r="A19" s="37" t="inlineStr">
        <is>
          <t>Оговорка: база — 1 месяц. Крупные авансовые платежи QAZAQ-ASTYQ (ТЭО «предоставление цистерн» 200 и 160 млн ₸) могут покрывать несколько месяцев, поэтому в бюджете применяется нормализация (по умолчанию 85%). Отчётность кассовая. Рекомендуется калибровать базовую выручку по договорам/нескольким месяцам факта.</t>
        </is>
      </c>
    </row>
    <row r="20"/>
    <row r="21"/>
    <row r="22"/>
  </sheetData>
  <mergeCells count="1">
    <mergeCell ref="A19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2026-07-15T12:50:13Z</dcterms:created>
  <dcterms:modified xsi:type="dcterms:W3CDTF">2026-07-15T12:50:13Z</dcterms:modified>
</cp:coreProperties>
</file>