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юме" sheetId="1" state="visible" r:id="rId1"/>
    <sheet name="Реестр операций" sheetId="2" state="visible" r:id="rId2"/>
    <sheet name="P&amp;L (кассовый)" sheetId="3" state="visible" r:id="rId3"/>
    <sheet name="P&amp;L по клиентам" sheetId="4" state="visible" r:id="rId4"/>
    <sheet name="ДДС (Cash Flow)" sheetId="5" state="visible" r:id="rId5"/>
    <sheet name="Выручка по клиентам" sheetId="6" state="visible" r:id="rId6"/>
    <sheet name="Расходы" sheetId="7" state="visible" r:id="rId7"/>
  </sheets>
  <definedNames>
    <definedName name="_xlnm._FilterDatabase" localSheetId="1" hidden="1">'Реестр операций'!$A$3:$L$436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13294B"/>
      <sz val="12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13294B"/>
      <sz val="14"/>
    </font>
    <font>
      <name val="Calibri"/>
      <i val="1"/>
      <color rgb="001A1A1A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B23A3A"/>
      <sz val="10"/>
    </font>
    <font>
      <name val="Calibri"/>
      <b val="1"/>
      <color rgb="001E7A3D"/>
      <sz val="10"/>
    </font>
    <font>
      <name val="Calibri"/>
      <i val="1"/>
      <color rgb="00777777"/>
      <sz val="9"/>
    </font>
    <font>
      <name val="Calibri"/>
      <color rgb="00B23A3A"/>
      <sz val="10"/>
    </font>
    <font>
      <name val="Calibri"/>
      <color rgb="001E7A3D"/>
      <sz val="10"/>
    </font>
    <font>
      <name val="Calibri"/>
      <b val="1"/>
      <color rgb="0013294B"/>
      <sz val="16"/>
    </font>
    <font>
      <name val="Calibri"/>
      <color rgb="002F6690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  <font>
      <name val="Calibri"/>
      <b val="1"/>
      <color rgb="001E7A3D"/>
      <sz val="11"/>
    </font>
  </fonts>
  <fills count="5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EEF2F6"/>
      </patternFill>
    </fill>
    <fill>
      <patternFill patternType="solid">
        <fgColor rgb="002F6690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УПРАВЛЕНЧЕСКАЯ ОТЧЁТНОСТЬ</t>
        </is>
      </c>
    </row>
    <row r="2">
      <c r="A2" s="2" t="inlineStr">
        <is>
          <t>ТОО «WayStar Group» (БИН 240340014287)</t>
        </is>
      </c>
    </row>
    <row r="3">
      <c r="A3" s="3" t="inlineStr">
        <is>
          <t>Период: 15.06.2026 – 15.07.2026  ·  выписки 3 банков (БЦК, Halyk, Bank RBK)  ·  валюта: KZT</t>
        </is>
      </c>
    </row>
    <row r="4">
      <c r="A4" s="4" t="inlineStr">
        <is>
          <t>Метод: кассовый (по фактическому движению денег). Все показатели — формулы.</t>
        </is>
      </c>
    </row>
    <row r="6">
      <c r="A6" s="5" t="inlineStr">
        <is>
          <t>КЛЮЧЕВЫЕ ПОКАЗАТЕЛИ (₸)</t>
        </is>
      </c>
      <c r="B6" s="6" t="inlineStr"/>
      <c r="C6" s="6" t="inlineStr"/>
      <c r="D6" s="6" t="inlineStr"/>
    </row>
    <row r="7">
      <c r="A7" s="7" t="inlineStr">
        <is>
          <t>Выручка (поступления от клиентов)</t>
        </is>
      </c>
      <c r="B7" s="7" t="inlineStr"/>
      <c r="C7" s="7" t="inlineStr"/>
      <c r="D7" s="8">
        <f>'P&amp;L (кассовый)'!B5</f>
        <v/>
      </c>
    </row>
    <row r="8">
      <c r="A8" s="7" t="inlineStr">
        <is>
          <t>Себестоимость (ж/д тариф, вагоны, ремонт)</t>
        </is>
      </c>
      <c r="B8" s="7" t="inlineStr"/>
      <c r="C8" s="7" t="inlineStr"/>
      <c r="D8" s="9">
        <f>'P&amp;L (кассовый)'!B10</f>
        <v/>
      </c>
    </row>
    <row r="9">
      <c r="A9" s="10" t="inlineStr">
        <is>
          <t>ВАЛОВАЯ ПРИБЫЛЬ</t>
        </is>
      </c>
      <c r="B9" s="11" t="inlineStr"/>
      <c r="C9" s="11" t="inlineStr"/>
      <c r="D9" s="12">
        <f>'P&amp;L (кассовый)'!B11</f>
        <v/>
      </c>
    </row>
    <row r="10">
      <c r="A10" s="7" t="inlineStr">
        <is>
          <t xml:space="preserve">   валовая маржа, %</t>
        </is>
      </c>
      <c r="B10" s="7" t="inlineStr"/>
      <c r="C10" s="7" t="inlineStr"/>
      <c r="D10" s="13">
        <f>IFERROR('P&amp;L (кассовый)'!B11/'P&amp;L (кассовый)'!B7,0)</f>
        <v/>
      </c>
    </row>
    <row r="11">
      <c r="A11" s="7" t="inlineStr">
        <is>
          <t>Операционные расходы (SG&amp;A)</t>
        </is>
      </c>
      <c r="B11" s="7" t="inlineStr"/>
      <c r="C11" s="7" t="inlineStr"/>
      <c r="D11" s="9">
        <f>'P&amp;L (кассовый)'!B19</f>
        <v/>
      </c>
    </row>
    <row r="12">
      <c r="A12" s="10" t="inlineStr">
        <is>
          <t>EBITDA</t>
        </is>
      </c>
      <c r="B12" s="11" t="inlineStr"/>
      <c r="C12" s="11" t="inlineStr"/>
      <c r="D12" s="12">
        <f>'P&amp;L (кассовый)'!B20</f>
        <v/>
      </c>
    </row>
    <row r="13">
      <c r="A13" s="7" t="inlineStr">
        <is>
          <t>Налоги уплаченные</t>
        </is>
      </c>
      <c r="B13" s="7" t="inlineStr"/>
      <c r="C13" s="7" t="inlineStr"/>
      <c r="D13" s="9">
        <f>'P&amp;L (кассовый)'!B21</f>
        <v/>
      </c>
    </row>
    <row r="14">
      <c r="A14" s="7" t="inlineStr">
        <is>
          <t>Финансовые доходы / расходы</t>
        </is>
      </c>
      <c r="B14" s="7" t="inlineStr"/>
      <c r="C14" s="7" t="inlineStr"/>
      <c r="D14" s="8">
        <f>'P&amp;L (кассовый)'!B22+'P&amp;L (кассовый)'!B23</f>
        <v/>
      </c>
    </row>
    <row r="15">
      <c r="A15" s="10" t="inlineStr">
        <is>
          <t>ЧИСТАЯ ПРИБЫЛЬ (кассовая)</t>
        </is>
      </c>
      <c r="B15" s="11" t="inlineStr"/>
      <c r="C15" s="11" t="inlineStr"/>
      <c r="D15" s="12">
        <f>'P&amp;L (кассовый)'!B24</f>
        <v/>
      </c>
    </row>
    <row r="16">
      <c r="A16" s="7" t="inlineStr">
        <is>
          <t xml:space="preserve">   чистая маржа, %</t>
        </is>
      </c>
      <c r="B16" s="7" t="inlineStr"/>
      <c r="C16" s="7" t="inlineStr"/>
      <c r="D16" s="13">
        <f>IFERROR('P&amp;L (кассовый)'!B24/'P&amp;L (кассовый)'!B7,0)</f>
        <v/>
      </c>
    </row>
    <row r="17">
      <c r="A17" s="5" t="inlineStr">
        <is>
          <t>ДВИЖЕНИЕ ДЕНЕЖНЫХ СРЕДСТВ (свод, ₸)</t>
        </is>
      </c>
      <c r="B17" s="6" t="inlineStr"/>
      <c r="C17" s="6" t="inlineStr"/>
      <c r="D17" s="6" t="inlineStr"/>
    </row>
    <row r="18">
      <c r="A18" s="14" t="inlineStr">
        <is>
          <t>Денежные средства на начало периода</t>
        </is>
      </c>
      <c r="B18" s="11" t="inlineStr"/>
      <c r="C18" s="11" t="inlineStr"/>
      <c r="D18" s="15">
        <f>297933.26</f>
        <v/>
      </c>
    </row>
    <row r="19">
      <c r="A19" s="7" t="inlineStr">
        <is>
          <t>Операционный денежный поток</t>
        </is>
      </c>
      <c r="B19" s="7" t="inlineStr"/>
      <c r="C19" s="7" t="inlineStr"/>
      <c r="D19" s="8">
        <f>'P&amp;L (кассовый)'!B24</f>
        <v/>
      </c>
    </row>
    <row r="20">
      <c r="A20" s="7" t="inlineStr">
        <is>
          <t>Инвестиц./казначейские (депозиты, валюта)</t>
        </is>
      </c>
      <c r="B20" s="7" t="inlineStr"/>
      <c r="C20" s="7" t="inlineStr"/>
      <c r="D20" s="8">
        <f>SUMIFS('Реестр операций'!$F:$F,'Реестр операций'!$I:$I,"TREASURY")-SUMIFS('Реестр операций'!$G:$G,'Реестр операций'!$I:$I,"TREASURY")</f>
        <v/>
      </c>
    </row>
    <row r="21">
      <c r="A21" s="7" t="inlineStr">
        <is>
          <t>Финансовые потоки (займы, кредиты)</t>
        </is>
      </c>
      <c r="B21" s="7" t="inlineStr"/>
      <c r="C21" s="7" t="inlineStr"/>
      <c r="D21" s="8">
        <f>SUMIFS('Реестр операций'!$F:$F,'Реестр операций'!$I:$I,"FINANCING")-SUMIFS('Реестр операций'!$G:$G,'Реестр операций'!$I:$I,"FINANCING")</f>
        <v/>
      </c>
    </row>
    <row r="22">
      <c r="A22" s="7" t="inlineStr">
        <is>
          <t>Переводы на прочие счета компании (КЛС и пр.)</t>
        </is>
      </c>
      <c r="B22" s="7" t="inlineStr"/>
      <c r="C22" s="7" t="inlineStr"/>
      <c r="D22" s="8">
        <f>SUMIFS('Реестр операций'!$F:$F,'Реестр операций'!$I:$I,"INTERNAL")-SUMIFS('Реестр операций'!$G:$G,'Реестр операций'!$I:$I,"INTERNAL")</f>
        <v/>
      </c>
    </row>
    <row r="23">
      <c r="A23" s="7" t="inlineStr">
        <is>
          <t>Прочее</t>
        </is>
      </c>
      <c r="B23" s="7" t="inlineStr"/>
      <c r="C23" s="7" t="inlineStr"/>
      <c r="D23" s="8">
        <f>SUMIFS('Реестр операций'!$F:$F,'Реестр операций'!$I:$I,"OTHER_IN")</f>
        <v/>
      </c>
    </row>
    <row r="24">
      <c r="A24" s="14" t="inlineStr">
        <is>
          <t>Денежные средства на конец периода</t>
        </is>
      </c>
      <c r="B24" s="11" t="inlineStr"/>
      <c r="C24" s="11" t="inlineStr"/>
      <c r="D24" s="15">
        <f>113411502.27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30" customWidth="1" min="4" max="4"/>
    <col width="14" customWidth="1" min="5" max="5"/>
    <col width="14" customWidth="1" min="6" max="6"/>
    <col width="14" customWidth="1" min="7" max="7"/>
    <col width="7" customWidth="1" min="8" max="8"/>
    <col width="11" customWidth="1" min="9" max="9"/>
    <col width="30" customWidth="1" min="10" max="10"/>
    <col width="12" customWidth="1" min="11" max="11"/>
    <col width="55" customWidth="1" min="12" max="12"/>
  </cols>
  <sheetData>
    <row r="1">
      <c r="A1" s="16" t="inlineStr">
        <is>
          <t>РЕЕСТР ОПЕРАЦИЙ (классифицированный) — источник данных для формул</t>
        </is>
      </c>
    </row>
    <row r="3">
      <c r="A3" s="17" t="inlineStr">
        <is>
          <t>Банк</t>
        </is>
      </c>
      <c r="B3" s="17" t="inlineStr">
        <is>
          <t>Дата</t>
        </is>
      </c>
      <c r="C3" s="17" t="inlineStr">
        <is>
          <t>Контрагент</t>
        </is>
      </c>
      <c r="D3" s="17" t="inlineStr">
        <is>
          <t>Контрагент (норм.)</t>
        </is>
      </c>
      <c r="E3" s="17" t="inlineStr">
        <is>
          <t>БИН</t>
        </is>
      </c>
      <c r="F3" s="17" t="inlineStr">
        <is>
          <t>Поступление</t>
        </is>
      </c>
      <c r="G3" s="17" t="inlineStr">
        <is>
          <t>Выплата</t>
        </is>
      </c>
      <c r="H3" s="17" t="inlineStr">
        <is>
          <t>КНП</t>
        </is>
      </c>
      <c r="I3" s="17" t="inlineStr">
        <is>
          <t>Тип</t>
        </is>
      </c>
      <c r="J3" s="17" t="inlineStr">
        <is>
          <t>Категория</t>
        </is>
      </c>
      <c r="K3" s="17" t="inlineStr">
        <is>
          <t>Направление</t>
        </is>
      </c>
      <c r="L3" s="17" t="inlineStr">
        <is>
          <t>Назначение платежа</t>
        </is>
      </c>
    </row>
    <row r="4">
      <c r="A4" s="18" t="inlineStr">
        <is>
          <t>Halyk</t>
        </is>
      </c>
      <c r="B4" s="19" t="inlineStr">
        <is>
          <t>15.06.2026</t>
        </is>
      </c>
      <c r="C4" s="18" t="inlineStr">
        <is>
          <t>ТОО "FRS logistics"</t>
        </is>
      </c>
      <c r="D4" s="18" t="inlineStr">
        <is>
          <t>FRS logistics</t>
        </is>
      </c>
      <c r="E4" s="18" t="inlineStr">
        <is>
          <t>260140008159</t>
        </is>
      </c>
      <c r="F4" s="20" t="n">
        <v>940000</v>
      </c>
      <c r="G4" s="20" t="n"/>
      <c r="H4" s="19" t="inlineStr">
        <is>
          <t>813</t>
        </is>
      </c>
      <c r="I4" s="18" t="inlineStr">
        <is>
          <t>REVENUE</t>
        </is>
      </c>
      <c r="J4" s="18" t="inlineStr">
        <is>
          <t>Выручка: транспортно-логистические услуги</t>
        </is>
      </c>
      <c r="K4" s="19" t="inlineStr">
        <is>
          <t>ТЭО</t>
        </is>
      </c>
      <c r="L4" s="18" t="inlineStr">
        <is>
          <t>Референс 3982960604 Оперирование вагонов по маршруту жилаево-сороковая согласно счета №130</t>
        </is>
      </c>
    </row>
    <row r="5">
      <c r="A5" s="18" t="inlineStr">
        <is>
          <t>БЦК</t>
        </is>
      </c>
      <c r="B5" s="19" t="inlineStr">
        <is>
          <t>15.06.2026</t>
        </is>
      </c>
      <c r="C5" s="18" t="inlineStr">
        <is>
          <t>ТАШМЕТОВ САКЕН КУАНЫШЕВИЧ</t>
        </is>
      </c>
      <c r="D5" s="18" t="inlineStr">
        <is>
          <t>ТАШМЕТОВ САКЕН КУАНЫШЕВИЧ</t>
        </is>
      </c>
      <c r="E5" s="18" t="inlineStr">
        <is>
          <t>820426301729</t>
        </is>
      </c>
      <c r="F5" s="20" t="n"/>
      <c r="G5" s="20" t="n">
        <v>51900</v>
      </c>
      <c r="H5" s="19" t="inlineStr">
        <is>
          <t>871</t>
        </is>
      </c>
      <c r="I5" s="18" t="inlineStr">
        <is>
          <t>OPEX</t>
        </is>
      </c>
      <c r="J5" s="18" t="inlineStr">
        <is>
          <t>Командировочные / поездки</t>
        </is>
      </c>
      <c r="K5" s="19" t="inlineStr"/>
      <c r="L5" s="18" t="inlineStr">
        <is>
          <t>Суточные расходы на проезд в Астана- Алматы -Астана 15-17.06.2026 3рд*4МРП(4325 МРП) (V еж</t>
        </is>
      </c>
    </row>
    <row r="6">
      <c r="A6" s="18" t="inlineStr">
        <is>
          <t>БЦК</t>
        </is>
      </c>
      <c r="B6" s="19" t="inlineStr">
        <is>
          <t>15.06.2026</t>
        </is>
      </c>
      <c r="C6" s="18" t="inlineStr">
        <is>
          <t>Бажикаев Абылайхан Серикович</t>
        </is>
      </c>
      <c r="D6" s="18" t="inlineStr">
        <is>
          <t>Бажикаев Абылайхан Серикович</t>
        </is>
      </c>
      <c r="E6" s="18" t="inlineStr">
        <is>
          <t>941019350088</t>
        </is>
      </c>
      <c r="F6" s="20" t="n"/>
      <c r="G6" s="20" t="n">
        <v>51900</v>
      </c>
      <c r="H6" s="19" t="inlineStr">
        <is>
          <t>871</t>
        </is>
      </c>
      <c r="I6" s="18" t="inlineStr">
        <is>
          <t>OPEX</t>
        </is>
      </c>
      <c r="J6" s="18" t="inlineStr">
        <is>
          <t>Командировочные / поездки</t>
        </is>
      </c>
      <c r="K6" s="19" t="inlineStr"/>
      <c r="L6" s="18" t="inlineStr">
        <is>
          <t>Суточные расходы на проезд в Астана- Алматы -Астана 15-17.06.2026 3рд*4МРП(4325 МРП) (V еж</t>
        </is>
      </c>
    </row>
    <row r="7">
      <c r="A7" s="18" t="inlineStr">
        <is>
          <t>БЦК</t>
        </is>
      </c>
      <c r="B7" s="19" t="inlineStr">
        <is>
          <t>15.06.2026</t>
        </is>
      </c>
      <c r="C7" s="18" t="inlineStr">
        <is>
          <t xml:space="preserve">Товарищество с ограниченной ответственностью </t>
        </is>
      </c>
      <c r="D7" s="18" t="inlineStr">
        <is>
          <t>WayStar Group</t>
        </is>
      </c>
      <c r="E7" s="18" t="inlineStr">
        <is>
          <t>240340014287</t>
        </is>
      </c>
      <c r="F7" s="20" t="n"/>
      <c r="G7" s="20" t="n">
        <v>112175.18</v>
      </c>
      <c r="H7" s="19" t="inlineStr">
        <is>
          <t>423</t>
        </is>
      </c>
      <c r="I7" s="18" t="inlineStr">
        <is>
          <t>FIN_COST</t>
        </is>
      </c>
      <c r="J7" s="18" t="inlineStr">
        <is>
          <t>Проценты и пени по кредитам</t>
        </is>
      </c>
      <c r="K7" s="19" t="inlineStr"/>
      <c r="L7" s="18" t="inlineStr">
        <is>
          <t>Погашение вознаграждения по договору № AQ5/2024/U/S/120240/0002L от 25.11.25. Заемщик: Тов</t>
        </is>
      </c>
    </row>
    <row r="8">
      <c r="A8" s="18" t="inlineStr">
        <is>
          <t>БЦК</t>
        </is>
      </c>
      <c r="B8" s="19" t="inlineStr">
        <is>
          <t>15.06.2026</t>
        </is>
      </c>
      <c r="C8" s="18" t="inlineStr">
        <is>
          <t xml:space="preserve">Товарищество с ограниченной ответственностью </t>
        </is>
      </c>
      <c r="D8" s="18" t="inlineStr">
        <is>
          <t>WayStar Group</t>
        </is>
      </c>
      <c r="E8" s="18" t="inlineStr">
        <is>
          <t>240340014287</t>
        </is>
      </c>
      <c r="F8" s="20" t="n"/>
      <c r="G8" s="20" t="n">
        <v>510874.29</v>
      </c>
      <c r="H8" s="19" t="inlineStr">
        <is>
          <t>423</t>
        </is>
      </c>
      <c r="I8" s="18" t="inlineStr">
        <is>
          <t>FIN_COST</t>
        </is>
      </c>
      <c r="J8" s="18" t="inlineStr">
        <is>
          <t>Проценты и пени по кредитам</t>
        </is>
      </c>
      <c r="K8" s="19" t="inlineStr"/>
      <c r="L8" s="18" t="inlineStr">
        <is>
          <t>Погашение вознаграждения по договору № AQ5/2024/U/S/120240/0002L от 25.11.25. Заемщик: Тов</t>
        </is>
      </c>
    </row>
    <row r="9">
      <c r="A9" s="18" t="inlineStr">
        <is>
          <t>БЦК</t>
        </is>
      </c>
      <c r="B9" s="19" t="inlineStr">
        <is>
          <t>15.06.2026</t>
        </is>
      </c>
      <c r="C9" s="18" t="inlineStr">
        <is>
          <t xml:space="preserve">Товарищество с ограниченной ответственностью </t>
        </is>
      </c>
      <c r="D9" s="18" t="inlineStr">
        <is>
          <t>WayStar Group</t>
        </is>
      </c>
      <c r="E9" s="18" t="inlineStr">
        <is>
          <t>240340014287</t>
        </is>
      </c>
      <c r="F9" s="20" t="n"/>
      <c r="G9" s="20" t="n">
        <v>3854907.21</v>
      </c>
      <c r="H9" s="19" t="inlineStr">
        <is>
          <t>423</t>
        </is>
      </c>
      <c r="I9" s="18" t="inlineStr">
        <is>
          <t>FINANCING</t>
        </is>
      </c>
      <c r="J9" s="18" t="inlineStr">
        <is>
          <t>Погашение / выдача займов</t>
        </is>
      </c>
      <c r="K9" s="19" t="inlineStr"/>
      <c r="L9" s="18" t="inlineStr">
        <is>
          <t>Погашение основного долга по договору № AQ5/2024/U/S/120240/0002L от 25.11.25. Заемщик: То</t>
        </is>
      </c>
    </row>
    <row r="10">
      <c r="A10" s="18" t="inlineStr">
        <is>
          <t>БЦК</t>
        </is>
      </c>
      <c r="B10" s="19" t="inlineStr">
        <is>
          <t>15.06.2026</t>
        </is>
      </c>
      <c r="C10" s="18" t="inlineStr">
        <is>
          <t>ТОО КТЖ-Грузовые перевозки</t>
        </is>
      </c>
      <c r="D10" s="18" t="inlineStr">
        <is>
          <t>КТЖ-Грузовые перевозки</t>
        </is>
      </c>
      <c r="E10" s="18" t="inlineStr">
        <is>
          <t>031040001799</t>
        </is>
      </c>
      <c r="F10" s="20" t="n"/>
      <c r="G10" s="20" t="n">
        <v>20000000</v>
      </c>
      <c r="H10" s="19" t="inlineStr">
        <is>
          <t>813</t>
        </is>
      </c>
      <c r="I10" s="18" t="inlineStr">
        <is>
          <t>COGS</t>
        </is>
      </c>
      <c r="J10" s="18" t="inlineStr">
        <is>
          <t>Ж/д тариф, вагоны, услуги перевозчиков</t>
        </is>
      </c>
      <c r="K10" s="19" t="inlineStr">
        <is>
          <t>ТЭО</t>
        </is>
      </c>
      <c r="L10" s="18" t="inlineStr">
        <is>
          <t>Без НДС, 4185494, Платежи за услуги железнодорожного транспорта</t>
        </is>
      </c>
    </row>
    <row r="11">
      <c r="A11" s="18" t="inlineStr">
        <is>
          <t>БЦК</t>
        </is>
      </c>
      <c r="B11" s="19" t="inlineStr">
        <is>
          <t>15.06.2026</t>
        </is>
      </c>
      <c r="C11" s="18" t="inlineStr">
        <is>
          <t xml:space="preserve">Товарищество с ограниченной ответственностью </t>
        </is>
      </c>
      <c r="D11" s="18" t="inlineStr">
        <is>
          <t>WayStar Group</t>
        </is>
      </c>
      <c r="E11" s="18" t="inlineStr">
        <is>
          <t>240340014287</t>
        </is>
      </c>
      <c r="F11" s="20" t="n"/>
      <c r="G11" s="20" t="n">
        <v>104942865.77</v>
      </c>
      <c r="H11" s="19" t="inlineStr">
        <is>
          <t>312</t>
        </is>
      </c>
      <c r="I11" s="18" t="inlineStr">
        <is>
          <t>TREASURY</t>
        </is>
      </c>
      <c r="J11" s="18" t="inlineStr">
        <is>
          <t>Размещение депозита</t>
        </is>
      </c>
      <c r="K11" s="19" t="inlineStr"/>
      <c r="L11" s="18" t="inlineStr">
        <is>
          <t>Размещение вклада</t>
        </is>
      </c>
    </row>
    <row r="12">
      <c r="A12" s="18" t="inlineStr">
        <is>
          <t>БЦК</t>
        </is>
      </c>
      <c r="B12" s="19" t="inlineStr">
        <is>
          <t>15.06.2026</t>
        </is>
      </c>
      <c r="C12" s="18" t="inlineStr">
        <is>
          <t xml:space="preserve">Товарищество с ограниченной ответственностью </t>
        </is>
      </c>
      <c r="D12" s="18" t="inlineStr">
        <is>
          <t>WayStar Group</t>
        </is>
      </c>
      <c r="E12" s="18" t="inlineStr">
        <is>
          <t>240340014287</t>
        </is>
      </c>
      <c r="F12" s="20" t="n">
        <v>36828.94</v>
      </c>
      <c r="G12" s="20" t="n"/>
      <c r="H12" s="19" t="inlineStr">
        <is>
          <t>316</t>
        </is>
      </c>
      <c r="I12" s="18" t="inlineStr">
        <is>
          <t>FIN_INCOME</t>
        </is>
      </c>
      <c r="J12" s="18" t="inlineStr">
        <is>
          <t>% по депозиту</t>
        </is>
      </c>
      <c r="K12" s="19" t="inlineStr"/>
      <c r="L12" s="18" t="inlineStr">
        <is>
          <t>Выплата начисленного вознаграждения по депозитному договору № 01607034 от 24.07.2025 за пе</t>
        </is>
      </c>
    </row>
    <row r="13">
      <c r="A13" s="18" t="inlineStr">
        <is>
          <t>БЦК</t>
        </is>
      </c>
      <c r="B13" s="19" t="inlineStr">
        <is>
          <t>15.06.2026</t>
        </is>
      </c>
      <c r="C13" s="18" t="inlineStr">
        <is>
          <t>ТОО "UE LOGISTIC"</t>
        </is>
      </c>
      <c r="D13" s="18" t="inlineStr">
        <is>
          <t>UE LOGISTIC</t>
        </is>
      </c>
      <c r="E13" s="18" t="inlineStr">
        <is>
          <t>200940000330</t>
        </is>
      </c>
      <c r="F13" s="20" t="n">
        <v>345000</v>
      </c>
      <c r="G13" s="20" t="n"/>
      <c r="H13" s="19" t="inlineStr">
        <is>
          <t>813</t>
        </is>
      </c>
      <c r="I13" s="18" t="inlineStr">
        <is>
          <t>REVENUE</t>
        </is>
      </c>
      <c r="J13" s="18" t="inlineStr">
        <is>
          <t>Выручка: транспортно-логистические услуги</t>
        </is>
      </c>
      <c r="K13" s="19" t="inlineStr">
        <is>
          <t>ТЭО</t>
        </is>
      </c>
      <c r="L13" s="18" t="inlineStr">
        <is>
          <t>оплата по счету № 118 от 29.06.2026. Без НДС. Платежи за услуги железнодорожного транспорт</t>
        </is>
      </c>
    </row>
    <row r="14">
      <c r="A14" s="18" t="inlineStr">
        <is>
          <t>БЦК</t>
        </is>
      </c>
      <c r="B14" s="19" t="inlineStr">
        <is>
          <t>15.06.2026</t>
        </is>
      </c>
      <c r="C14" s="18" t="inlineStr">
        <is>
          <t xml:space="preserve">Товарищество с ограниченной ответственностью </t>
        </is>
      </c>
      <c r="D14" s="18" t="inlineStr">
        <is>
          <t>WayStar Group</t>
        </is>
      </c>
      <c r="E14" s="18" t="inlineStr">
        <is>
          <t>240340014287</t>
        </is>
      </c>
      <c r="F14" s="20" t="n">
        <v>20000000</v>
      </c>
      <c r="G14" s="20" t="n"/>
      <c r="H14" s="19" t="inlineStr">
        <is>
          <t>322</t>
        </is>
      </c>
      <c r="I14" s="18" t="inlineStr">
        <is>
          <t>TREASURY</t>
        </is>
      </c>
      <c r="J14" s="18" t="inlineStr">
        <is>
          <t>Снятие/возврат депозита</t>
        </is>
      </c>
      <c r="K14" s="19" t="inlineStr"/>
      <c r="L14" s="18" t="inlineStr">
        <is>
          <t>Без НДС. Снятие с краткосрочного вклада (не более одного года)</t>
        </is>
      </c>
    </row>
    <row r="15">
      <c r="A15" s="18" t="inlineStr">
        <is>
          <t>БЦК</t>
        </is>
      </c>
      <c r="B15" s="19" t="inlineStr">
        <is>
          <t>15.06.2026</t>
        </is>
      </c>
      <c r="C15" s="18" t="inlineStr">
        <is>
          <t xml:space="preserve">Товарищество с ограниченной ответственностью </t>
        </is>
      </c>
      <c r="D15" s="18" t="inlineStr">
        <is>
          <t>WayStar Group</t>
        </is>
      </c>
      <c r="E15" s="18" t="inlineStr">
        <is>
          <t>240340014287</t>
        </is>
      </c>
      <c r="F15" s="20" t="n">
        <v>109067447.27</v>
      </c>
      <c r="G15" s="20" t="n"/>
      <c r="H15" s="19" t="inlineStr">
        <is>
          <t>322</t>
        </is>
      </c>
      <c r="I15" s="18" t="inlineStr">
        <is>
          <t>TREASURY</t>
        </is>
      </c>
      <c r="J15" s="18" t="inlineStr">
        <is>
          <t>Снятие/возврат депозита</t>
        </is>
      </c>
      <c r="K15" s="19" t="inlineStr"/>
      <c r="L15" s="18" t="inlineStr">
        <is>
          <t>Частичная выплата вклада по депозитному договору № 01607034 от 15.06.2026 в размере 109067</t>
        </is>
      </c>
    </row>
    <row r="16">
      <c r="A16" s="18" t="inlineStr">
        <is>
          <t>БЦК</t>
        </is>
      </c>
      <c r="B16" s="19" t="inlineStr">
        <is>
          <t>16.06.2026</t>
        </is>
      </c>
      <c r="C16" s="18" t="inlineStr">
        <is>
          <t>МАРАТОВ РАУАН РУСТЕМОВИЧ</t>
        </is>
      </c>
      <c r="D16" s="18" t="inlineStr">
        <is>
          <t>МАРАТОВ РАУАН РУСТЕМОВИЧ</t>
        </is>
      </c>
      <c r="E16" s="18" t="inlineStr">
        <is>
          <t>000327551085</t>
        </is>
      </c>
      <c r="F16" s="20" t="n"/>
      <c r="G16" s="20" t="n">
        <v>85000</v>
      </c>
      <c r="H16" s="19" t="inlineStr">
        <is>
          <t>332</t>
        </is>
      </c>
      <c r="I16" s="18" t="inlineStr">
        <is>
          <t>OPEX</t>
        </is>
      </c>
      <c r="J16" s="18" t="inlineStr">
        <is>
          <t>Оплата труда</t>
        </is>
      </c>
      <c r="K16" s="19" t="inlineStr"/>
      <c r="L16" s="18" t="inlineStr">
        <is>
          <t xml:space="preserve">Аванс июнь 2026. Без НДС. Перечисление юридическим лицом в банк, филиал банка-нерезидента </t>
        </is>
      </c>
    </row>
    <row r="17">
      <c r="A17" s="18" t="inlineStr">
        <is>
          <t>БЦК</t>
        </is>
      </c>
      <c r="B17" s="19" t="inlineStr">
        <is>
          <t>16.06.2026</t>
        </is>
      </c>
      <c r="C17" s="18" t="inlineStr">
        <is>
          <t xml:space="preserve">Товарищество с ограниченной ответственностью </t>
        </is>
      </c>
      <c r="D17" s="18" t="inlineStr">
        <is>
          <t>7 Дом</t>
        </is>
      </c>
      <c r="E17" s="18" t="inlineStr">
        <is>
          <t>180140037700</t>
        </is>
      </c>
      <c r="F17" s="20" t="n"/>
      <c r="G17" s="20" t="n">
        <v>236400</v>
      </c>
      <c r="H17" s="19" t="inlineStr">
        <is>
          <t>710</t>
        </is>
      </c>
      <c r="I17" s="18" t="inlineStr">
        <is>
          <t>OPEX</t>
        </is>
      </c>
      <c r="J17" s="18" t="inlineStr">
        <is>
          <t>ТМЦ / офисные расходы</t>
        </is>
      </c>
      <c r="K17" s="19" t="inlineStr"/>
      <c r="L17" s="18" t="inlineStr">
        <is>
          <t>Счет на оплату № 85 от 09.06.2026 г. Ежедневник датированный А5 формат 40 шт</t>
        </is>
      </c>
    </row>
    <row r="18">
      <c r="A18" s="18" t="inlineStr">
        <is>
          <t>БЦК</t>
        </is>
      </c>
      <c r="B18" s="19" t="inlineStr">
        <is>
          <t>16.06.2026</t>
        </is>
      </c>
      <c r="C18" s="18" t="inlineStr">
        <is>
          <t xml:space="preserve">Товарищество с ограниченной ответственностью </t>
        </is>
      </c>
      <c r="D18" s="18" t="inlineStr">
        <is>
          <t>Asia Railways Tracking Service (Азия Рэилвейс Трекинг Сервис)</t>
        </is>
      </c>
      <c r="E18" s="18" t="inlineStr">
        <is>
          <t>130540005778</t>
        </is>
      </c>
      <c r="F18" s="20" t="n"/>
      <c r="G18" s="20" t="n">
        <v>500000</v>
      </c>
      <c r="H18" s="19" t="inlineStr">
        <is>
          <t>813</t>
        </is>
      </c>
      <c r="I18" s="18" t="inlineStr">
        <is>
          <t>COGS</t>
        </is>
      </c>
      <c r="J18" s="18" t="inlineStr">
        <is>
          <t>Ж/д тариф, вагоны, услуги перевозчиков</t>
        </is>
      </c>
      <c r="K18" s="19" t="inlineStr">
        <is>
          <t>ТЭО</t>
        </is>
      </c>
      <c r="L18" s="18" t="inlineStr">
        <is>
          <t>Счет на оплату №И-1760 от 16.06.2026 г. Авансовая оплата за дислокацию подвижного состава.</t>
        </is>
      </c>
    </row>
    <row r="19">
      <c r="A19" s="18" t="inlineStr">
        <is>
          <t>БЦК</t>
        </is>
      </c>
      <c r="B19" s="19" t="inlineStr">
        <is>
          <t>16.06.2026</t>
        </is>
      </c>
      <c r="C19" s="18" t="inlineStr">
        <is>
          <t>Акционерное общество "Страховая компания "Евр</t>
        </is>
      </c>
      <c r="D19" s="18" t="inlineStr">
        <is>
          <t>Страховая компания "Евразия</t>
        </is>
      </c>
      <c r="E19" s="18" t="inlineStr">
        <is>
          <t>950540000024</t>
        </is>
      </c>
      <c r="F19" s="20" t="n"/>
      <c r="G19" s="20" t="n">
        <v>575000</v>
      </c>
      <c r="H19" s="19" t="inlineStr">
        <is>
          <t>833</t>
        </is>
      </c>
      <c r="I19" s="18" t="inlineStr">
        <is>
          <t>OPEX</t>
        </is>
      </c>
      <c r="J19" s="18" t="inlineStr">
        <is>
          <t>Страхование</t>
        </is>
      </c>
      <c r="K19" s="19" t="inlineStr"/>
      <c r="L19" s="18" t="inlineStr">
        <is>
          <t>Счет на оплату № 116425 от 16 июня 2026 г Страхование имущества от ущерба Страховая премия</t>
        </is>
      </c>
    </row>
    <row r="20">
      <c r="A20" s="18" t="inlineStr">
        <is>
          <t>БЦК</t>
        </is>
      </c>
      <c r="B20" s="19" t="inlineStr">
        <is>
          <t>16.06.2026</t>
        </is>
      </c>
      <c r="C20" s="18" t="inlineStr">
        <is>
          <t xml:space="preserve">Товарищество с ограниченной ответственностью </t>
        </is>
      </c>
      <c r="D20" s="18" t="inlineStr">
        <is>
          <t>Қамқор Вагон</t>
        </is>
      </c>
      <c r="E20" s="18" t="inlineStr">
        <is>
          <t>030440002799</t>
        </is>
      </c>
      <c r="F20" s="20" t="n"/>
      <c r="G20" s="20" t="n">
        <v>627229.4</v>
      </c>
      <c r="H20" s="19" t="inlineStr">
        <is>
          <t>822</t>
        </is>
      </c>
      <c r="I20" s="18" t="inlineStr">
        <is>
          <t>COGS</t>
        </is>
      </c>
      <c r="J20" s="18" t="inlineStr">
        <is>
          <t>Ж/д тариф, вагоны, услуги перевозчиков</t>
        </is>
      </c>
      <c r="K20" s="19" t="inlineStr">
        <is>
          <t>ТЭО</t>
        </is>
      </c>
      <c r="L20" s="18" t="inlineStr">
        <is>
          <t>филиал Аякозское депо Қамқор Вагон ТОО оплата долга согл акта сверки</t>
        </is>
      </c>
    </row>
    <row r="21">
      <c r="A21" s="18" t="inlineStr">
        <is>
          <t>БЦК</t>
        </is>
      </c>
      <c r="B21" s="19" t="inlineStr">
        <is>
          <t>16.06.2026</t>
        </is>
      </c>
      <c r="C21" s="18" t="inlineStr">
        <is>
          <t>Данияр Алим</t>
        </is>
      </c>
      <c r="D21" s="18" t="inlineStr">
        <is>
          <t>Данияр Алим</t>
        </is>
      </c>
      <c r="E21" s="18" t="inlineStr">
        <is>
          <t>020420550046</t>
        </is>
      </c>
      <c r="F21" s="20" t="n"/>
      <c r="G21" s="20" t="n">
        <v>1135000</v>
      </c>
      <c r="H21" s="19" t="inlineStr">
        <is>
          <t>419</t>
        </is>
      </c>
      <c r="I21" s="18" t="inlineStr">
        <is>
          <t>FINANCING</t>
        </is>
      </c>
      <c r="J21" s="18" t="inlineStr">
        <is>
          <t>Погашение / выдача займов</t>
        </is>
      </c>
      <c r="K21" s="19" t="inlineStr"/>
      <c r="L21" s="18" t="inlineStr">
        <is>
          <t>займ. Без НДС. Выдача прочих займов (бессрочных займов и других займов)</t>
        </is>
      </c>
    </row>
    <row r="22">
      <c r="A22" s="18" t="inlineStr">
        <is>
          <t>БЦК</t>
        </is>
      </c>
      <c r="B22" s="19" t="inlineStr">
        <is>
          <t>16.06.2026</t>
        </is>
      </c>
      <c r="C22" s="18" t="inlineStr">
        <is>
          <t xml:space="preserve">Товарищество с ограниченной ответственностью </t>
        </is>
      </c>
      <c r="D22" s="18" t="inlineStr">
        <is>
          <t>MAT Group</t>
        </is>
      </c>
      <c r="E22" s="18" t="inlineStr">
        <is>
          <t>170940027374</t>
        </is>
      </c>
      <c r="F22" s="20" t="n"/>
      <c r="G22" s="20" t="n">
        <v>3795000</v>
      </c>
      <c r="H22" s="19" t="inlineStr">
        <is>
          <t>813</t>
        </is>
      </c>
      <c r="I22" s="18" t="inlineStr">
        <is>
          <t>COGS</t>
        </is>
      </c>
      <c r="J22" s="18" t="inlineStr">
        <is>
          <t>Ж/д тариф, вагоны, услуги перевозчиков</t>
        </is>
      </c>
      <c r="K22" s="19" t="inlineStr">
        <is>
          <t>ТЭО</t>
        </is>
      </c>
      <c r="L22" s="18" t="inlineStr">
        <is>
          <t>Договор № ТЭЭ-030626/260 от 04.06.2026 г. Счет на оплату № К-12878/26 от 15.06.2026 г. Пре</t>
        </is>
      </c>
    </row>
    <row r="23">
      <c r="A23" s="18" t="inlineStr">
        <is>
          <t>БЦК</t>
        </is>
      </c>
      <c r="B23" s="19" t="inlineStr">
        <is>
          <t>16.06.2026</t>
        </is>
      </c>
      <c r="C23" s="18" t="inlineStr">
        <is>
          <t xml:space="preserve">Товарищество с ограниченной ответственностью </t>
        </is>
      </c>
      <c r="D23" s="18" t="inlineStr">
        <is>
          <t>WayStar Group</t>
        </is>
      </c>
      <c r="E23" s="18" t="inlineStr">
        <is>
          <t>240340014287</t>
        </is>
      </c>
      <c r="F23" s="20" t="n"/>
      <c r="G23" s="20" t="n">
        <v>68954461.77</v>
      </c>
      <c r="H23" s="19" t="inlineStr">
        <is>
          <t>312</t>
        </is>
      </c>
      <c r="I23" s="18" t="inlineStr">
        <is>
          <t>TREASURY</t>
        </is>
      </c>
      <c r="J23" s="18" t="inlineStr">
        <is>
          <t>Размещение депозита</t>
        </is>
      </c>
      <c r="K23" s="19" t="inlineStr"/>
      <c r="L23" s="18" t="inlineStr">
        <is>
          <t>Размещение вклада</t>
        </is>
      </c>
    </row>
    <row r="24">
      <c r="A24" s="18" t="inlineStr">
        <is>
          <t>БЦК</t>
        </is>
      </c>
      <c r="B24" s="19" t="inlineStr">
        <is>
          <t>16.06.2026</t>
        </is>
      </c>
      <c r="C24" s="18" t="inlineStr">
        <is>
          <t xml:space="preserve">Товарищество с ограниченной ответственностью </t>
        </is>
      </c>
      <c r="D24" s="18" t="inlineStr">
        <is>
          <t>WayStar Group</t>
        </is>
      </c>
      <c r="E24" s="18" t="inlineStr">
        <is>
          <t>240340014287</t>
        </is>
      </c>
      <c r="F24" s="20" t="n">
        <v>25240.21</v>
      </c>
      <c r="G24" s="20" t="n"/>
      <c r="H24" s="19" t="inlineStr">
        <is>
          <t>316</t>
        </is>
      </c>
      <c r="I24" s="18" t="inlineStr">
        <is>
          <t>FIN_INCOME</t>
        </is>
      </c>
      <c r="J24" s="18" t="inlineStr">
        <is>
          <t>% по депозиту</t>
        </is>
      </c>
      <c r="K24" s="19" t="inlineStr"/>
      <c r="L24" s="18" t="inlineStr">
        <is>
          <t>Выплата начисленного вознаграждения по депозитному договору № 01607034 от 24.07.2025 за пе</t>
        </is>
      </c>
    </row>
    <row r="25">
      <c r="A25" s="18" t="inlineStr">
        <is>
          <t>БЦК</t>
        </is>
      </c>
      <c r="B25" s="19" t="inlineStr">
        <is>
          <t>16.06.2026</t>
        </is>
      </c>
      <c r="C25" s="18" t="inlineStr">
        <is>
          <t xml:space="preserve">Товарищество с ограниченной ответственностью </t>
        </is>
      </c>
      <c r="D25" s="18" t="inlineStr">
        <is>
          <t>WayStar Group</t>
        </is>
      </c>
      <c r="E25" s="18" t="inlineStr">
        <is>
          <t>240340014287</t>
        </is>
      </c>
      <c r="F25" s="20" t="n">
        <v>1135000</v>
      </c>
      <c r="G25" s="20" t="n"/>
      <c r="H25" s="19" t="inlineStr">
        <is>
          <t>322</t>
        </is>
      </c>
      <c r="I25" s="18" t="inlineStr">
        <is>
          <t>TREASURY</t>
        </is>
      </c>
      <c r="J25" s="18" t="inlineStr">
        <is>
          <t>Снятие/возврат депозита</t>
        </is>
      </c>
      <c r="K25" s="19" t="inlineStr"/>
      <c r="L25" s="18" t="inlineStr">
        <is>
          <t>Снятие с депозита. Без НДС. Снятие с краткосрочного вклада (не более одного года)</t>
        </is>
      </c>
    </row>
    <row r="26">
      <c r="A26" s="18" t="inlineStr">
        <is>
          <t>БЦК</t>
        </is>
      </c>
      <c r="B26" s="19" t="inlineStr">
        <is>
          <t>16.06.2026</t>
        </is>
      </c>
      <c r="C26" s="18" t="inlineStr">
        <is>
          <t xml:space="preserve">Товарищество с ограниченной ответственностью </t>
        </is>
      </c>
      <c r="D26" s="18" t="inlineStr">
        <is>
          <t>WayStar Group</t>
        </is>
      </c>
      <c r="E26" s="18" t="inlineStr">
        <is>
          <t>240340014287</t>
        </is>
      </c>
      <c r="F26" s="20" t="n">
        <v>74747850.95999999</v>
      </c>
      <c r="G26" s="20" t="n"/>
      <c r="H26" s="19" t="inlineStr">
        <is>
          <t>322</t>
        </is>
      </c>
      <c r="I26" s="18" t="inlineStr">
        <is>
          <t>TREASURY</t>
        </is>
      </c>
      <c r="J26" s="18" t="inlineStr">
        <is>
          <t>Снятие/возврат депозита</t>
        </is>
      </c>
      <c r="K26" s="19" t="inlineStr"/>
      <c r="L26" s="18" t="inlineStr">
        <is>
          <t>Частичная выплата вклада по депозитному договору № 01607034 от 16.06.2026 в размере 747478</t>
        </is>
      </c>
    </row>
    <row r="27">
      <c r="A27" s="18" t="inlineStr">
        <is>
          <t>RBK</t>
        </is>
      </c>
      <c r="B27" s="19" t="inlineStr">
        <is>
          <t>17.06.2026</t>
        </is>
      </c>
      <c r="C27" s="18" t="inlineStr">
        <is>
          <t>ТОО East Agro Company</t>
        </is>
      </c>
      <c r="D27" s="18" t="inlineStr">
        <is>
          <t>East Agro Company</t>
        </is>
      </c>
      <c r="E27" s="18" t="inlineStr">
        <is>
          <t>230340042290</t>
        </is>
      </c>
      <c r="F27" s="20" t="n">
        <v>17936232</v>
      </c>
      <c r="G27" s="20" t="n"/>
      <c r="H27" s="19" t="inlineStr"/>
      <c r="I27" s="18" t="inlineStr">
        <is>
          <t>REVENUE</t>
        </is>
      </c>
      <c r="J27" s="18" t="inlineStr">
        <is>
          <t>Выручка: транспортно-логистические услуги</t>
        </is>
      </c>
      <c r="K27" s="19" t="inlineStr">
        <is>
          <t>ТЭО</t>
        </is>
      </c>
      <c r="L27" s="18" t="inlineStr">
        <is>
          <t>Оплата за услуги по счету 135 от 15.06.2026 Без налога (НДС) Договор: 2026/06-45 от 11.06.</t>
        </is>
      </c>
    </row>
    <row r="28">
      <c r="A28" s="18" t="inlineStr">
        <is>
          <t>RBK</t>
        </is>
      </c>
      <c r="B28" s="19" t="inlineStr">
        <is>
          <t>17.06.2026</t>
        </is>
      </c>
      <c r="C28" s="18" t="inlineStr">
        <is>
          <t>ТОО Altyn Shyghys</t>
        </is>
      </c>
      <c r="D28" s="18" t="inlineStr">
        <is>
          <t>Altyn Shyghys</t>
        </is>
      </c>
      <c r="E28" s="18" t="inlineStr">
        <is>
          <t>190140000545</t>
        </is>
      </c>
      <c r="F28" s="20" t="n">
        <v>42353600</v>
      </c>
      <c r="G28" s="20" t="n"/>
      <c r="H28" s="19" t="inlineStr"/>
      <c r="I28" s="18" t="inlineStr">
        <is>
          <t>REVENUE</t>
        </is>
      </c>
      <c r="J28" s="18" t="inlineStr">
        <is>
          <t>Выручка: транспортно-логистические услуги</t>
        </is>
      </c>
      <c r="K28" s="19" t="inlineStr">
        <is>
          <t>ТЭО</t>
        </is>
      </c>
      <c r="L28" s="18" t="inlineStr">
        <is>
          <t>Оплата за услуги по счету 136 от 15.06.2026 Без налога (НДС) Договор: 2026/01-04 ТЭУ от 13</t>
        </is>
      </c>
    </row>
    <row r="29">
      <c r="A29" s="18" t="inlineStr">
        <is>
          <t>RBK</t>
        </is>
      </c>
      <c r="B29" s="19" t="inlineStr">
        <is>
          <t>17.06.2026</t>
        </is>
      </c>
      <c r="C29" s="18" t="inlineStr">
        <is>
          <t>ФИЛИАЛ АО "BANK RBK" В Г.АСТАНА</t>
        </is>
      </c>
      <c r="D29" s="18" t="inlineStr">
        <is>
          <t>ФИЛИАЛ АО "BANK RBK" В Г.АСТАНА</t>
        </is>
      </c>
      <c r="E29" s="18" t="inlineStr">
        <is>
          <t>111141019679</t>
        </is>
      </c>
      <c r="F29" s="20" t="n"/>
      <c r="G29" s="20" t="n">
        <v>1300</v>
      </c>
      <c r="H29" s="19" t="inlineStr"/>
      <c r="I29" s="18" t="inlineStr">
        <is>
          <t>OPEX</t>
        </is>
      </c>
      <c r="J29" s="18" t="inlineStr">
        <is>
          <t>Прочие услуги и расходы</t>
        </is>
      </c>
      <c r="K29" s="19" t="inlineStr"/>
      <c r="L29" s="18" t="inlineStr">
        <is>
          <t>Комиссия Банка за переводные операции по платежному документу № 1175 от 17/06/2026, в т.ч.</t>
        </is>
      </c>
    </row>
    <row r="30">
      <c r="A30" s="18" t="inlineStr">
        <is>
          <t>RBK</t>
        </is>
      </c>
      <c r="B30" s="19" t="inlineStr">
        <is>
          <t>17.06.2026</t>
        </is>
      </c>
      <c r="C30" s="18" t="inlineStr">
        <is>
          <t>ТОО "WayStar Group"</t>
        </is>
      </c>
      <c r="D30" s="18" t="inlineStr">
        <is>
          <t>WayStar Group</t>
        </is>
      </c>
      <c r="E30" s="18" t="inlineStr">
        <is>
          <t>240340014287</t>
        </is>
      </c>
      <c r="F30" s="20" t="n"/>
      <c r="G30" s="20" t="n">
        <v>42353600</v>
      </c>
      <c r="H30" s="19" t="inlineStr"/>
      <c r="I30" s="18" t="inlineStr">
        <is>
          <t>INTERNAL</t>
        </is>
      </c>
      <c r="J30" s="18" t="inlineStr">
        <is>
          <t>Переводы между своими счетами</t>
        </is>
      </c>
      <c r="K30" s="19" t="inlineStr"/>
      <c r="L30" s="18" t="inlineStr">
        <is>
          <t>перевод на другой счет Переводы клиентом денег со своего текущего счета в одном банке, фил</t>
        </is>
      </c>
    </row>
    <row r="31">
      <c r="A31" s="18" t="inlineStr">
        <is>
          <t>БЦК</t>
        </is>
      </c>
      <c r="B31" s="19" t="inlineStr">
        <is>
          <t>17.06.2026</t>
        </is>
      </c>
      <c r="C31" s="18" t="inlineStr">
        <is>
          <t>Акционерное Общество "Банк ЦентрКредит"</t>
        </is>
      </c>
      <c r="D31" s="18" t="inlineStr">
        <is>
          <t>Банк ЦентрКредит</t>
        </is>
      </c>
      <c r="E31" s="18" t="inlineStr">
        <is>
          <t>980640000093</t>
        </is>
      </c>
      <c r="F31" s="20" t="n"/>
      <c r="G31" s="20" t="n">
        <v>97434</v>
      </c>
      <c r="H31" s="19" t="inlineStr">
        <is>
          <t>841</t>
        </is>
      </c>
      <c r="I31" s="18" t="inlineStr">
        <is>
          <t>OPEX</t>
        </is>
      </c>
      <c r="J31" s="18" t="inlineStr">
        <is>
          <t>Банковские услуги</t>
        </is>
      </c>
      <c r="K31" s="19" t="inlineStr"/>
      <c r="L31" s="18" t="inlineStr">
        <is>
          <t>Интернет-банкинг. MIP. Международные платежи. Перевод OUR, кроме валют стран СНГ с 13:00 п</t>
        </is>
      </c>
    </row>
    <row r="32">
      <c r="A32" s="18" t="inlineStr">
        <is>
          <t>БЦК</t>
        </is>
      </c>
      <c r="B32" s="19" t="inlineStr">
        <is>
          <t>17.06.2026</t>
        </is>
      </c>
      <c r="C32" s="18" t="inlineStr">
        <is>
          <t>ТОО КТЖ-Грузовые перевозки</t>
        </is>
      </c>
      <c r="D32" s="18" t="inlineStr">
        <is>
          <t>КТЖ-Грузовые перевозки</t>
        </is>
      </c>
      <c r="E32" s="18" t="inlineStr">
        <is>
          <t>031040001799</t>
        </is>
      </c>
      <c r="F32" s="20" t="n"/>
      <c r="G32" s="20" t="n">
        <v>10000000</v>
      </c>
      <c r="H32" s="19" t="inlineStr">
        <is>
          <t>813</t>
        </is>
      </c>
      <c r="I32" s="18" t="inlineStr">
        <is>
          <t>COGS</t>
        </is>
      </c>
      <c r="J32" s="18" t="inlineStr">
        <is>
          <t>Ж/д тариф, вагоны, услуги перевозчиков</t>
        </is>
      </c>
      <c r="K32" s="19" t="inlineStr">
        <is>
          <t>ТЭО</t>
        </is>
      </c>
      <c r="L32" s="18" t="inlineStr">
        <is>
          <t>Без НДС, 4185494, Платежи за услуги железнодорожного транспорта</t>
        </is>
      </c>
    </row>
    <row r="33">
      <c r="A33" s="18" t="inlineStr">
        <is>
          <t>БЦК</t>
        </is>
      </c>
      <c r="B33" s="19" t="inlineStr">
        <is>
          <t>17.06.2026</t>
        </is>
      </c>
      <c r="C33" s="18" t="inlineStr">
        <is>
          <t>Акционерное Общество "Банк ЦентрКредит"</t>
        </is>
      </c>
      <c r="D33" s="18" t="inlineStr">
        <is>
          <t>Банк ЦентрКредит</t>
        </is>
      </c>
      <c r="E33" s="18" t="inlineStr">
        <is>
          <t>980640000093</t>
        </is>
      </c>
      <c r="F33" s="20" t="n"/>
      <c r="G33" s="20" t="n">
        <v>48950000</v>
      </c>
      <c r="H33" s="19" t="inlineStr">
        <is>
          <t>213</t>
        </is>
      </c>
      <c r="I33" s="18" t="inlineStr">
        <is>
          <t>TREASURY</t>
        </is>
      </c>
      <c r="J33" s="18" t="inlineStr">
        <is>
          <t>Покупка валюты (FX)</t>
        </is>
      </c>
      <c r="K33" s="19" t="inlineStr"/>
      <c r="L33" s="18" t="inlineStr">
        <is>
          <t>Покупка иностранной валюты TOD (день в день), Товарищество с ограниченной ответственностью</t>
        </is>
      </c>
    </row>
    <row r="34">
      <c r="A34" s="18" t="inlineStr">
        <is>
          <t>БЦК</t>
        </is>
      </c>
      <c r="B34" s="19" t="inlineStr">
        <is>
          <t>17.06.2026</t>
        </is>
      </c>
      <c r="C34" s="18" t="inlineStr">
        <is>
          <t xml:space="preserve">Товарищество с ограниченной ответственностью </t>
        </is>
      </c>
      <c r="D34" s="18" t="inlineStr">
        <is>
          <t>WayStar Group</t>
        </is>
      </c>
      <c r="E34" s="18" t="inlineStr">
        <is>
          <t>240340014287</t>
        </is>
      </c>
      <c r="F34" s="20" t="n"/>
      <c r="G34" s="20" t="n">
        <v>53882653.44</v>
      </c>
      <c r="H34" s="19" t="inlineStr">
        <is>
          <t>312</t>
        </is>
      </c>
      <c r="I34" s="18" t="inlineStr">
        <is>
          <t>TREASURY</t>
        </is>
      </c>
      <c r="J34" s="18" t="inlineStr">
        <is>
          <t>Размещение депозита</t>
        </is>
      </c>
      <c r="K34" s="19" t="inlineStr"/>
      <c r="L34" s="18" t="inlineStr">
        <is>
          <t>Размещение вклада</t>
        </is>
      </c>
    </row>
    <row r="35">
      <c r="A35" s="18" t="inlineStr">
        <is>
          <t>БЦК</t>
        </is>
      </c>
      <c r="B35" s="19" t="inlineStr">
        <is>
          <t>17.06.2026</t>
        </is>
      </c>
      <c r="C35" s="18" t="inlineStr">
        <is>
          <t xml:space="preserve">Товарищество с ограниченной ответственностью </t>
        </is>
      </c>
      <c r="D35" s="18" t="inlineStr">
        <is>
          <t>WayStar Group</t>
        </is>
      </c>
      <c r="E35" s="18" t="inlineStr">
        <is>
          <t>240340014287</t>
        </is>
      </c>
      <c r="F35" s="20" t="n">
        <v>22900.67</v>
      </c>
      <c r="G35" s="20" t="n"/>
      <c r="H35" s="19" t="inlineStr">
        <is>
          <t>316</t>
        </is>
      </c>
      <c r="I35" s="18" t="inlineStr">
        <is>
          <t>FIN_INCOME</t>
        </is>
      </c>
      <c r="J35" s="18" t="inlineStr">
        <is>
          <t>% по депозиту</t>
        </is>
      </c>
      <c r="K35" s="19" t="inlineStr"/>
      <c r="L35" s="18" t="inlineStr">
        <is>
          <t>Выплата начисленного вознаграждения по депозитному договору № 01607034 от 24.07.2025 за пе</t>
        </is>
      </c>
    </row>
    <row r="36">
      <c r="A36" s="18" t="inlineStr">
        <is>
          <t>БЦК</t>
        </is>
      </c>
      <c r="B36" s="19" t="inlineStr">
        <is>
          <t>17.06.2026</t>
        </is>
      </c>
      <c r="C36" s="18" t="inlineStr">
        <is>
          <t>ТОО Rhenus Intermodal Systems</t>
        </is>
      </c>
      <c r="D36" s="18" t="inlineStr">
        <is>
          <t>Rhenus Intermodal Systems</t>
        </is>
      </c>
      <c r="E36" s="18" t="inlineStr">
        <is>
          <t>081040014452</t>
        </is>
      </c>
      <c r="F36" s="20" t="n">
        <v>2734125</v>
      </c>
      <c r="G36" s="20" t="n"/>
      <c r="H36" s="19" t="inlineStr">
        <is>
          <t>814</t>
        </is>
      </c>
      <c r="I36" s="18" t="inlineStr">
        <is>
          <t>REVENUE</t>
        </is>
      </c>
      <c r="J36" s="18" t="inlineStr">
        <is>
          <t>Выручка: транспортно-логистические услуги</t>
        </is>
      </c>
      <c r="K36" s="19" t="inlineStr">
        <is>
          <t>ТЭО</t>
        </is>
      </c>
      <c r="L36" s="18" t="inlineStr">
        <is>
          <t>оплата эсф 152 от 31.05.26 оперирование ПС Платежи за услуги иного сухопутного транспорта,</t>
        </is>
      </c>
    </row>
    <row r="37">
      <c r="A37" s="18" t="inlineStr">
        <is>
          <t>БЦК</t>
        </is>
      </c>
      <c r="B37" s="19" t="inlineStr">
        <is>
          <t>17.06.2026</t>
        </is>
      </c>
      <c r="C37" s="18" t="inlineStr">
        <is>
          <t>ТОО  "WayStar Group"</t>
        </is>
      </c>
      <c r="D37" s="18" t="inlineStr">
        <is>
          <t>WayStar Group</t>
        </is>
      </c>
      <c r="E37" s="18" t="inlineStr">
        <is>
          <t>240340014287</t>
        </is>
      </c>
      <c r="F37" s="20" t="n">
        <v>42353600</v>
      </c>
      <c r="G37" s="20" t="n"/>
      <c r="H37" s="19" t="inlineStr">
        <is>
          <t>343</t>
        </is>
      </c>
      <c r="I37" s="18" t="inlineStr">
        <is>
          <t>INTERNAL</t>
        </is>
      </c>
      <c r="J37" s="18" t="inlineStr">
        <is>
          <t>Переводы между своими счетами</t>
        </is>
      </c>
      <c r="K37" s="19" t="inlineStr"/>
      <c r="L37" s="18" t="inlineStr">
        <is>
          <t>перевод на другой счет Переводы клиентом денег со своего текущего счета в одном банке, фил</t>
        </is>
      </c>
    </row>
    <row r="38">
      <c r="A38" s="18" t="inlineStr">
        <is>
          <t>БЦК</t>
        </is>
      </c>
      <c r="B38" s="19" t="inlineStr">
        <is>
          <t>17.06.2026</t>
        </is>
      </c>
      <c r="C38" s="18" t="inlineStr">
        <is>
          <t xml:space="preserve">Товарищество с ограниченной ответственностью </t>
        </is>
      </c>
      <c r="D38" s="18" t="inlineStr">
        <is>
          <t>WayStar Group</t>
        </is>
      </c>
      <c r="E38" s="18" t="inlineStr">
        <is>
          <t>240340014287</t>
        </is>
      </c>
      <c r="F38" s="20" t="n">
        <v>67819461.77</v>
      </c>
      <c r="G38" s="20" t="n"/>
      <c r="H38" s="19" t="inlineStr">
        <is>
          <t>322</t>
        </is>
      </c>
      <c r="I38" s="18" t="inlineStr">
        <is>
          <t>TREASURY</t>
        </is>
      </c>
      <c r="J38" s="18" t="inlineStr">
        <is>
          <t>Снятие/возврат депозита</t>
        </is>
      </c>
      <c r="K38" s="19" t="inlineStr"/>
      <c r="L38" s="18" t="inlineStr">
        <is>
          <t>Частичная выплата вклада по депозитному договору № 01607034 от 17.06.2026 в размере 678194</t>
        </is>
      </c>
    </row>
    <row r="39">
      <c r="A39" s="18" t="inlineStr">
        <is>
          <t>RBK</t>
        </is>
      </c>
      <c r="B39" s="19" t="inlineStr">
        <is>
          <t>18.06.2026</t>
        </is>
      </c>
      <c r="C39" s="18" t="inlineStr">
        <is>
          <t>ФИЛИАЛ АО "BANK RBK" В Г.АСТАНА</t>
        </is>
      </c>
      <c r="D39" s="18" t="inlineStr">
        <is>
          <t>ФИЛИАЛ АО "BANK RBK" В Г.АСТАНА</t>
        </is>
      </c>
      <c r="E39" s="18" t="inlineStr">
        <is>
          <t>111141019679</t>
        </is>
      </c>
      <c r="F39" s="20" t="n"/>
      <c r="G39" s="20" t="n">
        <v>932</v>
      </c>
      <c r="H39" s="19" t="inlineStr"/>
      <c r="I39" s="18" t="inlineStr">
        <is>
          <t>OPEX</t>
        </is>
      </c>
      <c r="J39" s="18" t="inlineStr">
        <is>
          <t>Прочие услуги и расходы</t>
        </is>
      </c>
      <c r="K39" s="19" t="inlineStr"/>
      <c r="L39" s="18" t="inlineStr">
        <is>
          <t>Комиссия Банка за переводные операции по платежному документу № 1176 от 18/06/2026, в т.ч.</t>
        </is>
      </c>
    </row>
    <row r="40">
      <c r="A40" s="18" t="inlineStr">
        <is>
          <t>RBK</t>
        </is>
      </c>
      <c r="B40" s="19" t="inlineStr">
        <is>
          <t>18.06.2026</t>
        </is>
      </c>
      <c r="C40" s="18" t="inlineStr">
        <is>
          <t>ТОО "WayStar Group"</t>
        </is>
      </c>
      <c r="D40" s="18" t="inlineStr">
        <is>
          <t>WayStar Group</t>
        </is>
      </c>
      <c r="E40" s="18" t="inlineStr">
        <is>
          <t>240340014287</t>
        </is>
      </c>
      <c r="F40" s="20" t="n"/>
      <c r="G40" s="20" t="n">
        <v>17934000</v>
      </c>
      <c r="H40" s="19" t="inlineStr"/>
      <c r="I40" s="18" t="inlineStr">
        <is>
          <t>INTERNAL</t>
        </is>
      </c>
      <c r="J40" s="18" t="inlineStr">
        <is>
          <t>Переводы между своими счетами</t>
        </is>
      </c>
      <c r="K40" s="19" t="inlineStr"/>
      <c r="L40" s="18" t="inlineStr">
        <is>
          <t>перевод на другой счет Переводы клиентом денег со своего текущего счета в одном банке, фил</t>
        </is>
      </c>
    </row>
    <row r="41">
      <c r="A41" s="18" t="inlineStr">
        <is>
          <t>БЦК</t>
        </is>
      </c>
      <c r="B41" s="19" t="inlineStr">
        <is>
          <t>18.06.2026</t>
        </is>
      </c>
      <c r="C41" s="18" t="inlineStr">
        <is>
          <t>Акционерное Общество "Банк ЦентрКредит"</t>
        </is>
      </c>
      <c r="D41" s="18" t="inlineStr">
        <is>
          <t>Банк ЦентрКредит</t>
        </is>
      </c>
      <c r="E41" s="18" t="inlineStr">
        <is>
          <t>980741000260</t>
        </is>
      </c>
      <c r="F41" s="20" t="n"/>
      <c r="G41" s="20" t="n">
        <v>2500</v>
      </c>
      <c r="H41" s="19" t="inlineStr">
        <is>
          <t>841</t>
        </is>
      </c>
      <c r="I41" s="18" t="inlineStr">
        <is>
          <t>OPEX</t>
        </is>
      </c>
      <c r="J41" s="18" t="inlineStr">
        <is>
          <t>Банковские услуги</t>
        </is>
      </c>
      <c r="K41" s="19" t="inlineStr"/>
      <c r="L41" s="18" t="inlineStr">
        <is>
          <t xml:space="preserve">Интернет-банкинг. MIP. Международные платежи. Перевод в валютах стран СНГ, OUR  с 9:00 до </t>
        </is>
      </c>
    </row>
    <row r="42">
      <c r="A42" s="18" t="inlineStr">
        <is>
          <t>БЦК</t>
        </is>
      </c>
      <c r="B42" s="19" t="inlineStr">
        <is>
          <t>18.06.2026</t>
        </is>
      </c>
      <c r="C42" s="18" t="inlineStr">
        <is>
          <t xml:space="preserve">Товарищество с ограниченной ответственностью </t>
        </is>
      </c>
      <c r="D42" s="18" t="inlineStr">
        <is>
          <t>Современные Печатные технологии</t>
        </is>
      </c>
      <c r="E42" s="18" t="inlineStr">
        <is>
          <t>151140003068</t>
        </is>
      </c>
      <c r="F42" s="20" t="n"/>
      <c r="G42" s="20" t="n">
        <v>18060</v>
      </c>
      <c r="H42" s="19" t="inlineStr">
        <is>
          <t>710</t>
        </is>
      </c>
      <c r="I42" s="18" t="inlineStr">
        <is>
          <t>OPEX</t>
        </is>
      </c>
      <c r="J42" s="18" t="inlineStr">
        <is>
          <t>ТМЦ / офисные расходы</t>
        </is>
      </c>
      <c r="K42" s="19" t="inlineStr"/>
      <c r="L42" s="18" t="inlineStr">
        <is>
          <t>Счет на оплату № 1311-2260 от 18 июня 2026 г. Визитки 84 шт,Счет на оплату 1311-2224 от 17</t>
        </is>
      </c>
    </row>
    <row r="43">
      <c r="A43" s="18" t="inlineStr">
        <is>
          <t>БЦК</t>
        </is>
      </c>
      <c r="B43" s="19" t="inlineStr">
        <is>
          <t>18.06.2026</t>
        </is>
      </c>
      <c r="C43" s="18" t="inlineStr">
        <is>
          <t>Акционерное Общество "Банк ЦентрКредит"</t>
        </is>
      </c>
      <c r="D43" s="18" t="inlineStr">
        <is>
          <t>Банк ЦентрКредит</t>
        </is>
      </c>
      <c r="E43" s="18" t="inlineStr">
        <is>
          <t>980640000093</t>
        </is>
      </c>
      <c r="F43" s="20" t="n"/>
      <c r="G43" s="20" t="n">
        <v>162393.59</v>
      </c>
      <c r="H43" s="19" t="inlineStr">
        <is>
          <t>213</t>
        </is>
      </c>
      <c r="I43" s="18" t="inlineStr">
        <is>
          <t>TREASURY</t>
        </is>
      </c>
      <c r="J43" s="18" t="inlineStr">
        <is>
          <t>Покупка валюты (FX)</t>
        </is>
      </c>
      <c r="K43" s="19" t="inlineStr"/>
      <c r="L43" s="18" t="inlineStr">
        <is>
          <t>Покупка иностранной валюты TOD (день в день), Товарищество с ограниченной ответственностью</t>
        </is>
      </c>
    </row>
    <row r="44">
      <c r="A44" s="18" t="inlineStr">
        <is>
          <t>БЦК</t>
        </is>
      </c>
      <c r="B44" s="19" t="inlineStr">
        <is>
          <t>18.06.2026</t>
        </is>
      </c>
      <c r="C44" s="18" t="inlineStr">
        <is>
          <t>Акционерное общество "ОЛЖА"</t>
        </is>
      </c>
      <c r="D44" s="18" t="inlineStr">
        <is>
          <t>ОЛЖА</t>
        </is>
      </c>
      <c r="E44" s="18" t="inlineStr">
        <is>
          <t>980240003083</t>
        </is>
      </c>
      <c r="F44" s="20" t="n"/>
      <c r="G44" s="20" t="n">
        <v>330000</v>
      </c>
      <c r="H44" s="19" t="inlineStr">
        <is>
          <t>822</t>
        </is>
      </c>
      <c r="I44" s="18" t="inlineStr">
        <is>
          <t>COGS</t>
        </is>
      </c>
      <c r="J44" s="18" t="inlineStr">
        <is>
          <t>Ж/д тариф, вагоны, услуги перевозчиков</t>
        </is>
      </c>
      <c r="K44" s="19" t="inlineStr">
        <is>
          <t>ТЭО</t>
        </is>
      </c>
      <c r="L44" s="18" t="inlineStr">
        <is>
          <t xml:space="preserve">Счет на оплату № 557 от 17.06.2026 г. ТЭУ крытых вагонов Жана -Есиль -ПредгорнаяСумма 330 </t>
        </is>
      </c>
    </row>
    <row r="45">
      <c r="A45" s="18" t="inlineStr">
        <is>
          <t>БЦК</t>
        </is>
      </c>
      <c r="B45" s="19" t="inlineStr">
        <is>
          <t>18.06.2026</t>
        </is>
      </c>
      <c r="C45" s="18" t="inlineStr">
        <is>
          <t xml:space="preserve">Товарищество с ограниченной ответственностью </t>
        </is>
      </c>
      <c r="D45" s="18" t="inlineStr">
        <is>
          <t>Ремвагон</t>
        </is>
      </c>
      <c r="E45" s="18" t="inlineStr">
        <is>
          <t>210740025281</t>
        </is>
      </c>
      <c r="F45" s="20" t="n"/>
      <c r="G45" s="20" t="n">
        <v>606216</v>
      </c>
      <c r="H45" s="19" t="inlineStr">
        <is>
          <t>822</t>
        </is>
      </c>
      <c r="I45" s="18" t="inlineStr">
        <is>
          <t>OPEX</t>
        </is>
      </c>
      <c r="J45" s="18" t="inlineStr">
        <is>
          <t>Прочие услуги и расходы</t>
        </is>
      </c>
      <c r="K45" s="19" t="inlineStr"/>
      <c r="L45" s="18" t="inlineStr">
        <is>
          <t>Счет на оплату № 20000000651 от 16.06.2026 ТОР</t>
        </is>
      </c>
    </row>
    <row r="46">
      <c r="A46" s="18" t="inlineStr">
        <is>
          <t>БЦК</t>
        </is>
      </c>
      <c r="B46" s="19" t="inlineStr">
        <is>
          <t>18.06.2026</t>
        </is>
      </c>
      <c r="C46" s="18" t="inlineStr">
        <is>
          <t>Акционерное общество "Банк "Bank RBK"</t>
        </is>
      </c>
      <c r="D46" s="18" t="inlineStr">
        <is>
          <t>Банк "Bank RBK</t>
        </is>
      </c>
      <c r="E46" s="18" t="inlineStr">
        <is>
          <t>920440001102</t>
        </is>
      </c>
      <c r="F46" s="20" t="n"/>
      <c r="G46" s="20" t="n">
        <v>1000000</v>
      </c>
      <c r="H46" s="19" t="inlineStr">
        <is>
          <t>332</t>
        </is>
      </c>
      <c r="I46" s="18" t="inlineStr">
        <is>
          <t>OPEX</t>
        </is>
      </c>
      <c r="J46" s="18" t="inlineStr">
        <is>
          <t>Оплата труда</t>
        </is>
      </c>
      <c r="K46" s="19" t="inlineStr"/>
      <c r="L46" s="18" t="inlineStr">
        <is>
          <t>Аубакиров Алимбек Ерикович аванс РБК июнь 2026</t>
        </is>
      </c>
    </row>
    <row r="47">
      <c r="A47" s="18" t="inlineStr">
        <is>
          <t>БЦК</t>
        </is>
      </c>
      <c r="B47" s="19" t="inlineStr">
        <is>
          <t>18.06.2026</t>
        </is>
      </c>
      <c r="C47" s="18" t="inlineStr">
        <is>
          <t xml:space="preserve">Товарищество с ограниченной ответственностью </t>
        </is>
      </c>
      <c r="D47" s="18" t="inlineStr">
        <is>
          <t>WayStar Group</t>
        </is>
      </c>
      <c r="E47" s="18" t="inlineStr">
        <is>
          <t>240340014287</t>
        </is>
      </c>
      <c r="F47" s="20" t="n"/>
      <c r="G47" s="20" t="n">
        <v>12392426.01</v>
      </c>
      <c r="H47" s="19" t="inlineStr">
        <is>
          <t>342</t>
        </is>
      </c>
      <c r="I47" s="18" t="inlineStr">
        <is>
          <t>INTERNAL</t>
        </is>
      </c>
      <c r="J47" s="18" t="inlineStr">
        <is>
          <t>Переводы между своими счетами</t>
        </is>
      </c>
      <c r="K47" s="19" t="inlineStr"/>
      <c r="L47" s="18" t="inlineStr">
        <is>
          <t>Перевод на КЛС. Без НДС. Переводы клиентом денег с одного своего текущего счета, открытого</t>
        </is>
      </c>
    </row>
    <row r="48">
      <c r="A48" s="18" t="inlineStr">
        <is>
          <t>БЦК</t>
        </is>
      </c>
      <c r="B48" s="19" t="inlineStr">
        <is>
          <t>18.06.2026</t>
        </is>
      </c>
      <c r="C48" s="18" t="inlineStr">
        <is>
          <t xml:space="preserve">Товарищество с ограниченной ответственностью </t>
        </is>
      </c>
      <c r="D48" s="18" t="inlineStr">
        <is>
          <t>WayStar Group</t>
        </is>
      </c>
      <c r="E48" s="18" t="inlineStr">
        <is>
          <t>240340014287</t>
        </is>
      </c>
      <c r="F48" s="20" t="n"/>
      <c r="G48" s="20" t="n">
        <v>57323252.46</v>
      </c>
      <c r="H48" s="19" t="inlineStr">
        <is>
          <t>312</t>
        </is>
      </c>
      <c r="I48" s="18" t="inlineStr">
        <is>
          <t>TREASURY</t>
        </is>
      </c>
      <c r="J48" s="18" t="inlineStr">
        <is>
          <t>Размещение депозита</t>
        </is>
      </c>
      <c r="K48" s="19" t="inlineStr"/>
      <c r="L48" s="18" t="inlineStr">
        <is>
          <t>Размещение вклада</t>
        </is>
      </c>
    </row>
    <row r="49">
      <c r="A49" s="18" t="inlineStr">
        <is>
          <t>БЦК</t>
        </is>
      </c>
      <c r="B49" s="19" t="inlineStr">
        <is>
          <t>18.06.2026</t>
        </is>
      </c>
      <c r="C49" s="18" t="inlineStr">
        <is>
          <t xml:space="preserve">Товарищество с ограниченной ответственностью </t>
        </is>
      </c>
      <c r="D49" s="18" t="inlineStr">
        <is>
          <t>WayStar Group</t>
        </is>
      </c>
      <c r="E49" s="18" t="inlineStr">
        <is>
          <t>240340014287</t>
        </is>
      </c>
      <c r="F49" s="20" t="n">
        <v>18194.62</v>
      </c>
      <c r="G49" s="20" t="n"/>
      <c r="H49" s="19" t="inlineStr">
        <is>
          <t>316</t>
        </is>
      </c>
      <c r="I49" s="18" t="inlineStr">
        <is>
          <t>FIN_INCOME</t>
        </is>
      </c>
      <c r="J49" s="18" t="inlineStr">
        <is>
          <t>% по депозиту</t>
        </is>
      </c>
      <c r="K49" s="19" t="inlineStr"/>
      <c r="L49" s="18" t="inlineStr">
        <is>
          <t>Выплата начисленного вознаграждения по депозитному договору № 01607034 от 24.07.2025 за пе</t>
        </is>
      </c>
    </row>
    <row r="50">
      <c r="A50" s="18" t="inlineStr">
        <is>
          <t>БЦК</t>
        </is>
      </c>
      <c r="B50" s="19" t="inlineStr">
        <is>
          <t>18.06.2026</t>
        </is>
      </c>
      <c r="C50" s="18" t="inlineStr">
        <is>
          <t>ТОО  "WayStar Group"</t>
        </is>
      </c>
      <c r="D50" s="18" t="inlineStr">
        <is>
          <t>WayStar Group</t>
        </is>
      </c>
      <c r="E50" s="18" t="inlineStr">
        <is>
          <t>240340014287</t>
        </is>
      </c>
      <c r="F50" s="20" t="n">
        <v>17934000</v>
      </c>
      <c r="G50" s="20" t="n"/>
      <c r="H50" s="19" t="inlineStr">
        <is>
          <t>343</t>
        </is>
      </c>
      <c r="I50" s="18" t="inlineStr">
        <is>
          <t>INTERNAL</t>
        </is>
      </c>
      <c r="J50" s="18" t="inlineStr">
        <is>
          <t>Переводы между своими счетами</t>
        </is>
      </c>
      <c r="K50" s="19" t="inlineStr"/>
      <c r="L50" s="18" t="inlineStr">
        <is>
          <t>перевод на другой счет Переводы клиентом денег со своего текущего счета в одном банке, фил</t>
        </is>
      </c>
    </row>
    <row r="51">
      <c r="A51" s="18" t="inlineStr">
        <is>
          <t>БЦК</t>
        </is>
      </c>
      <c r="B51" s="19" t="inlineStr">
        <is>
          <t>18.06.2026</t>
        </is>
      </c>
      <c r="C51" s="18" t="inlineStr">
        <is>
          <t xml:space="preserve">Товарищество с ограниченной ответственностью </t>
        </is>
      </c>
      <c r="D51" s="18" t="inlineStr">
        <is>
          <t>WayStar Group</t>
        </is>
      </c>
      <c r="E51" s="18" t="inlineStr">
        <is>
          <t>240340014287</t>
        </is>
      </c>
      <c r="F51" s="20" t="n">
        <v>53882653.44</v>
      </c>
      <c r="G51" s="20" t="n"/>
      <c r="H51" s="19" t="inlineStr">
        <is>
          <t>322</t>
        </is>
      </c>
      <c r="I51" s="18" t="inlineStr">
        <is>
          <t>TREASURY</t>
        </is>
      </c>
      <c r="J51" s="18" t="inlineStr">
        <is>
          <t>Снятие/возврат депозита</t>
        </is>
      </c>
      <c r="K51" s="19" t="inlineStr"/>
      <c r="L51" s="18" t="inlineStr">
        <is>
          <t>Частичная выплата вклада по депозитному договору № 01607034 от 18.06.2026 в размере 538826</t>
        </is>
      </c>
    </row>
    <row r="52">
      <c r="A52" s="18" t="inlineStr">
        <is>
          <t>Halyk</t>
        </is>
      </c>
      <c r="B52" s="19" t="inlineStr">
        <is>
          <t>19.06.2026</t>
        </is>
      </c>
      <c r="C52" s="18" t="inlineStr">
        <is>
          <t>ТОО "WayStar Group"</t>
        </is>
      </c>
      <c r="D52" s="18" t="inlineStr">
        <is>
          <t>WayStar Group</t>
        </is>
      </c>
      <c r="E52" s="18" t="inlineStr">
        <is>
          <t>240340014287</t>
        </is>
      </c>
      <c r="F52" s="20" t="n"/>
      <c r="G52" s="20" t="n">
        <v>11263537.02</v>
      </c>
      <c r="H52" s="19" t="inlineStr">
        <is>
          <t>343</t>
        </is>
      </c>
      <c r="I52" s="18" t="inlineStr">
        <is>
          <t>INTERNAL</t>
        </is>
      </c>
      <c r="J52" s="18" t="inlineStr">
        <is>
          <t>Переводы между своими счетами</t>
        </is>
      </c>
      <c r="K52" s="19" t="inlineStr"/>
      <c r="L52" s="18" t="inlineStr">
        <is>
          <t xml:space="preserve">Референс 3990386775 перевод на др счет Переводы клиентом денег со своего текущего счета в </t>
        </is>
      </c>
    </row>
    <row r="53">
      <c r="A53" s="18" t="inlineStr">
        <is>
          <t>Halyk</t>
        </is>
      </c>
      <c r="B53" s="19" t="inlineStr">
        <is>
          <t>19.06.2026</t>
        </is>
      </c>
      <c r="C53" s="18" t="inlineStr">
        <is>
          <t>ТОО "GREENLIGHTS (ГРИНЛАЙТС)"</t>
        </is>
      </c>
      <c r="D53" s="18" t="inlineStr">
        <is>
          <t>GREENLIGHTS (ГРИНЛАЙТС)</t>
        </is>
      </c>
      <c r="E53" s="18" t="inlineStr">
        <is>
          <t>210840025853</t>
        </is>
      </c>
      <c r="F53" s="20" t="n">
        <v>9000000</v>
      </c>
      <c r="G53" s="20" t="n"/>
      <c r="H53" s="19" t="inlineStr">
        <is>
          <t>813</t>
        </is>
      </c>
      <c r="I53" s="18" t="inlineStr">
        <is>
          <t>REVENUE</t>
        </is>
      </c>
      <c r="J53" s="18" t="inlineStr">
        <is>
          <t>Выручка: транспортно-логистические услуги</t>
        </is>
      </c>
      <c r="K53" s="19" t="inlineStr">
        <is>
          <t>ТЭО</t>
        </is>
      </c>
      <c r="L53" s="18" t="inlineStr">
        <is>
          <t>Референс 3990350285 Оперирование собстенным ПС согл счету №133 от 12.06.2026 Сумма 9000000</t>
        </is>
      </c>
    </row>
    <row r="54">
      <c r="A54" s="18" t="inlineStr">
        <is>
          <t>Halyk</t>
        </is>
      </c>
      <c r="B54" s="19" t="inlineStr">
        <is>
          <t>19.06.2026</t>
        </is>
      </c>
      <c r="C54" s="18" t="inlineStr">
        <is>
          <t>STAR TRANS</t>
        </is>
      </c>
      <c r="D54" s="18" t="inlineStr">
        <is>
          <t>STAR TRANS</t>
        </is>
      </c>
      <c r="E54" s="18" t="inlineStr">
        <is>
          <t>060340001920</t>
        </is>
      </c>
      <c r="F54" s="20" t="n">
        <v>1101950</v>
      </c>
      <c r="G54" s="20" t="n"/>
      <c r="H54" s="19" t="inlineStr">
        <is>
          <t>813</t>
        </is>
      </c>
      <c r="I54" s="18" t="inlineStr">
        <is>
          <t>REVENUE</t>
        </is>
      </c>
      <c r="J54" s="18" t="inlineStr">
        <is>
          <t>Выручка: транспортно-логистические услуги</t>
        </is>
      </c>
      <c r="K54" s="19" t="inlineStr">
        <is>
          <t>ТЭО</t>
        </is>
      </c>
      <c r="L54" s="18" t="inlineStr">
        <is>
          <t>Референс 3990091198 Предоплата за услуги оператора вагонами , согласно счет - фактура № 15</t>
        </is>
      </c>
    </row>
    <row r="55">
      <c r="A55" s="18" t="inlineStr">
        <is>
          <t>БЦК</t>
        </is>
      </c>
      <c r="B55" s="19" t="inlineStr">
        <is>
          <t>19.06.2026</t>
        </is>
      </c>
      <c r="C55" s="18" t="inlineStr">
        <is>
          <t>Индивидуальный предприниматель "Катрышева"</t>
        </is>
      </c>
      <c r="D55" s="18" t="inlineStr">
        <is>
          <t>Катрышева</t>
        </is>
      </c>
      <c r="E55" s="18" t="inlineStr">
        <is>
          <t>900902450133</t>
        </is>
      </c>
      <c r="F55" s="20" t="n"/>
      <c r="G55" s="20" t="n">
        <v>32500</v>
      </c>
      <c r="H55" s="19" t="inlineStr">
        <is>
          <t>859</t>
        </is>
      </c>
      <c r="I55" s="18" t="inlineStr">
        <is>
          <t>OPEX</t>
        </is>
      </c>
      <c r="J55" s="18" t="inlineStr">
        <is>
          <t>Прочие услуги и расходы</t>
        </is>
      </c>
      <c r="K55" s="19" t="inlineStr"/>
      <c r="L55" s="18" t="inlineStr">
        <is>
          <t>Счет на оплату № 523 от 19.06.2026 г. Изготовление листовок 100 шт</t>
        </is>
      </c>
    </row>
    <row r="56">
      <c r="A56" s="18" t="inlineStr">
        <is>
          <t>БЦК</t>
        </is>
      </c>
      <c r="B56" s="19" t="inlineStr">
        <is>
          <t>19.06.2026</t>
        </is>
      </c>
      <c r="C56" s="18" t="inlineStr">
        <is>
          <t xml:space="preserve">Товарищество с ограниченной ответственностью </t>
        </is>
      </c>
      <c r="D56" s="18" t="inlineStr">
        <is>
          <t>STRATACxO</t>
        </is>
      </c>
      <c r="E56" s="18" t="inlineStr">
        <is>
          <t>210640000619</t>
        </is>
      </c>
      <c r="F56" s="20" t="n"/>
      <c r="G56" s="20" t="n">
        <v>800000</v>
      </c>
      <c r="H56" s="19" t="inlineStr">
        <is>
          <t>861</t>
        </is>
      </c>
      <c r="I56" s="18" t="inlineStr">
        <is>
          <t>OPEX</t>
        </is>
      </c>
      <c r="J56" s="18" t="inlineStr">
        <is>
          <t>Прочие услуги и расходы</t>
        </is>
      </c>
      <c r="K56" s="19" t="inlineStr"/>
      <c r="L56" s="18" t="inlineStr">
        <is>
          <t>Договор № 76/26 от 27 апреля 2026 года Счет на оплату № 19 от 20 мая 2026 г. Проведение би</t>
        </is>
      </c>
    </row>
    <row r="57">
      <c r="A57" s="18" t="inlineStr">
        <is>
          <t>БЦК</t>
        </is>
      </c>
      <c r="B57" s="19" t="inlineStr">
        <is>
          <t>19.06.2026</t>
        </is>
      </c>
      <c r="C57" s="18" t="inlineStr">
        <is>
          <t xml:space="preserve">Товарищество с ограниченной ответственностью </t>
        </is>
      </c>
      <c r="D57" s="18" t="inlineStr">
        <is>
          <t>Рейл Транспортейшн</t>
        </is>
      </c>
      <c r="E57" s="18" t="inlineStr">
        <is>
          <t>221040045601</t>
        </is>
      </c>
      <c r="F57" s="20" t="n"/>
      <c r="G57" s="20" t="n">
        <v>3646962</v>
      </c>
      <c r="H57" s="19" t="inlineStr">
        <is>
          <t>813</t>
        </is>
      </c>
      <c r="I57" s="18" t="inlineStr">
        <is>
          <t>COGS</t>
        </is>
      </c>
      <c r="J57" s="18" t="inlineStr">
        <is>
          <t>Ж/д тариф, вагоны, услуги перевозчиков</t>
        </is>
      </c>
      <c r="K57" s="19" t="inlineStr">
        <is>
          <t>ТЭО</t>
        </is>
      </c>
      <c r="L57" s="18" t="inlineStr">
        <is>
          <t xml:space="preserve">Договор RT/151 от 12.11.2024 г. INVOICE N 1253 от 18.06.2026 INVOICE N 1237 от 16/06/2026 </t>
        </is>
      </c>
    </row>
    <row r="58">
      <c r="A58" s="18" t="inlineStr">
        <is>
          <t>БЦК</t>
        </is>
      </c>
      <c r="B58" s="19" t="inlineStr">
        <is>
          <t>19.06.2026</t>
        </is>
      </c>
      <c r="C58" s="18" t="inlineStr">
        <is>
          <t xml:space="preserve">Товарищество с ограниченной ответственностью </t>
        </is>
      </c>
      <c r="D58" s="18" t="inlineStr">
        <is>
          <t>WayStar Group</t>
        </is>
      </c>
      <c r="E58" s="18" t="inlineStr">
        <is>
          <t>240340014287</t>
        </is>
      </c>
      <c r="F58" s="20" t="n"/>
      <c r="G58" s="20" t="n">
        <v>11263537.02</v>
      </c>
      <c r="H58" s="19" t="inlineStr">
        <is>
          <t>312</t>
        </is>
      </c>
      <c r="I58" s="18" t="inlineStr">
        <is>
          <t>TREASURY</t>
        </is>
      </c>
      <c r="J58" s="18" t="inlineStr">
        <is>
          <t>Размещение депозита</t>
        </is>
      </c>
      <c r="K58" s="19" t="inlineStr"/>
      <c r="L58" s="18" t="inlineStr">
        <is>
          <t>Без НДС. Размещение краткосрочных вкладов (не более одного года)</t>
        </is>
      </c>
    </row>
    <row r="59">
      <c r="A59" s="18" t="inlineStr">
        <is>
          <t>БЦК</t>
        </is>
      </c>
      <c r="B59" s="19" t="inlineStr">
        <is>
          <t>19.06.2026</t>
        </is>
      </c>
      <c r="C59" s="18" t="inlineStr">
        <is>
          <t>КТТ (ҚАЗТЕМІРТРАНС) АО</t>
        </is>
      </c>
      <c r="D59" s="18" t="inlineStr">
        <is>
          <t>КТТ (ҚАЗТЕМІРТРАНС) АО</t>
        </is>
      </c>
      <c r="E59" s="18" t="inlineStr">
        <is>
          <t>031040000572</t>
        </is>
      </c>
      <c r="F59" s="20" t="n"/>
      <c r="G59" s="20" t="n">
        <v>12098184</v>
      </c>
      <c r="H59" s="19" t="inlineStr">
        <is>
          <t>813</t>
        </is>
      </c>
      <c r="I59" s="18" t="inlineStr">
        <is>
          <t>COGS</t>
        </is>
      </c>
      <c r="J59" s="18" t="inlineStr">
        <is>
          <t>Ж/д тариф, вагоны, услуги перевозчиков</t>
        </is>
      </c>
      <c r="K59" s="19" t="inlineStr">
        <is>
          <t>ТЭО</t>
        </is>
      </c>
      <c r="L59" s="18" t="inlineStr">
        <is>
          <t>предоплата согласно счета № К-206321/26 от 19.06.2026 Договор № 20-02-2026/14989-НПрк от 2</t>
        </is>
      </c>
    </row>
    <row r="60">
      <c r="A60" s="18" t="inlineStr">
        <is>
          <t>БЦК</t>
        </is>
      </c>
      <c r="B60" s="19" t="inlineStr">
        <is>
          <t>19.06.2026</t>
        </is>
      </c>
      <c r="C60" s="18" t="inlineStr">
        <is>
          <t>ТОО КТЖ-Грузовые перевозки</t>
        </is>
      </c>
      <c r="D60" s="18" t="inlineStr">
        <is>
          <t>КТЖ-Грузовые перевозки</t>
        </is>
      </c>
      <c r="E60" s="18" t="inlineStr">
        <is>
          <t>031040001799</t>
        </is>
      </c>
      <c r="F60" s="20" t="n"/>
      <c r="G60" s="20" t="n">
        <v>17000000</v>
      </c>
      <c r="H60" s="19" t="inlineStr">
        <is>
          <t>813</t>
        </is>
      </c>
      <c r="I60" s="18" t="inlineStr">
        <is>
          <t>COGS</t>
        </is>
      </c>
      <c r="J60" s="18" t="inlineStr">
        <is>
          <t>Ж/д тариф, вагоны, услуги перевозчиков</t>
        </is>
      </c>
      <c r="K60" s="19" t="inlineStr">
        <is>
          <t>ТЭО</t>
        </is>
      </c>
      <c r="L60" s="18" t="inlineStr">
        <is>
          <t>Без НДС, 4185494, Платежи за услуги железнодорожного транспорта</t>
        </is>
      </c>
    </row>
    <row r="61">
      <c r="A61" s="18" t="inlineStr">
        <is>
          <t>БЦК</t>
        </is>
      </c>
      <c r="B61" s="19" t="inlineStr">
        <is>
          <t>19.06.2026</t>
        </is>
      </c>
      <c r="C61" s="18" t="inlineStr">
        <is>
          <t xml:space="preserve">Товарищество с ограниченной ответственностью </t>
        </is>
      </c>
      <c r="D61" s="18" t="inlineStr">
        <is>
          <t>WayStar Group</t>
        </is>
      </c>
      <c r="E61" s="18" t="inlineStr">
        <is>
          <t>240340014287</t>
        </is>
      </c>
      <c r="F61" s="20" t="n"/>
      <c r="G61" s="20" t="n">
        <v>24636337.87</v>
      </c>
      <c r="H61" s="19" t="inlineStr">
        <is>
          <t>312</t>
        </is>
      </c>
      <c r="I61" s="18" t="inlineStr">
        <is>
          <t>TREASURY</t>
        </is>
      </c>
      <c r="J61" s="18" t="inlineStr">
        <is>
          <t>Размещение депозита</t>
        </is>
      </c>
      <c r="K61" s="19" t="inlineStr"/>
      <c r="L61" s="18" t="inlineStr">
        <is>
          <t>Размещение вклада</t>
        </is>
      </c>
    </row>
    <row r="62">
      <c r="A62" s="18" t="inlineStr">
        <is>
          <t>БЦК</t>
        </is>
      </c>
      <c r="B62" s="19" t="inlineStr">
        <is>
          <t>19.06.2026</t>
        </is>
      </c>
      <c r="C62" s="18" t="inlineStr">
        <is>
          <t xml:space="preserve">Товарищество с ограниченной ответственностью </t>
        </is>
      </c>
      <c r="D62" s="18" t="inlineStr">
        <is>
          <t>WayStar Group</t>
        </is>
      </c>
      <c r="E62" s="18" t="inlineStr">
        <is>
          <t>240340014287</t>
        </is>
      </c>
      <c r="F62" s="20" t="n"/>
      <c r="G62" s="20" t="n">
        <v>40000000</v>
      </c>
      <c r="H62" s="19" t="inlineStr">
        <is>
          <t>312</t>
        </is>
      </c>
      <c r="I62" s="18" t="inlineStr">
        <is>
          <t>TREASURY</t>
        </is>
      </c>
      <c r="J62" s="18" t="inlineStr">
        <is>
          <t>Размещение депозита</t>
        </is>
      </c>
      <c r="K62" s="19" t="inlineStr"/>
      <c r="L62" s="18" t="inlineStr">
        <is>
          <t>Размещение вклада</t>
        </is>
      </c>
    </row>
    <row r="63">
      <c r="A63" s="18" t="inlineStr">
        <is>
          <t>БЦК</t>
        </is>
      </c>
      <c r="B63" s="19" t="inlineStr">
        <is>
          <t>19.06.2026</t>
        </is>
      </c>
      <c r="C63" s="18" t="inlineStr">
        <is>
          <t xml:space="preserve">Товарищество с ограниченной ответственностью </t>
        </is>
      </c>
      <c r="D63" s="18" t="inlineStr">
        <is>
          <t>WayStar Group</t>
        </is>
      </c>
      <c r="E63" s="18" t="inlineStr">
        <is>
          <t>240340014287</t>
        </is>
      </c>
      <c r="F63" s="20" t="n">
        <v>19356.41</v>
      </c>
      <c r="G63" s="20" t="n"/>
      <c r="H63" s="19" t="inlineStr">
        <is>
          <t>316</t>
        </is>
      </c>
      <c r="I63" s="18" t="inlineStr">
        <is>
          <t>FIN_INCOME</t>
        </is>
      </c>
      <c r="J63" s="18" t="inlineStr">
        <is>
          <t>% по депозиту</t>
        </is>
      </c>
      <c r="K63" s="19" t="inlineStr"/>
      <c r="L63" s="18" t="inlineStr">
        <is>
          <t>Выплата начисленного вознаграждения по депозитному договору № 01607034 от 24.07.2025 за пе</t>
        </is>
      </c>
    </row>
    <row r="64">
      <c r="A64" s="18" t="inlineStr">
        <is>
          <t>БЦК</t>
        </is>
      </c>
      <c r="B64" s="19" t="inlineStr">
        <is>
          <t>19.06.2026</t>
        </is>
      </c>
      <c r="C64" s="18" t="inlineStr">
        <is>
          <t xml:space="preserve">Товарищество с ограниченной ответственностью </t>
        </is>
      </c>
      <c r="D64" s="18" t="inlineStr">
        <is>
          <t>Максат-2030</t>
        </is>
      </c>
      <c r="E64" s="18" t="inlineStr">
        <is>
          <t>000340002422</t>
        </is>
      </c>
      <c r="F64" s="20" t="n">
        <v>871375</v>
      </c>
      <c r="G64" s="20" t="n"/>
      <c r="H64" s="19" t="inlineStr">
        <is>
          <t>813</t>
        </is>
      </c>
      <c r="I64" s="18" t="inlineStr">
        <is>
          <t>REVENUE</t>
        </is>
      </c>
      <c r="J64" s="18" t="inlineStr">
        <is>
          <t>Выручка: транспортно-логистические услуги</t>
        </is>
      </c>
      <c r="K64" s="19" t="inlineStr">
        <is>
          <t>ТЭО</t>
        </is>
      </c>
      <c r="L64" s="18" t="inlineStr">
        <is>
          <t xml:space="preserve">Оплата за услуги по оперированию вагонов, контейнеров. ЭСФ №140 от 31.05.2026. Платежи за </t>
        </is>
      </c>
    </row>
    <row r="65">
      <c r="A65" s="18" t="inlineStr">
        <is>
          <t>БЦК</t>
        </is>
      </c>
      <c r="B65" s="19" t="inlineStr">
        <is>
          <t>19.06.2026</t>
        </is>
      </c>
      <c r="C65" s="18" t="inlineStr">
        <is>
          <t>ТОО WayStar Group</t>
        </is>
      </c>
      <c r="D65" s="18" t="inlineStr">
        <is>
          <t>WayStar Group</t>
        </is>
      </c>
      <c r="E65" s="18" t="inlineStr">
        <is>
          <t>240340014287</t>
        </is>
      </c>
      <c r="F65" s="20" t="n">
        <v>11263537.02</v>
      </c>
      <c r="G65" s="20" t="n"/>
      <c r="H65" s="19" t="inlineStr">
        <is>
          <t>343</t>
        </is>
      </c>
      <c r="I65" s="18" t="inlineStr">
        <is>
          <t>INTERNAL</t>
        </is>
      </c>
      <c r="J65" s="18" t="inlineStr">
        <is>
          <t>Переводы между своими счетами</t>
        </is>
      </c>
      <c r="K65" s="19" t="inlineStr"/>
      <c r="L65" s="18" t="inlineStr">
        <is>
          <t xml:space="preserve">перевод на др счет Переводы клиентом денег со своего текущего счета в одном банке филиале </t>
        </is>
      </c>
    </row>
    <row r="66">
      <c r="A66" s="18" t="inlineStr">
        <is>
          <t>БЦК</t>
        </is>
      </c>
      <c r="B66" s="19" t="inlineStr">
        <is>
          <t>19.06.2026</t>
        </is>
      </c>
      <c r="C66" s="18" t="inlineStr">
        <is>
          <t>ТОО "Mining Consulting Group"</t>
        </is>
      </c>
      <c r="D66" s="18" t="inlineStr">
        <is>
          <t>Mining Consulting Group</t>
        </is>
      </c>
      <c r="E66" s="18" t="inlineStr">
        <is>
          <t>190440040941</t>
        </is>
      </c>
      <c r="F66" s="20" t="n">
        <v>40000000</v>
      </c>
      <c r="G66" s="20" t="n"/>
      <c r="H66" s="19" t="inlineStr">
        <is>
          <t>411</t>
        </is>
      </c>
      <c r="I66" s="18" t="inlineStr">
        <is>
          <t>FINANCING</t>
        </is>
      </c>
      <c r="J66" s="18" t="inlineStr">
        <is>
          <t>Займы полученные / возврат выданных</t>
        </is>
      </c>
      <c r="K66" s="19" t="inlineStr"/>
      <c r="L66" s="18" t="inlineStr">
        <is>
          <t>За выдачу краткосрочных займов (не более одного года). Выплата согласно Договора о временн</t>
        </is>
      </c>
    </row>
    <row r="67">
      <c r="A67" s="18" t="inlineStr">
        <is>
          <t>БЦК</t>
        </is>
      </c>
      <c r="B67" s="19" t="inlineStr">
        <is>
          <t>19.06.2026</t>
        </is>
      </c>
      <c r="C67" s="18" t="inlineStr">
        <is>
          <t xml:space="preserve">Товарищество с ограниченной ответственностью </t>
        </is>
      </c>
      <c r="D67" s="18" t="inlineStr">
        <is>
          <t>WayStar Group</t>
        </is>
      </c>
      <c r="E67" s="18" t="inlineStr">
        <is>
          <t>240340014287</t>
        </is>
      </c>
      <c r="F67" s="20" t="n">
        <v>57323252.46</v>
      </c>
      <c r="G67" s="20" t="n"/>
      <c r="H67" s="19" t="inlineStr">
        <is>
          <t>322</t>
        </is>
      </c>
      <c r="I67" s="18" t="inlineStr">
        <is>
          <t>TREASURY</t>
        </is>
      </c>
      <c r="J67" s="18" t="inlineStr">
        <is>
          <t>Снятие/возврат депозита</t>
        </is>
      </c>
      <c r="K67" s="19" t="inlineStr"/>
      <c r="L67" s="18" t="inlineStr">
        <is>
          <t>Частичная выплата вклада по депозитному договору № 01607034 от 19.06.2026 в размере 573232</t>
        </is>
      </c>
    </row>
    <row r="68">
      <c r="A68" s="18" t="inlineStr">
        <is>
          <t>БЦК</t>
        </is>
      </c>
      <c r="B68" s="19" t="inlineStr">
        <is>
          <t>20.06.2026</t>
        </is>
      </c>
      <c r="C68" s="18" t="inlineStr">
        <is>
          <t xml:space="preserve">Товарищество с ограниченной ответственностью </t>
        </is>
      </c>
      <c r="D68" s="18" t="inlineStr">
        <is>
          <t>WayStar Group</t>
        </is>
      </c>
      <c r="E68" s="18" t="inlineStr">
        <is>
          <t>240340014287</t>
        </is>
      </c>
      <c r="F68" s="20" t="n"/>
      <c r="G68" s="20" t="n">
        <v>3803.38</v>
      </c>
      <c r="H68" s="19" t="inlineStr">
        <is>
          <t>421</t>
        </is>
      </c>
      <c r="I68" s="18" t="inlineStr">
        <is>
          <t>FINANCING</t>
        </is>
      </c>
      <c r="J68" s="18" t="inlineStr">
        <is>
          <t>Погашение / выдача займов</t>
        </is>
      </c>
      <c r="K68" s="19" t="inlineStr"/>
      <c r="L68" s="18" t="inlineStr">
        <is>
          <t>Погашение просроченного основного долга по договору № AST/2025/U/O/1034171681 от . Заемщик</t>
        </is>
      </c>
    </row>
    <row r="69">
      <c r="A69" s="18" t="inlineStr">
        <is>
          <t>БЦК</t>
        </is>
      </c>
      <c r="B69" s="19" t="inlineStr">
        <is>
          <t>20.06.2026</t>
        </is>
      </c>
      <c r="C69" s="18" t="inlineStr">
        <is>
          <t xml:space="preserve">Товарищество с ограниченной ответственностью </t>
        </is>
      </c>
      <c r="D69" s="18" t="inlineStr">
        <is>
          <t>WayStar Group</t>
        </is>
      </c>
      <c r="E69" s="18" t="inlineStr">
        <is>
          <t>240340014287</t>
        </is>
      </c>
      <c r="F69" s="20" t="n">
        <v>3803.38</v>
      </c>
      <c r="G69" s="20" t="n"/>
      <c r="H69" s="19" t="inlineStr">
        <is>
          <t>316</t>
        </is>
      </c>
      <c r="I69" s="18" t="inlineStr">
        <is>
          <t>FIN_INCOME</t>
        </is>
      </c>
      <c r="J69" s="18" t="inlineStr">
        <is>
          <t>% по депозиту</t>
        </is>
      </c>
      <c r="K69" s="19" t="inlineStr"/>
      <c r="L69" s="18" t="inlineStr">
        <is>
          <t>Выплата начисленного вознаграждения по депозитному договору № 01607034 от 24.07.2025 за пе</t>
        </is>
      </c>
    </row>
    <row r="70">
      <c r="A70" s="18" t="inlineStr">
        <is>
          <t>Halyk</t>
        </is>
      </c>
      <c r="B70" s="19" t="inlineStr">
        <is>
          <t>21.06.2026</t>
        </is>
      </c>
      <c r="C70" s="18" t="inlineStr">
        <is>
          <t>ТОО "КТЖ-ГРУЗОВЫЕ ПЕРЕВОЗКИ"</t>
        </is>
      </c>
      <c r="D70" s="18" t="inlineStr">
        <is>
          <t>КТЖ-ГРУЗОВЫЕ ПЕРЕВОЗКИ</t>
        </is>
      </c>
      <c r="E70" s="18" t="inlineStr">
        <is>
          <t>031040001799</t>
        </is>
      </c>
      <c r="F70" s="20" t="n"/>
      <c r="G70" s="20" t="n">
        <v>1000</v>
      </c>
      <c r="H70" s="19" t="inlineStr">
        <is>
          <t>813</t>
        </is>
      </c>
      <c r="I70" s="18" t="inlineStr">
        <is>
          <t>COGS</t>
        </is>
      </c>
      <c r="J70" s="18" t="inlineStr">
        <is>
          <t>Ж/д тариф, вагоны, услуги перевозчиков</t>
        </is>
      </c>
      <c r="K70" s="19" t="inlineStr">
        <is>
          <t>ТЭО</t>
        </is>
      </c>
      <c r="L70" s="18" t="inlineStr">
        <is>
          <t>Референс 3992518218 4185494, Без НДС, Платежи за услуги железнодорожного транспортаПлатежи</t>
        </is>
      </c>
    </row>
    <row r="71">
      <c r="A71" s="18" t="inlineStr">
        <is>
          <t>БЦК</t>
        </is>
      </c>
      <c r="B71" s="19" t="inlineStr">
        <is>
          <t>21.06.2026</t>
        </is>
      </c>
      <c r="C71" s="18" t="inlineStr">
        <is>
          <t>Центральное отделение №0401</t>
        </is>
      </c>
      <c r="D71" s="18" t="inlineStr">
        <is>
          <t>Центральное отделение №0401</t>
        </is>
      </c>
      <c r="E71" s="18" t="inlineStr">
        <is>
          <t>980741000260</t>
        </is>
      </c>
      <c r="F71" s="20" t="n"/>
      <c r="G71" s="20" t="n">
        <v>3803.37</v>
      </c>
      <c r="H71" s="19" t="inlineStr">
        <is>
          <t>119</t>
        </is>
      </c>
      <c r="I71" s="18" t="inlineStr">
        <is>
          <t>FIN_COST</t>
        </is>
      </c>
      <c r="J71" s="18" t="inlineStr">
        <is>
          <t>Проценты и пени по кредитам</t>
        </is>
      </c>
      <c r="K71" s="19" t="inlineStr"/>
      <c r="L71" s="18" t="inlineStr">
        <is>
          <t>Погашение начисленных пени по просроченному основному долгу по договору № AST/2025/U/O/103</t>
        </is>
      </c>
    </row>
    <row r="72">
      <c r="A72" s="18" t="inlineStr">
        <is>
          <t>БЦК</t>
        </is>
      </c>
      <c r="B72" s="19" t="inlineStr">
        <is>
          <t>21.06.2026</t>
        </is>
      </c>
      <c r="C72" s="18" t="inlineStr">
        <is>
          <t>АО "Банк ЦентрКредит"</t>
        </is>
      </c>
      <c r="D72" s="18" t="inlineStr">
        <is>
          <t>Банк ЦентрКредит</t>
        </is>
      </c>
      <c r="E72" s="18" t="inlineStr">
        <is>
          <t>980640000093</t>
        </is>
      </c>
      <c r="F72" s="20" t="n"/>
      <c r="G72" s="20" t="n">
        <v>10000</v>
      </c>
      <c r="H72" s="19" t="inlineStr">
        <is>
          <t>423</t>
        </is>
      </c>
      <c r="I72" s="18" t="inlineStr">
        <is>
          <t>FIN_COST</t>
        </is>
      </c>
      <c r="J72" s="18" t="inlineStr">
        <is>
          <t>Проценты и пени по кредитам</t>
        </is>
      </c>
      <c r="K72" s="19" t="inlineStr"/>
      <c r="L72" s="18" t="inlineStr">
        <is>
          <t>ПТ № 4776499 от 21.06.2026. Частичная оплата К2.Безакцептное погашение задолженности Товар</t>
        </is>
      </c>
    </row>
    <row r="73">
      <c r="A73" s="18" t="inlineStr">
        <is>
          <t>БЦК</t>
        </is>
      </c>
      <c r="B73" s="19" t="inlineStr">
        <is>
          <t>21.06.2026</t>
        </is>
      </c>
      <c r="C73" s="18" t="inlineStr">
        <is>
          <t xml:space="preserve">Товарищество с ограниченной ответственностью </t>
        </is>
      </c>
      <c r="D73" s="18" t="inlineStr">
        <is>
          <t>WayStar Group</t>
        </is>
      </c>
      <c r="E73" s="18" t="inlineStr">
        <is>
          <t>240340014287</t>
        </is>
      </c>
      <c r="F73" s="20" t="n">
        <v>3803.37</v>
      </c>
      <c r="G73" s="20" t="n"/>
      <c r="H73" s="19" t="inlineStr">
        <is>
          <t>316</t>
        </is>
      </c>
      <c r="I73" s="18" t="inlineStr">
        <is>
          <t>FIN_INCOME</t>
        </is>
      </c>
      <c r="J73" s="18" t="inlineStr">
        <is>
          <t>% по депозиту</t>
        </is>
      </c>
      <c r="K73" s="19" t="inlineStr"/>
      <c r="L73" s="18" t="inlineStr">
        <is>
          <t>Выплата начисленного вознаграждения по депозитному договору № 01607034 от 24.07.2025 за пе</t>
        </is>
      </c>
    </row>
    <row r="74">
      <c r="A74" s="18" t="inlineStr">
        <is>
          <t>БЦК</t>
        </is>
      </c>
      <c r="B74" s="19" t="inlineStr">
        <is>
          <t>21.06.2026</t>
        </is>
      </c>
      <c r="C74" s="18" t="inlineStr">
        <is>
          <t>Данияр Алим</t>
        </is>
      </c>
      <c r="D74" s="18" t="inlineStr">
        <is>
          <t>Данияр Алим</t>
        </is>
      </c>
      <c r="E74" s="18" t="inlineStr">
        <is>
          <t>020420550046</t>
        </is>
      </c>
      <c r="F74" s="20" t="n">
        <v>10000</v>
      </c>
      <c r="G74" s="20" t="n"/>
      <c r="H74" s="19" t="inlineStr">
        <is>
          <t>421</t>
        </is>
      </c>
      <c r="I74" s="18" t="inlineStr">
        <is>
          <t>FINANCING</t>
        </is>
      </c>
      <c r="J74" s="18" t="inlineStr">
        <is>
          <t>Займы полученные / возврат выданных</t>
        </is>
      </c>
      <c r="K74" s="19" t="inlineStr"/>
      <c r="L74" s="18" t="inlineStr">
        <is>
          <t>Перевод с счета KZ658562204136676815 на счета KZ768562203136652401 через систему BCC.KZ. И</t>
        </is>
      </c>
    </row>
    <row r="75">
      <c r="A75" s="18" t="inlineStr">
        <is>
          <t>Halyk</t>
        </is>
      </c>
      <c r="B75" s="19" t="inlineStr">
        <is>
          <t>22.06.2026</t>
        </is>
      </c>
      <c r="C75" s="18" t="inlineStr">
        <is>
          <t>ТОО K-Portal</t>
        </is>
      </c>
      <c r="D75" s="18" t="inlineStr">
        <is>
          <t>K-Portal</t>
        </is>
      </c>
      <c r="E75" s="18" t="inlineStr">
        <is>
          <t>160740003695</t>
        </is>
      </c>
      <c r="F75" s="20" t="n">
        <v>1000000</v>
      </c>
      <c r="G75" s="20" t="n"/>
      <c r="H75" s="19" t="inlineStr">
        <is>
          <t>813</t>
        </is>
      </c>
      <c r="I75" s="18" t="inlineStr">
        <is>
          <t>REVENUE</t>
        </is>
      </c>
      <c r="J75" s="18" t="inlineStr">
        <is>
          <t>Выручка: транспортно-логистические услуги</t>
        </is>
      </c>
      <c r="K75" s="19" t="inlineStr">
        <is>
          <t>ТЭО</t>
        </is>
      </c>
      <c r="L75" s="18" t="inlineStr">
        <is>
          <t>Референс 3993913795 За предоставление вагонов по счету на оплату № 000000104 от 15.05.2026</t>
        </is>
      </c>
    </row>
    <row r="76">
      <c r="A76" s="18" t="inlineStr">
        <is>
          <t>Halyk</t>
        </is>
      </c>
      <c r="B76" s="19" t="inlineStr">
        <is>
          <t>22.06.2026</t>
        </is>
      </c>
      <c r="C76" s="18" t="inlineStr">
        <is>
          <t>Данияр Алим</t>
        </is>
      </c>
      <c r="D76" s="18" t="inlineStr">
        <is>
          <t>Данияр Алим</t>
        </is>
      </c>
      <c r="E76" s="18" t="inlineStr">
        <is>
          <t>020420550046</t>
        </is>
      </c>
      <c r="F76" s="20" t="n">
        <v>10000</v>
      </c>
      <c r="G76" s="20" t="n"/>
      <c r="H76" s="19" t="inlineStr">
        <is>
          <t>119</t>
        </is>
      </c>
      <c r="I76" s="18" t="inlineStr">
        <is>
          <t>FIN_COST</t>
        </is>
      </c>
      <c r="J76" s="18" t="inlineStr">
        <is>
          <t>Проценты и пени по кредитам</t>
        </is>
      </c>
      <c r="K76" s="19" t="inlineStr"/>
      <c r="L76" s="18" t="inlineStr">
        <is>
          <t>Референс 3993102969 Прочие безвозмездные переводы. Безналичный перевод. ИИН/БИН получателя</t>
        </is>
      </c>
    </row>
    <row r="77">
      <c r="A77" s="18" t="inlineStr">
        <is>
          <t>Halyk</t>
        </is>
      </c>
      <c r="B77" s="19" t="inlineStr">
        <is>
          <t>22.06.2026</t>
        </is>
      </c>
      <c r="C77" s="18" t="inlineStr">
        <is>
          <t>Данияр Алим</t>
        </is>
      </c>
      <c r="D77" s="18" t="inlineStr">
        <is>
          <t>Данияр Алим</t>
        </is>
      </c>
      <c r="E77" s="18" t="inlineStr">
        <is>
          <t>020420550046</t>
        </is>
      </c>
      <c r="F77" s="20" t="n">
        <v>10000</v>
      </c>
      <c r="G77" s="20" t="n"/>
      <c r="H77" s="19" t="inlineStr">
        <is>
          <t>119</t>
        </is>
      </c>
      <c r="I77" s="18" t="inlineStr">
        <is>
          <t>FIN_COST</t>
        </is>
      </c>
      <c r="J77" s="18" t="inlineStr">
        <is>
          <t>Проценты и пени по кредитам</t>
        </is>
      </c>
      <c r="K77" s="19" t="inlineStr"/>
      <c r="L77" s="18" t="inlineStr">
        <is>
          <t>Референс 3993102905 Прочие безвозмездные переводы. Безналичный перевод. ИИН/БИН получателя</t>
        </is>
      </c>
    </row>
    <row r="78">
      <c r="A78" s="18" t="inlineStr">
        <is>
          <t>Halyk</t>
        </is>
      </c>
      <c r="B78" s="19" t="inlineStr">
        <is>
          <t>22.06.2026</t>
        </is>
      </c>
      <c r="C78" s="18" t="inlineStr">
        <is>
          <t xml:space="preserve">Астанинский городской филиал Народного Банка </t>
        </is>
      </c>
      <c r="D78" s="18" t="inlineStr">
        <is>
          <t>Астанинский городской филиал Народного Банка Казахстана</t>
        </is>
      </c>
      <c r="E78" s="18" t="inlineStr">
        <is>
          <t>950341000052</t>
        </is>
      </c>
      <c r="F78" s="20" t="n"/>
      <c r="G78" s="20" t="n">
        <v>5000</v>
      </c>
      <c r="H78" s="19" t="inlineStr">
        <is>
          <t>841</t>
        </is>
      </c>
      <c r="I78" s="18" t="inlineStr">
        <is>
          <t>OPEX</t>
        </is>
      </c>
      <c r="J78" s="18" t="inlineStr">
        <is>
          <t>Банковские услуги</t>
        </is>
      </c>
      <c r="K78" s="19" t="inlineStr"/>
      <c r="L78" s="18" t="inlineStr">
        <is>
          <t>Референс 3993100649 Оплата К2 Комиссия за операцию "Абонентская плата" согласно тарифам ба</t>
        </is>
      </c>
    </row>
    <row r="79">
      <c r="A79" s="18" t="inlineStr">
        <is>
          <t>Halyk</t>
        </is>
      </c>
      <c r="B79" s="19" t="inlineStr">
        <is>
          <t>22.06.2026</t>
        </is>
      </c>
      <c r="C79" s="18" t="inlineStr">
        <is>
          <t>Данияр Алим</t>
        </is>
      </c>
      <c r="D79" s="18" t="inlineStr">
        <is>
          <t>Данияр Алим</t>
        </is>
      </c>
      <c r="E79" s="18" t="inlineStr">
        <is>
          <t>020420550046</t>
        </is>
      </c>
      <c r="F79" s="20" t="n">
        <v>100000</v>
      </c>
      <c r="G79" s="20" t="n"/>
      <c r="H79" s="19" t="inlineStr">
        <is>
          <t>610</t>
        </is>
      </c>
      <c r="I79" s="18" t="inlineStr">
        <is>
          <t>OTHER_IN</t>
        </is>
      </c>
      <c r="J79" s="18" t="inlineStr">
        <is>
          <t>Прочие поступления</t>
        </is>
      </c>
      <c r="K79" s="19" t="inlineStr"/>
      <c r="L79" s="18" t="inlineStr">
        <is>
          <t>Референс 3993100006 Покупка, выкуп акций и документов, подтверждающих участие в уставном к</t>
        </is>
      </c>
    </row>
    <row r="80">
      <c r="A80" s="18" t="inlineStr">
        <is>
          <t>Halyk</t>
        </is>
      </c>
      <c r="B80" s="19" t="inlineStr">
        <is>
          <t>22.06.2026</t>
        </is>
      </c>
      <c r="C80" s="18" t="inlineStr">
        <is>
          <t>Данияр Алим</t>
        </is>
      </c>
      <c r="D80" s="18" t="inlineStr">
        <is>
          <t>Данияр Алим</t>
        </is>
      </c>
      <c r="E80" s="18" t="inlineStr">
        <is>
          <t>020420550046</t>
        </is>
      </c>
      <c r="F80" s="20" t="n">
        <v>10000</v>
      </c>
      <c r="G80" s="20" t="n"/>
      <c r="H80" s="19" t="inlineStr">
        <is>
          <t>119</t>
        </is>
      </c>
      <c r="I80" s="18" t="inlineStr">
        <is>
          <t>FIN_COST</t>
        </is>
      </c>
      <c r="J80" s="18" t="inlineStr">
        <is>
          <t>Проценты и пени по кредитам</t>
        </is>
      </c>
      <c r="K80" s="19" t="inlineStr"/>
      <c r="L80" s="18" t="inlineStr">
        <is>
          <t>Референс 3993097042 Прочие безвозмездные переводы. Безналичный перевод. ИИН/БИН получателя</t>
        </is>
      </c>
    </row>
    <row r="81">
      <c r="A81" s="18" t="inlineStr">
        <is>
          <t>Halyk</t>
        </is>
      </c>
      <c r="B81" s="19" t="inlineStr">
        <is>
          <t>22.06.2026</t>
        </is>
      </c>
      <c r="C81" s="18" t="inlineStr">
        <is>
          <t>Данияр Алим</t>
        </is>
      </c>
      <c r="D81" s="18" t="inlineStr">
        <is>
          <t>Данияр Алим</t>
        </is>
      </c>
      <c r="E81" s="18" t="inlineStr">
        <is>
          <t>020420550046</t>
        </is>
      </c>
      <c r="F81" s="20" t="n">
        <v>800</v>
      </c>
      <c r="G81" s="20" t="n"/>
      <c r="H81" s="19" t="inlineStr">
        <is>
          <t>119</t>
        </is>
      </c>
      <c r="I81" s="18" t="inlineStr">
        <is>
          <t>FIN_COST</t>
        </is>
      </c>
      <c r="J81" s="18" t="inlineStr">
        <is>
          <t>Проценты и пени по кредитам</t>
        </is>
      </c>
      <c r="K81" s="19" t="inlineStr"/>
      <c r="L81" s="18" t="inlineStr">
        <is>
          <t>Референс 3993030741 СУБП: Homebank. Прочие безвозмездные переводы денег. Референс: 9C36598</t>
        </is>
      </c>
    </row>
    <row r="82">
      <c r="A82" s="18" t="inlineStr">
        <is>
          <t>RBK</t>
        </is>
      </c>
      <c r="B82" s="19" t="inlineStr">
        <is>
          <t>22.06.2026</t>
        </is>
      </c>
      <c r="C82" s="18" t="inlineStr">
        <is>
          <t xml:space="preserve">Товарищество с ограниченной ответственностью </t>
        </is>
      </c>
      <c r="D82" s="18" t="inlineStr">
        <is>
          <t>WayStar Group</t>
        </is>
      </c>
      <c r="E82" s="18" t="inlineStr">
        <is>
          <t>240340014287</t>
        </is>
      </c>
      <c r="F82" s="20" t="n">
        <v>5400000</v>
      </c>
      <c r="G82" s="20" t="n"/>
      <c r="H82" s="19" t="inlineStr"/>
      <c r="I82" s="18" t="inlineStr">
        <is>
          <t>INTERNAL</t>
        </is>
      </c>
      <c r="J82" s="18" t="inlineStr">
        <is>
          <t>Переводы между своими счетами</t>
        </is>
      </c>
      <c r="K82" s="19" t="inlineStr"/>
      <c r="L82" s="18" t="inlineStr">
        <is>
          <t xml:space="preserve">перевод на другой счет. Без НДС. Переводы клиентом денег со своего текущего счета в одном </t>
        </is>
      </c>
    </row>
    <row r="83">
      <c r="A83" s="18" t="inlineStr">
        <is>
          <t>RBK</t>
        </is>
      </c>
      <c r="B83" s="19" t="inlineStr">
        <is>
          <t>22.06.2026</t>
        </is>
      </c>
      <c r="C83" s="18" t="inlineStr">
        <is>
          <t>ФИЛИАЛ АО "BANK RBK" В Г.АСТАНА</t>
        </is>
      </c>
      <c r="D83" s="18" t="inlineStr">
        <is>
          <t>ФИЛИАЛ АО "BANK RBK" В Г.АСТАНА</t>
        </is>
      </c>
      <c r="E83" s="18" t="inlineStr">
        <is>
          <t>111141019679</t>
        </is>
      </c>
      <c r="F83" s="20" t="n"/>
      <c r="G83" s="20" t="n">
        <v>368</v>
      </c>
      <c r="H83" s="19" t="inlineStr"/>
      <c r="I83" s="18" t="inlineStr">
        <is>
          <t>OPEX</t>
        </is>
      </c>
      <c r="J83" s="18" t="inlineStr">
        <is>
          <t>Прочие услуги и расходы</t>
        </is>
      </c>
      <c r="K83" s="19" t="inlineStr"/>
      <c r="L83" s="18" t="inlineStr">
        <is>
          <t>Просроченные комисионные доходы Комиссия Банка за переводные операции по платежному докуме</t>
        </is>
      </c>
    </row>
    <row r="84">
      <c r="A84" s="18" t="inlineStr">
        <is>
          <t>RBK</t>
        </is>
      </c>
      <c r="B84" s="19" t="inlineStr">
        <is>
          <t>22.06.2026</t>
        </is>
      </c>
      <c r="C84" s="18" t="inlineStr">
        <is>
          <t>АО "Банк "Bank RBK"</t>
        </is>
      </c>
      <c r="D84" s="18" t="inlineStr">
        <is>
          <t>Банк "Bank RBK</t>
        </is>
      </c>
      <c r="E84" s="18" t="inlineStr">
        <is>
          <t>920440001102</t>
        </is>
      </c>
      <c r="F84" s="20" t="n"/>
      <c r="G84" s="20" t="n">
        <v>748</v>
      </c>
      <c r="H84" s="19" t="inlineStr"/>
      <c r="I84" s="18" t="inlineStr">
        <is>
          <t>OPEX</t>
        </is>
      </c>
      <c r="J84" s="18" t="inlineStr">
        <is>
          <t>Прочие услуги и расходы</t>
        </is>
      </c>
      <c r="K84" s="19" t="inlineStr"/>
      <c r="L84" s="18" t="inlineStr">
        <is>
          <t>Гашение учтенной пени за процнты по договору номер КЛЮ629600/005-25/5 от 15.05.26 согласно</t>
        </is>
      </c>
    </row>
    <row r="85">
      <c r="A85" s="18" t="inlineStr">
        <is>
          <t>RBK</t>
        </is>
      </c>
      <c r="B85" s="19" t="inlineStr">
        <is>
          <t>22.06.2026</t>
        </is>
      </c>
      <c r="C85" s="18" t="inlineStr">
        <is>
          <t>АО "Банк "Bank RBK"</t>
        </is>
      </c>
      <c r="D85" s="18" t="inlineStr">
        <is>
          <t>Банк "Bank RBK</t>
        </is>
      </c>
      <c r="E85" s="18" t="inlineStr">
        <is>
          <t>920440001102</t>
        </is>
      </c>
      <c r="F85" s="20" t="n"/>
      <c r="G85" s="20" t="n">
        <v>1078</v>
      </c>
      <c r="H85" s="19" t="inlineStr"/>
      <c r="I85" s="18" t="inlineStr">
        <is>
          <t>OPEX</t>
        </is>
      </c>
      <c r="J85" s="18" t="inlineStr">
        <is>
          <t>Прочие услуги и расходы</t>
        </is>
      </c>
      <c r="K85" s="19" t="inlineStr"/>
      <c r="L85" s="18" t="inlineStr">
        <is>
          <t>Гашение учтенной пени за процнты по договору номер КЛЮ629600/005-25/7 от 21.05.26 согласно</t>
        </is>
      </c>
    </row>
    <row r="86">
      <c r="A86" s="18" t="inlineStr">
        <is>
          <t>RBK</t>
        </is>
      </c>
      <c r="B86" s="19" t="inlineStr">
        <is>
          <t>22.06.2026</t>
        </is>
      </c>
      <c r="C86" s="18" t="inlineStr">
        <is>
          <t>АО "Банк "Bank RBK"</t>
        </is>
      </c>
      <c r="D86" s="18" t="inlineStr">
        <is>
          <t>Банк "Bank RBK</t>
        </is>
      </c>
      <c r="E86" s="18" t="inlineStr">
        <is>
          <t>920440001102</t>
        </is>
      </c>
      <c r="F86" s="20" t="n"/>
      <c r="G86" s="20" t="n">
        <v>3486</v>
      </c>
      <c r="H86" s="19" t="inlineStr"/>
      <c r="I86" s="18" t="inlineStr">
        <is>
          <t>OPEX</t>
        </is>
      </c>
      <c r="J86" s="18" t="inlineStr">
        <is>
          <t>Прочие услуги и расходы</t>
        </is>
      </c>
      <c r="K86" s="19" t="inlineStr"/>
      <c r="L86" s="18" t="inlineStr">
        <is>
          <t>Гашение учтенной пени за процнты по договору номер КЛЮ629600/005-25/6 от 21.05.26 согласно</t>
        </is>
      </c>
    </row>
    <row r="87">
      <c r="A87" s="18" t="inlineStr">
        <is>
          <t>RBK</t>
        </is>
      </c>
      <c r="B87" s="19" t="inlineStr">
        <is>
          <t>22.06.2026</t>
        </is>
      </c>
      <c r="C87" s="18" t="inlineStr">
        <is>
          <t>АО "Банк "Bank RBK"</t>
        </is>
      </c>
      <c r="D87" s="18" t="inlineStr">
        <is>
          <t>Банк "Bank RBK</t>
        </is>
      </c>
      <c r="E87" s="18" t="inlineStr">
        <is>
          <t>920440001102</t>
        </is>
      </c>
      <c r="F87" s="20" t="n"/>
      <c r="G87" s="20" t="n">
        <v>4233</v>
      </c>
      <c r="H87" s="19" t="inlineStr"/>
      <c r="I87" s="18" t="inlineStr">
        <is>
          <t>OPEX</t>
        </is>
      </c>
      <c r="J87" s="18" t="inlineStr">
        <is>
          <t>Прочие услуги и расходы</t>
        </is>
      </c>
      <c r="K87" s="19" t="inlineStr"/>
      <c r="L87" s="18" t="inlineStr">
        <is>
          <t>Гашение учтенной пени за процнты по договору номер КЛЮ629600/005-25/4 от 15.05.26 согласно</t>
        </is>
      </c>
    </row>
    <row r="88">
      <c r="A88" s="18" t="inlineStr">
        <is>
          <t>RBK</t>
        </is>
      </c>
      <c r="B88" s="19" t="inlineStr">
        <is>
          <t>22.06.2026</t>
        </is>
      </c>
      <c r="C88" s="18" t="inlineStr">
        <is>
          <t>АО "Банк "Bank RBK"</t>
        </is>
      </c>
      <c r="D88" s="18" t="inlineStr">
        <is>
          <t>Банк "Bank RBK</t>
        </is>
      </c>
      <c r="E88" s="18" t="inlineStr">
        <is>
          <t>920440001102</t>
        </is>
      </c>
      <c r="F88" s="20" t="n"/>
      <c r="G88" s="20" t="n">
        <v>12600</v>
      </c>
      <c r="H88" s="19" t="inlineStr"/>
      <c r="I88" s="18" t="inlineStr">
        <is>
          <t>OPEX</t>
        </is>
      </c>
      <c r="J88" s="18" t="inlineStr">
        <is>
          <t>Прочие услуги и расходы</t>
        </is>
      </c>
      <c r="K88" s="19" t="inlineStr"/>
      <c r="L88" s="18" t="inlineStr">
        <is>
          <t>Гашение учтенной пени за процнты по договору номер КЛЮ791149/005-26/1 от 06.03.26 согласно</t>
        </is>
      </c>
    </row>
    <row r="89">
      <c r="A89" s="18" t="inlineStr">
        <is>
          <t>RBK</t>
        </is>
      </c>
      <c r="B89" s="19" t="inlineStr">
        <is>
          <t>22.06.2026</t>
        </is>
      </c>
      <c r="C89" s="18" t="inlineStr">
        <is>
          <t>АО "Банк "Bank RBK"</t>
        </is>
      </c>
      <c r="D89" s="18" t="inlineStr">
        <is>
          <t>Банк "Bank RBK</t>
        </is>
      </c>
      <c r="E89" s="18" t="inlineStr">
        <is>
          <t>920440001102</t>
        </is>
      </c>
      <c r="F89" s="20" t="n"/>
      <c r="G89" s="20" t="n">
        <v>249333.33</v>
      </c>
      <c r="H89" s="19" t="inlineStr"/>
      <c r="I89" s="18" t="inlineStr">
        <is>
          <t>FIN_COST</t>
        </is>
      </c>
      <c r="J89" s="18" t="inlineStr">
        <is>
          <t>Проценты и пени по кредитам</t>
        </is>
      </c>
      <c r="K89" s="19" t="inlineStr"/>
      <c r="L89" s="18" t="inlineStr">
        <is>
          <t>Погашение просроченного вознаграждения по договору ТОО  "WayStar Group", согласно кредитно</t>
        </is>
      </c>
    </row>
    <row r="90">
      <c r="A90" s="18" t="inlineStr">
        <is>
          <t>RBK</t>
        </is>
      </c>
      <c r="B90" s="19" t="inlineStr">
        <is>
          <t>22.06.2026</t>
        </is>
      </c>
      <c r="C90" s="18" t="inlineStr">
        <is>
          <t>АО "Банк "Bank RBK"</t>
        </is>
      </c>
      <c r="D90" s="18" t="inlineStr">
        <is>
          <t>Банк "Bank RBK</t>
        </is>
      </c>
      <c r="E90" s="18" t="inlineStr">
        <is>
          <t>920440001102</t>
        </is>
      </c>
      <c r="F90" s="20" t="n"/>
      <c r="G90" s="20" t="n">
        <v>359333.33</v>
      </c>
      <c r="H90" s="19" t="inlineStr"/>
      <c r="I90" s="18" t="inlineStr">
        <is>
          <t>FIN_COST</t>
        </is>
      </c>
      <c r="J90" s="18" t="inlineStr">
        <is>
          <t>Проценты и пени по кредитам</t>
        </is>
      </c>
      <c r="K90" s="19" t="inlineStr"/>
      <c r="L90" s="18" t="inlineStr">
        <is>
          <t>Погашение просроченного вознаграждения по договору ТОО  "WayStar Group", согласно кредитно</t>
        </is>
      </c>
    </row>
    <row r="91">
      <c r="A91" s="18" t="inlineStr">
        <is>
          <t>RBK</t>
        </is>
      </c>
      <c r="B91" s="19" t="inlineStr">
        <is>
          <t>22.06.2026</t>
        </is>
      </c>
      <c r="C91" s="18" t="inlineStr">
        <is>
          <t>АО "Банк "Bank RBK"</t>
        </is>
      </c>
      <c r="D91" s="18" t="inlineStr">
        <is>
          <t>Банк "Bank RBK</t>
        </is>
      </c>
      <c r="E91" s="18" t="inlineStr">
        <is>
          <t>920440001102</t>
        </is>
      </c>
      <c r="F91" s="20" t="n"/>
      <c r="G91" s="20" t="n">
        <v>1162000</v>
      </c>
      <c r="H91" s="19" t="inlineStr"/>
      <c r="I91" s="18" t="inlineStr">
        <is>
          <t>FIN_COST</t>
        </is>
      </c>
      <c r="J91" s="18" t="inlineStr">
        <is>
          <t>Проценты и пени по кредитам</t>
        </is>
      </c>
      <c r="K91" s="19" t="inlineStr"/>
      <c r="L91" s="18" t="inlineStr">
        <is>
          <t>Погашение просроченного вознаграждения по договору ТОО  "WayStar Group", согласно кредитно</t>
        </is>
      </c>
    </row>
    <row r="92">
      <c r="A92" s="18" t="inlineStr">
        <is>
          <t>RBK</t>
        </is>
      </c>
      <c r="B92" s="19" t="inlineStr">
        <is>
          <t>22.06.2026</t>
        </is>
      </c>
      <c r="C92" s="18" t="inlineStr">
        <is>
          <t>АО "Банк "Bank RBK"</t>
        </is>
      </c>
      <c r="D92" s="18" t="inlineStr">
        <is>
          <t>Банк "Bank RBK</t>
        </is>
      </c>
      <c r="E92" s="18" t="inlineStr">
        <is>
          <t>920440001102</t>
        </is>
      </c>
      <c r="F92" s="20" t="n"/>
      <c r="G92" s="20" t="n">
        <v>1411000</v>
      </c>
      <c r="H92" s="19" t="inlineStr"/>
      <c r="I92" s="18" t="inlineStr">
        <is>
          <t>FIN_COST</t>
        </is>
      </c>
      <c r="J92" s="18" t="inlineStr">
        <is>
          <t>Проценты и пени по кредитам</t>
        </is>
      </c>
      <c r="K92" s="19" t="inlineStr"/>
      <c r="L92" s="18" t="inlineStr">
        <is>
          <t>Погашение просроченного вознаграждения по договору ТОО  "WayStar Group", согласно кредитно</t>
        </is>
      </c>
    </row>
    <row r="93">
      <c r="A93" s="18" t="inlineStr">
        <is>
          <t>RBK</t>
        </is>
      </c>
      <c r="B93" s="19" t="inlineStr">
        <is>
          <t>22.06.2026</t>
        </is>
      </c>
      <c r="C93" s="18" t="inlineStr">
        <is>
          <t>АО "Банк "Bank RBK"</t>
        </is>
      </c>
      <c r="D93" s="18" t="inlineStr">
        <is>
          <t>Банк "Bank RBK</t>
        </is>
      </c>
      <c r="E93" s="18" t="inlineStr">
        <is>
          <t>920440001102</t>
        </is>
      </c>
      <c r="F93" s="20" t="n"/>
      <c r="G93" s="20" t="n">
        <v>2100000</v>
      </c>
      <c r="H93" s="19" t="inlineStr"/>
      <c r="I93" s="18" t="inlineStr">
        <is>
          <t>FIN_COST</t>
        </is>
      </c>
      <c r="J93" s="18" t="inlineStr">
        <is>
          <t>Проценты и пени по кредитам</t>
        </is>
      </c>
      <c r="K93" s="19" t="inlineStr"/>
      <c r="L93" s="18" t="inlineStr">
        <is>
          <t>Погашение просроченного вознаграждения по договору ТОО  "WayStar Group", согласно кредитно</t>
        </is>
      </c>
    </row>
    <row r="94">
      <c r="A94" s="18" t="inlineStr">
        <is>
          <t>БЦК</t>
        </is>
      </c>
      <c r="B94" s="19" t="inlineStr">
        <is>
          <t>22.06.2026</t>
        </is>
      </c>
      <c r="C94" s="18" t="inlineStr">
        <is>
          <t>Банк ЦентрКредит для ЗП</t>
        </is>
      </c>
      <c r="D94" s="18" t="inlineStr">
        <is>
          <t>Банк ЦентрКредит для ЗП</t>
        </is>
      </c>
      <c r="E94" s="18" t="inlineStr">
        <is>
          <t>980640000093</t>
        </is>
      </c>
      <c r="F94" s="20" t="n"/>
      <c r="G94" s="20" t="n">
        <v>129535</v>
      </c>
      <c r="H94" s="19" t="inlineStr">
        <is>
          <t>332</t>
        </is>
      </c>
      <c r="I94" s="18" t="inlineStr">
        <is>
          <t>OPEX</t>
        </is>
      </c>
      <c r="J94" s="18" t="inlineStr">
        <is>
          <t>Оплата труда</t>
        </is>
      </c>
      <c r="K94" s="19" t="inlineStr"/>
      <c r="L94" s="18" t="inlineStr">
        <is>
          <t>Для зачисления на картсчета сотрудникам согласно спискам 129 535-00 .</t>
        </is>
      </c>
    </row>
    <row r="95">
      <c r="A95" s="18" t="inlineStr">
        <is>
          <t>БЦК</t>
        </is>
      </c>
      <c r="B95" s="19" t="inlineStr">
        <is>
          <t>22.06.2026</t>
        </is>
      </c>
      <c r="C95" s="18" t="inlineStr">
        <is>
          <t>Центральное отделение №0401</t>
        </is>
      </c>
      <c r="D95" s="18" t="inlineStr">
        <is>
          <t>Центральное отделение №0401</t>
        </is>
      </c>
      <c r="E95" s="18" t="inlineStr">
        <is>
          <t>980741000260</t>
        </is>
      </c>
      <c r="F95" s="20" t="n"/>
      <c r="G95" s="20" t="n">
        <v>210329.25</v>
      </c>
      <c r="H95" s="19" t="inlineStr">
        <is>
          <t>119</t>
        </is>
      </c>
      <c r="I95" s="18" t="inlineStr">
        <is>
          <t>FIN_COST</t>
        </is>
      </c>
      <c r="J95" s="18" t="inlineStr">
        <is>
          <t>Проценты и пени по кредитам</t>
        </is>
      </c>
      <c r="K95" s="19" t="inlineStr"/>
      <c r="L95" s="18" t="inlineStr">
        <is>
          <t>Погашение начисленных пени по просроченному основному долгу по договору № AST/2025/U/O/103</t>
        </is>
      </c>
    </row>
    <row r="96">
      <c r="A96" s="18" t="inlineStr">
        <is>
          <t>БЦК</t>
        </is>
      </c>
      <c r="B96" s="19" t="inlineStr">
        <is>
          <t>22.06.2026</t>
        </is>
      </c>
      <c r="C96" s="18" t="inlineStr">
        <is>
          <t xml:space="preserve">Товарищество с ограниченной ответственностью </t>
        </is>
      </c>
      <c r="D96" s="18" t="inlineStr">
        <is>
          <t>WayStar Group</t>
        </is>
      </c>
      <c r="E96" s="18" t="inlineStr">
        <is>
          <t>240340014287</t>
        </is>
      </c>
      <c r="F96" s="20" t="n"/>
      <c r="G96" s="20" t="n">
        <v>2768801.21</v>
      </c>
      <c r="H96" s="19" t="inlineStr">
        <is>
          <t>342</t>
        </is>
      </c>
      <c r="I96" s="18" t="inlineStr">
        <is>
          <t>INTERNAL</t>
        </is>
      </c>
      <c r="J96" s="18" t="inlineStr">
        <is>
          <t>Переводы между своими счетами</t>
        </is>
      </c>
      <c r="K96" s="19" t="inlineStr"/>
      <c r="L96" s="18" t="inlineStr">
        <is>
          <t>перевод на клс. Без НДС. Переводы клиентом денег с одного своего текущего счета, открытого</t>
        </is>
      </c>
    </row>
    <row r="97">
      <c r="A97" s="18" t="inlineStr">
        <is>
          <t>БЦК</t>
        </is>
      </c>
      <c r="B97" s="19" t="inlineStr">
        <is>
          <t>22.06.2026</t>
        </is>
      </c>
      <c r="C97" s="18" t="inlineStr">
        <is>
          <t>ТОО КТЖ-Грузовые перевозки</t>
        </is>
      </c>
      <c r="D97" s="18" t="inlineStr">
        <is>
          <t>КТЖ-Грузовые перевозки</t>
        </is>
      </c>
      <c r="E97" s="18" t="inlineStr">
        <is>
          <t>031040001799</t>
        </is>
      </c>
      <c r="F97" s="20" t="n"/>
      <c r="G97" s="20" t="n">
        <v>3000000</v>
      </c>
      <c r="H97" s="19" t="inlineStr">
        <is>
          <t>813</t>
        </is>
      </c>
      <c r="I97" s="18" t="inlineStr">
        <is>
          <t>COGS</t>
        </is>
      </c>
      <c r="J97" s="18" t="inlineStr">
        <is>
          <t>Ж/д тариф, вагоны, услуги перевозчиков</t>
        </is>
      </c>
      <c r="K97" s="19" t="inlineStr">
        <is>
          <t>ТЭО</t>
        </is>
      </c>
      <c r="L97" s="18" t="inlineStr">
        <is>
          <t>Без НДС, 4185494, Платежи за услуги железнодорожного транспорта</t>
        </is>
      </c>
    </row>
    <row r="98">
      <c r="A98" s="18" t="inlineStr">
        <is>
          <t>БЦК</t>
        </is>
      </c>
      <c r="B98" s="19" t="inlineStr">
        <is>
          <t>22.06.2026</t>
        </is>
      </c>
      <c r="C98" s="18" t="inlineStr">
        <is>
          <t>ТОО КТЖ-Грузовые перевозки</t>
        </is>
      </c>
      <c r="D98" s="18" t="inlineStr">
        <is>
          <t>КТЖ-Грузовые перевозки</t>
        </is>
      </c>
      <c r="E98" s="18" t="inlineStr">
        <is>
          <t>031040001799</t>
        </is>
      </c>
      <c r="F98" s="20" t="n"/>
      <c r="G98" s="20" t="n">
        <v>5000000</v>
      </c>
      <c r="H98" s="19" t="inlineStr">
        <is>
          <t>813</t>
        </is>
      </c>
      <c r="I98" s="18" t="inlineStr">
        <is>
          <t>COGS</t>
        </is>
      </c>
      <c r="J98" s="18" t="inlineStr">
        <is>
          <t>Ж/д тариф, вагоны, услуги перевозчиков</t>
        </is>
      </c>
      <c r="K98" s="19" t="inlineStr">
        <is>
          <t>ТЭО</t>
        </is>
      </c>
      <c r="L98" s="18" t="inlineStr">
        <is>
          <t>Без НДС, 4185494, Платежи за услуги железнодорожного транспорта</t>
        </is>
      </c>
    </row>
    <row r="99">
      <c r="A99" s="18" t="inlineStr">
        <is>
          <t>БЦК</t>
        </is>
      </c>
      <c r="B99" s="19" t="inlineStr">
        <is>
          <t>22.06.2026</t>
        </is>
      </c>
      <c r="C99" s="18" t="inlineStr">
        <is>
          <t xml:space="preserve">Товарищество с ограниченной ответственностью </t>
        </is>
      </c>
      <c r="D99" s="18" t="inlineStr">
        <is>
          <t>WayStar Group</t>
        </is>
      </c>
      <c r="E99" s="18" t="inlineStr">
        <is>
          <t>240340014287</t>
        </is>
      </c>
      <c r="F99" s="20" t="n"/>
      <c r="G99" s="20" t="n">
        <v>5400000</v>
      </c>
      <c r="H99" s="19" t="inlineStr">
        <is>
          <t>343</t>
        </is>
      </c>
      <c r="I99" s="18" t="inlineStr">
        <is>
          <t>INTERNAL</t>
        </is>
      </c>
      <c r="J99" s="18" t="inlineStr">
        <is>
          <t>Переводы между своими счетами</t>
        </is>
      </c>
      <c r="K99" s="19" t="inlineStr"/>
      <c r="L99" s="18" t="inlineStr">
        <is>
          <t xml:space="preserve">перевод на другой счет. Без НДС. Переводы клиентом денег со своего текущего счета в одном </t>
        </is>
      </c>
    </row>
    <row r="100">
      <c r="A100" s="18" t="inlineStr">
        <is>
          <t>БЦК</t>
        </is>
      </c>
      <c r="B100" s="19" t="inlineStr">
        <is>
          <t>22.06.2026</t>
        </is>
      </c>
      <c r="C100" s="18" t="inlineStr">
        <is>
          <t xml:space="preserve">Товарищество с ограниченной ответственностью </t>
        </is>
      </c>
      <c r="D100" s="18" t="inlineStr">
        <is>
          <t>WayStar Group</t>
        </is>
      </c>
      <c r="E100" s="18" t="inlineStr">
        <is>
          <t>240340014287</t>
        </is>
      </c>
      <c r="F100" s="20" t="n"/>
      <c r="G100" s="20" t="n">
        <v>5887712.95</v>
      </c>
      <c r="H100" s="19" t="inlineStr">
        <is>
          <t>312</t>
        </is>
      </c>
      <c r="I100" s="18" t="inlineStr">
        <is>
          <t>TREASURY</t>
        </is>
      </c>
      <c r="J100" s="18" t="inlineStr">
        <is>
          <t>Размещение депозита</t>
        </is>
      </c>
      <c r="K100" s="19" t="inlineStr"/>
      <c r="L100" s="18" t="inlineStr">
        <is>
          <t>Размещение вклада</t>
        </is>
      </c>
    </row>
    <row r="101">
      <c r="A101" s="18" t="inlineStr">
        <is>
          <t>БЦК</t>
        </is>
      </c>
      <c r="B101" s="19" t="inlineStr">
        <is>
          <t>22.06.2026</t>
        </is>
      </c>
      <c r="C101" s="18" t="inlineStr">
        <is>
          <t>АО "Банк ЦентрКредит"</t>
        </is>
      </c>
      <c r="D101" s="18" t="inlineStr">
        <is>
          <t>Банк ЦентрКредит</t>
        </is>
      </c>
      <c r="E101" s="18" t="inlineStr">
        <is>
          <t>980640000093</t>
        </is>
      </c>
      <c r="F101" s="20" t="n"/>
      <c r="G101" s="20" t="n">
        <v>25327821.59</v>
      </c>
      <c r="H101" s="19" t="inlineStr">
        <is>
          <t>423</t>
        </is>
      </c>
      <c r="I101" s="18" t="inlineStr">
        <is>
          <t>FIN_COST</t>
        </is>
      </c>
      <c r="J101" s="18" t="inlineStr">
        <is>
          <t>Проценты и пени по кредитам</t>
        </is>
      </c>
      <c r="K101" s="19" t="inlineStr"/>
      <c r="L101" s="18" t="inlineStr">
        <is>
          <t>ПТ № 4776499 от 21.06.2026. Частичная оплата К2.Безакцептное погашение задолженности Товар</t>
        </is>
      </c>
    </row>
    <row r="102">
      <c r="A102" s="18" t="inlineStr">
        <is>
          <t>БЦК</t>
        </is>
      </c>
      <c r="B102" s="19" t="inlineStr">
        <is>
          <t>22.06.2026</t>
        </is>
      </c>
      <c r="C102" s="18" t="inlineStr">
        <is>
          <t xml:space="preserve">Товарищество с ограниченной ответственностью </t>
        </is>
      </c>
      <c r="D102" s="18" t="inlineStr">
        <is>
          <t>WayStar Group</t>
        </is>
      </c>
      <c r="E102" s="18" t="inlineStr">
        <is>
          <t>240340014287</t>
        </is>
      </c>
      <c r="F102" s="20" t="n">
        <v>3000000</v>
      </c>
      <c r="G102" s="20" t="n"/>
      <c r="H102" s="19" t="inlineStr">
        <is>
          <t>321</t>
        </is>
      </c>
      <c r="I102" s="18" t="inlineStr">
        <is>
          <t>TREASURY</t>
        </is>
      </c>
      <c r="J102" s="18" t="inlineStr">
        <is>
          <t>Снятие/возврат депозита</t>
        </is>
      </c>
      <c r="K102" s="19" t="inlineStr"/>
      <c r="L102" s="18" t="inlineStr">
        <is>
          <t>Без НДС. Снятие со вклада до востребования (открытых на основании договора банковского вкл</t>
        </is>
      </c>
    </row>
    <row r="103">
      <c r="A103" s="18" t="inlineStr">
        <is>
          <t>БЦК</t>
        </is>
      </c>
      <c r="B103" s="19" t="inlineStr">
        <is>
          <t>22.06.2026</t>
        </is>
      </c>
      <c r="C103" s="18" t="inlineStr">
        <is>
          <t>Данияр Алим</t>
        </is>
      </c>
      <c r="D103" s="18" t="inlineStr">
        <is>
          <t>Данияр Алим</t>
        </is>
      </c>
      <c r="E103" s="18" t="inlineStr">
        <is>
          <t>020420550046</t>
        </is>
      </c>
      <c r="F103" s="20" t="n">
        <v>4724200</v>
      </c>
      <c r="G103" s="20" t="n"/>
      <c r="H103" s="19" t="inlineStr">
        <is>
          <t>421</t>
        </is>
      </c>
      <c r="I103" s="18" t="inlineStr">
        <is>
          <t>FINANCING</t>
        </is>
      </c>
      <c r="J103" s="18" t="inlineStr">
        <is>
          <t>Займы полученные / возврат выданных</t>
        </is>
      </c>
      <c r="K103" s="19" t="inlineStr"/>
      <c r="L103" s="18" t="inlineStr">
        <is>
          <t>Перевод с счета KZ658562204136676815 на счета KZ768562203136652401 через систему BCC.KZ. И</t>
        </is>
      </c>
    </row>
    <row r="104">
      <c r="A104" s="18" t="inlineStr">
        <is>
          <t>БЦК</t>
        </is>
      </c>
      <c r="B104" s="19" t="inlineStr">
        <is>
          <t>22.06.2026</t>
        </is>
      </c>
      <c r="C104" s="18" t="inlineStr">
        <is>
          <t>ТОО "Mining Consulting Group"</t>
        </is>
      </c>
      <c r="D104" s="18" t="inlineStr">
        <is>
          <t>Mining Consulting Group</t>
        </is>
      </c>
      <c r="E104" s="18" t="inlineStr">
        <is>
          <t>190440040941</t>
        </is>
      </c>
      <c r="F104" s="20" t="n">
        <v>40000000</v>
      </c>
      <c r="G104" s="20" t="n"/>
      <c r="H104" s="19" t="inlineStr">
        <is>
          <t>421</t>
        </is>
      </c>
      <c r="I104" s="18" t="inlineStr">
        <is>
          <t>FINANCING</t>
        </is>
      </c>
      <c r="J104" s="18" t="inlineStr">
        <is>
          <t>Займы полученные / возврат выданных</t>
        </is>
      </c>
      <c r="K104" s="19" t="inlineStr"/>
      <c r="L104" s="18" t="inlineStr">
        <is>
          <t>За погашение краткосрочных займов (не более одного года). Возврат согласно Договора о врем</t>
        </is>
      </c>
    </row>
    <row r="105">
      <c r="A105" s="18" t="inlineStr">
        <is>
          <t>Halyk</t>
        </is>
      </c>
      <c r="B105" s="19" t="inlineStr">
        <is>
          <t>23.06.2026</t>
        </is>
      </c>
      <c r="C105" s="18" t="inlineStr">
        <is>
          <t>ТОО Каз Алтын Групп</t>
        </is>
      </c>
      <c r="D105" s="18" t="inlineStr">
        <is>
          <t>Каз Алтын Групп</t>
        </is>
      </c>
      <c r="E105" s="18" t="inlineStr">
        <is>
          <t>140940002482</t>
        </is>
      </c>
      <c r="F105" s="20" t="n">
        <v>220000</v>
      </c>
      <c r="G105" s="20" t="n"/>
      <c r="H105" s="19" t="inlineStr">
        <is>
          <t>813</t>
        </is>
      </c>
      <c r="I105" s="18" t="inlineStr">
        <is>
          <t>REVENUE</t>
        </is>
      </c>
      <c r="J105" s="18" t="inlineStr">
        <is>
          <t>Выручка: транспортно-логистические услуги</t>
        </is>
      </c>
      <c r="K105" s="19" t="inlineStr">
        <is>
          <t>ТЭО</t>
        </is>
      </c>
      <c r="L105" s="18" t="inlineStr">
        <is>
          <t>Референс 3995839130 Оплата за услуги по счету № 145 от 23.06.2026г. Без НДС. Платежи за ус</t>
        </is>
      </c>
    </row>
    <row r="106">
      <c r="A106" s="18" t="inlineStr">
        <is>
          <t>Halyk</t>
        </is>
      </c>
      <c r="B106" s="19" t="inlineStr">
        <is>
          <t>23.06.2026</t>
        </is>
      </c>
      <c r="C106" s="18" t="inlineStr">
        <is>
          <t>ТОО "WayStar Group"</t>
        </is>
      </c>
      <c r="D106" s="18" t="inlineStr">
        <is>
          <t>WayStar Group</t>
        </is>
      </c>
      <c r="E106" s="18" t="inlineStr">
        <is>
          <t>240340014287</t>
        </is>
      </c>
      <c r="F106" s="20" t="n"/>
      <c r="G106" s="20" t="n">
        <v>6347793</v>
      </c>
      <c r="H106" s="19" t="inlineStr">
        <is>
          <t>343</t>
        </is>
      </c>
      <c r="I106" s="18" t="inlineStr">
        <is>
          <t>INTERNAL</t>
        </is>
      </c>
      <c r="J106" s="18" t="inlineStr">
        <is>
          <t>Переводы между своими счетами</t>
        </is>
      </c>
      <c r="K106" s="19" t="inlineStr"/>
      <c r="L106" s="18" t="inlineStr">
        <is>
          <t>Референс 3995270091 на другой счет Переводы клиентом денег со своего текущего счета в одно</t>
        </is>
      </c>
    </row>
    <row r="107">
      <c r="A107" s="18" t="inlineStr">
        <is>
          <t>Halyk</t>
        </is>
      </c>
      <c r="B107" s="19" t="inlineStr">
        <is>
          <t>23.06.2026</t>
        </is>
      </c>
      <c r="C107" s="18" t="inlineStr">
        <is>
          <t>ТОО "ResursLogistiс (РесурсЛогистик)"</t>
        </is>
      </c>
      <c r="D107" s="18" t="inlineStr">
        <is>
          <t>ResursLogistiс (РесурсЛогистик)</t>
        </is>
      </c>
      <c r="E107" s="18" t="inlineStr">
        <is>
          <t>230940036377</t>
        </is>
      </c>
      <c r="F107" s="20" t="n">
        <v>4671993</v>
      </c>
      <c r="G107" s="20" t="n"/>
      <c r="H107" s="19" t="inlineStr">
        <is>
          <t>813</t>
        </is>
      </c>
      <c r="I107" s="18" t="inlineStr">
        <is>
          <t>REVENUE</t>
        </is>
      </c>
      <c r="J107" s="18" t="inlineStr">
        <is>
          <t>Выручка: транспортно-логистические услуги</t>
        </is>
      </c>
      <c r="K107" s="19" t="inlineStr">
        <is>
          <t>ТЭО</t>
        </is>
      </c>
      <c r="L107" s="18" t="inlineStr">
        <is>
          <t>Референс 3995125478 Порожний транзит вагонов с/но договора №2026/03-14 от 05.03.26 г., сче</t>
        </is>
      </c>
    </row>
    <row r="108">
      <c r="A108" s="18" t="inlineStr">
        <is>
          <t>Halyk</t>
        </is>
      </c>
      <c r="B108" s="19" t="inlineStr">
        <is>
          <t>23.06.2026</t>
        </is>
      </c>
      <c r="C108" s="18" t="inlineStr">
        <is>
          <t>ТОО "Serpin Logistic"</t>
        </is>
      </c>
      <c r="D108" s="18" t="inlineStr">
        <is>
          <t>Serpin Logistic</t>
        </is>
      </c>
      <c r="E108" s="18" t="inlineStr">
        <is>
          <t>260340004848</t>
        </is>
      </c>
      <c r="F108" s="20" t="n">
        <v>550000</v>
      </c>
      <c r="G108" s="20" t="n"/>
      <c r="H108" s="19" t="inlineStr">
        <is>
          <t>813</t>
        </is>
      </c>
      <c r="I108" s="18" t="inlineStr">
        <is>
          <t>REVENUE</t>
        </is>
      </c>
      <c r="J108" s="18" t="inlineStr">
        <is>
          <t>Выручка: транспортно-логистические услуги</t>
        </is>
      </c>
      <c r="K108" s="19" t="inlineStr">
        <is>
          <t>ТЭО</t>
        </is>
      </c>
      <c r="L108" s="18" t="inlineStr">
        <is>
          <t>Референс 3994874479 Оплата Ж/Д тарифа, согласно счета на оплату №000000127 от 04 июня 2026</t>
        </is>
      </c>
    </row>
    <row r="109">
      <c r="A109" s="18" t="inlineStr">
        <is>
          <t>БЦК</t>
        </is>
      </c>
      <c r="B109" s="19" t="inlineStr">
        <is>
          <t>23.06.2026</t>
        </is>
      </c>
      <c r="C109" s="18" t="inlineStr">
        <is>
          <t>Центральное отделение №0401</t>
        </is>
      </c>
      <c r="D109" s="18" t="inlineStr">
        <is>
          <t>Центральное отделение №0401</t>
        </is>
      </c>
      <c r="E109" s="18" t="inlineStr">
        <is>
          <t>980741000260</t>
        </is>
      </c>
      <c r="F109" s="20" t="n"/>
      <c r="G109" s="20" t="n">
        <v>336.75</v>
      </c>
      <c r="H109" s="19" t="inlineStr">
        <is>
          <t>119</t>
        </is>
      </c>
      <c r="I109" s="18" t="inlineStr">
        <is>
          <t>FIN_COST</t>
        </is>
      </c>
      <c r="J109" s="18" t="inlineStr">
        <is>
          <t>Проценты и пени по кредитам</t>
        </is>
      </c>
      <c r="K109" s="19" t="inlineStr"/>
      <c r="L109" s="18" t="inlineStr">
        <is>
          <t>Погашение начисленных пени по просроченному вознаграждению по договору № AST/2025/U/O/1034</t>
        </is>
      </c>
    </row>
    <row r="110">
      <c r="A110" s="18" t="inlineStr">
        <is>
          <t>БЦК</t>
        </is>
      </c>
      <c r="B110" s="19" t="inlineStr">
        <is>
          <t>23.06.2026</t>
        </is>
      </c>
      <c r="C110" s="18" t="inlineStr">
        <is>
          <t>Центральное отделение №0401</t>
        </is>
      </c>
      <c r="D110" s="18" t="inlineStr">
        <is>
          <t>Центральное отделение №0401</t>
        </is>
      </c>
      <c r="E110" s="18" t="inlineStr">
        <is>
          <t>980741000260</t>
        </is>
      </c>
      <c r="F110" s="20" t="n"/>
      <c r="G110" s="20" t="n">
        <v>638.35</v>
      </c>
      <c r="H110" s="19" t="inlineStr">
        <is>
          <t>119</t>
        </is>
      </c>
      <c r="I110" s="18" t="inlineStr">
        <is>
          <t>FIN_COST</t>
        </is>
      </c>
      <c r="J110" s="18" t="inlineStr">
        <is>
          <t>Проценты и пени по кредитам</t>
        </is>
      </c>
      <c r="K110" s="19" t="inlineStr"/>
      <c r="L110" s="18" t="inlineStr">
        <is>
          <t>Погашение начисленных пени по просроченному основному долгу по договору № AST/2025/U/O/103</t>
        </is>
      </c>
    </row>
    <row r="111">
      <c r="A111" s="18" t="inlineStr">
        <is>
          <t>БЦК</t>
        </is>
      </c>
      <c r="B111" s="19" t="inlineStr">
        <is>
          <t>23.06.2026</t>
        </is>
      </c>
      <c r="C111" s="18" t="inlineStr">
        <is>
          <t>Центральное отделение №0401</t>
        </is>
      </c>
      <c r="D111" s="18" t="inlineStr">
        <is>
          <t>Центральное отделение №0401</t>
        </is>
      </c>
      <c r="E111" s="18" t="inlineStr">
        <is>
          <t>980741000260</t>
        </is>
      </c>
      <c r="F111" s="20" t="n"/>
      <c r="G111" s="20" t="n">
        <v>4562.51</v>
      </c>
      <c r="H111" s="19" t="inlineStr">
        <is>
          <t>119</t>
        </is>
      </c>
      <c r="I111" s="18" t="inlineStr">
        <is>
          <t>FIN_COST</t>
        </is>
      </c>
      <c r="J111" s="18" t="inlineStr">
        <is>
          <t>Проценты и пени по кредитам</t>
        </is>
      </c>
      <c r="K111" s="19" t="inlineStr"/>
      <c r="L111" s="18" t="inlineStr">
        <is>
          <t>Погашение начисленных пени по просроченному основному долгу по договору № AST/2025/U/O/103</t>
        </is>
      </c>
    </row>
    <row r="112">
      <c r="A112" s="18" t="inlineStr">
        <is>
          <t>БЦК</t>
        </is>
      </c>
      <c r="B112" s="19" t="inlineStr">
        <is>
          <t>23.06.2026</t>
        </is>
      </c>
      <c r="C112" s="18" t="inlineStr">
        <is>
          <t xml:space="preserve">Товарищество с ограниченной ответственностью </t>
        </is>
      </c>
      <c r="D112" s="18" t="inlineStr">
        <is>
          <t>Office-Expert.kz</t>
        </is>
      </c>
      <c r="E112" s="18" t="inlineStr">
        <is>
          <t>110840005091</t>
        </is>
      </c>
      <c r="F112" s="20" t="n"/>
      <c r="G112" s="20" t="n">
        <v>58985</v>
      </c>
      <c r="H112" s="19" t="inlineStr">
        <is>
          <t>710</t>
        </is>
      </c>
      <c r="I112" s="18" t="inlineStr">
        <is>
          <t>OPEX</t>
        </is>
      </c>
      <c r="J112" s="18" t="inlineStr">
        <is>
          <t>ТМЦ / офисные расходы</t>
        </is>
      </c>
      <c r="K112" s="19" t="inlineStr"/>
      <c r="L112" s="18" t="inlineStr">
        <is>
          <t>Счет на оплату № 892125 от 23 июня 2026 г. канцтовары</t>
        </is>
      </c>
    </row>
    <row r="113">
      <c r="A113" s="18" t="inlineStr">
        <is>
          <t>БЦК</t>
        </is>
      </c>
      <c r="B113" s="19" t="inlineStr">
        <is>
          <t>23.06.2026</t>
        </is>
      </c>
      <c r="C113" s="18" t="inlineStr">
        <is>
          <t xml:space="preserve">Товарищество с ограниченной ответственностью </t>
        </is>
      </c>
      <c r="D113" s="18" t="inlineStr">
        <is>
          <t>WayStar Group</t>
        </is>
      </c>
      <c r="E113" s="18" t="inlineStr">
        <is>
          <t>240340014287</t>
        </is>
      </c>
      <c r="F113" s="20" t="n"/>
      <c r="G113" s="20" t="n">
        <v>100000</v>
      </c>
      <c r="H113" s="19" t="inlineStr">
        <is>
          <t>312</t>
        </is>
      </c>
      <c r="I113" s="18" t="inlineStr">
        <is>
          <t>TREASURY</t>
        </is>
      </c>
      <c r="J113" s="18" t="inlineStr">
        <is>
          <t>Размещение депозита</t>
        </is>
      </c>
      <c r="K113" s="19" t="inlineStr"/>
      <c r="L113" s="18" t="inlineStr">
        <is>
          <t>на депозит. Без НДС. Размещение краткосрочных вкладов (не более одного года)</t>
        </is>
      </c>
    </row>
    <row r="114">
      <c r="A114" s="18" t="inlineStr">
        <is>
          <t>БЦК</t>
        </is>
      </c>
      <c r="B114" s="19" t="inlineStr">
        <is>
          <t>23.06.2026</t>
        </is>
      </c>
      <c r="C114" s="18" t="inlineStr">
        <is>
          <t>Ашимов Арсен Беклербекович</t>
        </is>
      </c>
      <c r="D114" s="18" t="inlineStr">
        <is>
          <t>Ашимов Арсен Беклербекович</t>
        </is>
      </c>
      <c r="E114" s="18" t="inlineStr">
        <is>
          <t>901023350171</t>
        </is>
      </c>
      <c r="F114" s="20" t="n"/>
      <c r="G114" s="20" t="n">
        <v>103800</v>
      </c>
      <c r="H114" s="19" t="inlineStr">
        <is>
          <t>871</t>
        </is>
      </c>
      <c r="I114" s="18" t="inlineStr">
        <is>
          <t>OPEX</t>
        </is>
      </c>
      <c r="J114" s="18" t="inlineStr">
        <is>
          <t>Командировочные / поездки</t>
        </is>
      </c>
      <c r="K114" s="19" t="inlineStr"/>
      <c r="L114" s="18" t="inlineStr">
        <is>
          <t>Ашимов Арсен Беклербекович суточные Астана- Шанхай -Астана 24 МРП(4325тг) с 23.06. Без НДС</t>
        </is>
      </c>
    </row>
    <row r="115">
      <c r="A115" s="18" t="inlineStr">
        <is>
          <t>БЦК</t>
        </is>
      </c>
      <c r="B115" s="19" t="inlineStr">
        <is>
          <t>23.06.2026</t>
        </is>
      </c>
      <c r="C115" s="18" t="inlineStr">
        <is>
          <t>Алим</t>
        </is>
      </c>
      <c r="D115" s="18" t="inlineStr">
        <is>
          <t>Алим</t>
        </is>
      </c>
      <c r="E115" s="18" t="inlineStr">
        <is>
          <t>020420550046</t>
        </is>
      </c>
      <c r="F115" s="20" t="n"/>
      <c r="G115" s="20" t="n">
        <v>138400</v>
      </c>
      <c r="H115" s="19" t="inlineStr">
        <is>
          <t>871</t>
        </is>
      </c>
      <c r="I115" s="18" t="inlineStr">
        <is>
          <t>OPEX</t>
        </is>
      </c>
      <c r="J115" s="18" t="inlineStr">
        <is>
          <t>Командировочные / поездки</t>
        </is>
      </c>
      <c r="K115" s="19" t="inlineStr"/>
      <c r="L115" s="18" t="inlineStr">
        <is>
          <t xml:space="preserve">Данияр Алим Суточные Астана- Шанхай -Астана 32 МРП(4325тг) с 23.06 4 кд. Без НДС. Платежи </t>
        </is>
      </c>
    </row>
    <row r="116">
      <c r="A116" s="18" t="inlineStr">
        <is>
          <t>БЦК</t>
        </is>
      </c>
      <c r="B116" s="19" t="inlineStr">
        <is>
          <t>23.06.2026</t>
        </is>
      </c>
      <c r="C116" s="18" t="inlineStr">
        <is>
          <t xml:space="preserve">Товарищество с ограниченной ответственностью </t>
        </is>
      </c>
      <c r="D116" s="18" t="inlineStr">
        <is>
          <t>WayStar Group</t>
        </is>
      </c>
      <c r="E116" s="18" t="inlineStr">
        <is>
          <t>240340014287</t>
        </is>
      </c>
      <c r="F116" s="20" t="n"/>
      <c r="G116" s="20" t="n">
        <v>168371.21</v>
      </c>
      <c r="H116" s="19" t="inlineStr">
        <is>
          <t>421</t>
        </is>
      </c>
      <c r="I116" s="18" t="inlineStr">
        <is>
          <t>FINANCING</t>
        </is>
      </c>
      <c r="J116" s="18" t="inlineStr">
        <is>
          <t>Погашение / выдача займов</t>
        </is>
      </c>
      <c r="K116" s="19" t="inlineStr"/>
      <c r="L116" s="18" t="inlineStr">
        <is>
          <t>Погашение просроченного вознаграждения по договору № AST/2025/U/O/1034171681 от . Заемщик:</t>
        </is>
      </c>
    </row>
    <row r="117">
      <c r="A117" s="18" t="inlineStr">
        <is>
          <t>БЦК</t>
        </is>
      </c>
      <c r="B117" s="19" t="inlineStr">
        <is>
          <t>23.06.2026</t>
        </is>
      </c>
      <c r="C117" s="18" t="inlineStr">
        <is>
          <t>Производственный кооператив "ИБРАЕВ+К"</t>
        </is>
      </c>
      <c r="D117" s="18" t="inlineStr">
        <is>
          <t>ИБРАЕВ+К</t>
        </is>
      </c>
      <c r="E117" s="18" t="inlineStr">
        <is>
          <t>000940000567</t>
        </is>
      </c>
      <c r="F117" s="20" t="n"/>
      <c r="G117" s="20" t="n">
        <v>232000</v>
      </c>
      <c r="H117" s="19" t="inlineStr">
        <is>
          <t>822</t>
        </is>
      </c>
      <c r="I117" s="18" t="inlineStr">
        <is>
          <t>COGS</t>
        </is>
      </c>
      <c r="J117" s="18" t="inlineStr">
        <is>
          <t>Ремонт и ТО вагонов</t>
        </is>
      </c>
      <c r="K117" s="19" t="inlineStr">
        <is>
          <t>ТЭО</t>
        </is>
      </c>
      <c r="L117" s="18" t="inlineStr">
        <is>
          <t>Счет на оплату № 41 от 22.06.2026 г. Текущий ремонт колесной пары с обточкой</t>
        </is>
      </c>
    </row>
    <row r="118">
      <c r="A118" s="18" t="inlineStr">
        <is>
          <t>БЦК</t>
        </is>
      </c>
      <c r="B118" s="19" t="inlineStr">
        <is>
          <t>23.06.2026</t>
        </is>
      </c>
      <c r="C118" s="18" t="inlineStr">
        <is>
          <t>Алматинский Городской Филиал  Акционерного Об</t>
        </is>
      </c>
      <c r="D118" s="18" t="inlineStr">
        <is>
          <t>Алматинский Городской Филиал  Акционерного Общества "Банк ЦентрКредит</t>
        </is>
      </c>
      <c r="E118" s="18" t="inlineStr">
        <is>
          <t>981141000668</t>
        </is>
      </c>
      <c r="F118" s="20" t="n"/>
      <c r="G118" s="20" t="n">
        <v>379925</v>
      </c>
      <c r="H118" s="19" t="inlineStr">
        <is>
          <t>841</t>
        </is>
      </c>
      <c r="I118" s="18" t="inlineStr">
        <is>
          <t>OPEX</t>
        </is>
      </c>
      <c r="J118" s="18" t="inlineStr">
        <is>
          <t>Банковские услуги</t>
        </is>
      </c>
      <c r="K118" s="19" t="inlineStr"/>
      <c r="L118" s="18" t="inlineStr">
        <is>
          <t>Погашение Z_077_CL100_002 Комиссия за организацию инструмента финансирования, НДС не облаг</t>
        </is>
      </c>
    </row>
    <row r="119">
      <c r="A119" s="18" t="inlineStr">
        <is>
          <t>БЦК</t>
        </is>
      </c>
      <c r="B119" s="19" t="inlineStr">
        <is>
          <t>23.06.2026</t>
        </is>
      </c>
      <c r="C119" s="18" t="inlineStr">
        <is>
          <t>Акционерное общество "Банк "Bank RBK"</t>
        </is>
      </c>
      <c r="D119" s="18" t="inlineStr">
        <is>
          <t>Банк "Bank RBK</t>
        </is>
      </c>
      <c r="E119" s="18" t="inlineStr">
        <is>
          <t>920440001102</t>
        </is>
      </c>
      <c r="F119" s="20" t="n"/>
      <c r="G119" s="20" t="n">
        <v>548485</v>
      </c>
      <c r="H119" s="19" t="inlineStr">
        <is>
          <t>332</t>
        </is>
      </c>
      <c r="I119" s="18" t="inlineStr">
        <is>
          <t>OPEX</t>
        </is>
      </c>
      <c r="J119" s="18" t="inlineStr">
        <is>
          <t>Оплата труда</t>
        </is>
      </c>
      <c r="K119" s="19" t="inlineStr"/>
      <c r="L119" s="18" t="inlineStr">
        <is>
          <t>Для зачисления на картсчета сотрудникам согласно спискам 548 485-00 .</t>
        </is>
      </c>
    </row>
    <row r="120">
      <c r="A120" s="18" t="inlineStr">
        <is>
          <t>БЦК</t>
        </is>
      </c>
      <c r="B120" s="19" t="inlineStr">
        <is>
          <t>23.06.2026</t>
        </is>
      </c>
      <c r="C120" s="18" t="inlineStr">
        <is>
          <t xml:space="preserve">Товарищество с ограниченной ответственностью </t>
        </is>
      </c>
      <c r="D120" s="18" t="inlineStr">
        <is>
          <t>ЛОГСОФТ</t>
        </is>
      </c>
      <c r="E120" s="18" t="inlineStr">
        <is>
          <t>121040015163</t>
        </is>
      </c>
      <c r="F120" s="20" t="n"/>
      <c r="G120" s="20" t="n">
        <v>587772</v>
      </c>
      <c r="H120" s="19" t="inlineStr">
        <is>
          <t>851</t>
        </is>
      </c>
      <c r="I120" s="18" t="inlineStr">
        <is>
          <t>OPEX</t>
        </is>
      </c>
      <c r="J120" s="18" t="inlineStr">
        <is>
          <t>Прочие услуги и расходы</t>
        </is>
      </c>
      <c r="K120" s="19" t="inlineStr"/>
      <c r="L120" s="18" t="inlineStr">
        <is>
          <t>Договор №98-ПО/24 от 04.10.2024г Счет на оплату № 1287 от 22 июня 2026 г.</t>
        </is>
      </c>
    </row>
    <row r="121">
      <c r="A121" s="18" t="inlineStr">
        <is>
          <t>БЦК</t>
        </is>
      </c>
      <c r="B121" s="19" t="inlineStr">
        <is>
          <t>23.06.2026</t>
        </is>
      </c>
      <c r="C121" s="18" t="inlineStr">
        <is>
          <t xml:space="preserve">Товарищество с ограниченной ответственностью </t>
        </is>
      </c>
      <c r="D121" s="18" t="inlineStr">
        <is>
          <t>WayStar Group</t>
        </is>
      </c>
      <c r="E121" s="18" t="inlineStr">
        <is>
          <t>240340014287</t>
        </is>
      </c>
      <c r="F121" s="20" t="n"/>
      <c r="G121" s="20" t="n">
        <v>2600430</v>
      </c>
      <c r="H121" s="19" t="inlineStr">
        <is>
          <t>421</t>
        </is>
      </c>
      <c r="I121" s="18" t="inlineStr">
        <is>
          <t>FINANCING</t>
        </is>
      </c>
      <c r="J121" s="18" t="inlineStr">
        <is>
          <t>Погашение / выдача займов</t>
        </is>
      </c>
      <c r="K121" s="19" t="inlineStr"/>
      <c r="L121" s="18" t="inlineStr">
        <is>
          <t>Погашение просроченного основного долга по договору № AST/2025/U/O/1034171681 от . Заемщик</t>
        </is>
      </c>
    </row>
    <row r="122">
      <c r="A122" s="18" t="inlineStr">
        <is>
          <t>БЦК</t>
        </is>
      </c>
      <c r="B122" s="19" t="inlineStr">
        <is>
          <t>23.06.2026</t>
        </is>
      </c>
      <c r="C122" s="18" t="inlineStr">
        <is>
          <t>Индивидуальный предприниматель "Biznesplan.on</t>
        </is>
      </c>
      <c r="D122" s="18" t="inlineStr">
        <is>
          <t>Biznesplan.online</t>
        </is>
      </c>
      <c r="E122" s="18" t="inlineStr">
        <is>
          <t>010516650121</t>
        </is>
      </c>
      <c r="F122" s="20" t="n"/>
      <c r="G122" s="20" t="n">
        <v>2650000</v>
      </c>
      <c r="H122" s="19" t="inlineStr">
        <is>
          <t>859</t>
        </is>
      </c>
      <c r="I122" s="18" t="inlineStr">
        <is>
          <t>OPEX</t>
        </is>
      </c>
      <c r="J122" s="18" t="inlineStr">
        <is>
          <t>Прочие услуги и расходы</t>
        </is>
      </c>
      <c r="K122" s="19" t="inlineStr"/>
      <c r="L122" s="18" t="inlineStr">
        <is>
          <t>Договор №101 от 31.01.2026 г.остаток</t>
        </is>
      </c>
    </row>
    <row r="123">
      <c r="A123" s="18" t="inlineStr">
        <is>
          <t>БЦК</t>
        </is>
      </c>
      <c r="B123" s="19" t="inlineStr">
        <is>
          <t>23.06.2026</t>
        </is>
      </c>
      <c r="C123" s="18" t="inlineStr">
        <is>
          <t>ТОО КТЖ-Грузовые перевозки</t>
        </is>
      </c>
      <c r="D123" s="18" t="inlineStr">
        <is>
          <t>КТЖ-Грузовые перевозки</t>
        </is>
      </c>
      <c r="E123" s="18" t="inlineStr">
        <is>
          <t>031040001799</t>
        </is>
      </c>
      <c r="F123" s="20" t="n"/>
      <c r="G123" s="20" t="n">
        <v>5000000</v>
      </c>
      <c r="H123" s="19" t="inlineStr">
        <is>
          <t>813</t>
        </is>
      </c>
      <c r="I123" s="18" t="inlineStr">
        <is>
          <t>COGS</t>
        </is>
      </c>
      <c r="J123" s="18" t="inlineStr">
        <is>
          <t>Ж/д тариф, вагоны, услуги перевозчиков</t>
        </is>
      </c>
      <c r="K123" s="19" t="inlineStr">
        <is>
          <t>ТЭО</t>
        </is>
      </c>
      <c r="L123" s="18" t="inlineStr">
        <is>
          <t>Без НДС, 4185494, Платежи за услуги железнодорожного транспорта</t>
        </is>
      </c>
    </row>
    <row r="124">
      <c r="A124" s="18" t="inlineStr">
        <is>
          <t>БЦК</t>
        </is>
      </c>
      <c r="B124" s="19" t="inlineStr">
        <is>
          <t>23.06.2026</t>
        </is>
      </c>
      <c r="C124" s="18" t="inlineStr">
        <is>
          <t>ТОО КТЖ-Грузовые перевозки</t>
        </is>
      </c>
      <c r="D124" s="18" t="inlineStr">
        <is>
          <t>КТЖ-Грузовые перевозки</t>
        </is>
      </c>
      <c r="E124" s="18" t="inlineStr">
        <is>
          <t>031040001799</t>
        </is>
      </c>
      <c r="F124" s="20" t="n"/>
      <c r="G124" s="20" t="n">
        <v>5000000</v>
      </c>
      <c r="H124" s="19" t="inlineStr">
        <is>
          <t>813</t>
        </is>
      </c>
      <c r="I124" s="18" t="inlineStr">
        <is>
          <t>COGS</t>
        </is>
      </c>
      <c r="J124" s="18" t="inlineStr">
        <is>
          <t>Ж/д тариф, вагоны, услуги перевозчиков</t>
        </is>
      </c>
      <c r="K124" s="19" t="inlineStr">
        <is>
          <t>ТЭО</t>
        </is>
      </c>
      <c r="L124" s="18" t="inlineStr">
        <is>
          <t>Без НДС, 4185494, Платежи за услуги железнодорожного транспорта</t>
        </is>
      </c>
    </row>
    <row r="125">
      <c r="A125" s="18" t="inlineStr">
        <is>
          <t>БЦК</t>
        </is>
      </c>
      <c r="B125" s="19" t="inlineStr">
        <is>
          <t>23.06.2026</t>
        </is>
      </c>
      <c r="C125" s="18" t="inlineStr">
        <is>
          <t>ТОО КТЖ-Грузовые перевозки</t>
        </is>
      </c>
      <c r="D125" s="18" t="inlineStr">
        <is>
          <t>КТЖ-Грузовые перевозки</t>
        </is>
      </c>
      <c r="E125" s="18" t="inlineStr">
        <is>
          <t>031040001799</t>
        </is>
      </c>
      <c r="F125" s="20" t="n"/>
      <c r="G125" s="20" t="n">
        <v>7000000</v>
      </c>
      <c r="H125" s="19" t="inlineStr">
        <is>
          <t>813</t>
        </is>
      </c>
      <c r="I125" s="18" t="inlineStr">
        <is>
          <t>COGS</t>
        </is>
      </c>
      <c r="J125" s="18" t="inlineStr">
        <is>
          <t>Ж/д тариф, вагоны, услуги перевозчиков</t>
        </is>
      </c>
      <c r="K125" s="19" t="inlineStr">
        <is>
          <t>ТЭО</t>
        </is>
      </c>
      <c r="L125" s="18" t="inlineStr">
        <is>
          <t>Без НДС, 4185494, Платежи за услуги железнодорожного транспорта</t>
        </is>
      </c>
    </row>
    <row r="126">
      <c r="A126" s="18" t="inlineStr">
        <is>
          <t>БЦК</t>
        </is>
      </c>
      <c r="B126" s="19" t="inlineStr">
        <is>
          <t>23.06.2026</t>
        </is>
      </c>
      <c r="C126" s="18" t="inlineStr">
        <is>
          <t xml:space="preserve">Товарищество с ограниченной ответственностью </t>
        </is>
      </c>
      <c r="D126" s="18" t="inlineStr">
        <is>
          <t>ЭРСАЛТ РЭЙЛ</t>
        </is>
      </c>
      <c r="E126" s="18" t="inlineStr">
        <is>
          <t>151040004202</t>
        </is>
      </c>
      <c r="F126" s="20" t="n"/>
      <c r="G126" s="20" t="n">
        <v>10560000</v>
      </c>
      <c r="H126" s="19" t="inlineStr">
        <is>
          <t>855</t>
        </is>
      </c>
      <c r="I126" s="18" t="inlineStr">
        <is>
          <t>COGS</t>
        </is>
      </c>
      <c r="J126" s="18" t="inlineStr">
        <is>
          <t>Ж/д тариф, вагоны, услуги перевозчиков</t>
        </is>
      </c>
      <c r="K126" s="19" t="inlineStr">
        <is>
          <t>Аренда</t>
        </is>
      </c>
      <c r="L126" s="18" t="inlineStr">
        <is>
          <t>Счет на оплату № 17 от 8 мая 2026 г. Договор аренды подвижного состава №325/2025 от 30.12.</t>
        </is>
      </c>
    </row>
    <row r="127">
      <c r="A127" s="18" t="inlineStr">
        <is>
          <t>БЦК</t>
        </is>
      </c>
      <c r="B127" s="19" t="inlineStr">
        <is>
          <t>23.06.2026</t>
        </is>
      </c>
      <c r="C127" s="18" t="inlineStr">
        <is>
          <t xml:space="preserve">Товарищество с ограниченной ответственностью </t>
        </is>
      </c>
      <c r="D127" s="18" t="inlineStr">
        <is>
          <t>WayStar Group</t>
        </is>
      </c>
      <c r="E127" s="18" t="inlineStr">
        <is>
          <t>240340014287</t>
        </is>
      </c>
      <c r="F127" s="20" t="n"/>
      <c r="G127" s="20" t="n">
        <v>17087775.23</v>
      </c>
      <c r="H127" s="19" t="inlineStr">
        <is>
          <t>312</t>
        </is>
      </c>
      <c r="I127" s="18" t="inlineStr">
        <is>
          <t>TREASURY</t>
        </is>
      </c>
      <c r="J127" s="18" t="inlineStr">
        <is>
          <t>Размещение депозита</t>
        </is>
      </c>
      <c r="K127" s="19" t="inlineStr"/>
      <c r="L127" s="18" t="inlineStr">
        <is>
          <t>на депозит. Без НДС. Размещение краткосрочных вкладов (не более одного года)</t>
        </is>
      </c>
    </row>
    <row r="128">
      <c r="A128" s="18" t="inlineStr">
        <is>
          <t>БЦК</t>
        </is>
      </c>
      <c r="B128" s="19" t="inlineStr">
        <is>
          <t>23.06.2026</t>
        </is>
      </c>
      <c r="C128" s="18" t="inlineStr">
        <is>
          <t xml:space="preserve">Товарищество с ограниченной ответственностью </t>
        </is>
      </c>
      <c r="D128" s="18" t="inlineStr">
        <is>
          <t>Mining Consulting Group</t>
        </is>
      </c>
      <c r="E128" s="18" t="inlineStr">
        <is>
          <t>190440040941</t>
        </is>
      </c>
      <c r="F128" s="20" t="n"/>
      <c r="G128" s="20" t="n">
        <v>40000000</v>
      </c>
      <c r="H128" s="19" t="inlineStr">
        <is>
          <t>421</t>
        </is>
      </c>
      <c r="I128" s="18" t="inlineStr">
        <is>
          <t>FINANCING</t>
        </is>
      </c>
      <c r="J128" s="18" t="inlineStr">
        <is>
          <t>Погашение / выдача займов</t>
        </is>
      </c>
      <c r="K128" s="19" t="inlineStr"/>
      <c r="L128" s="18" t="inlineStr">
        <is>
          <t>возврат фин помощи. Без НДС. Погашение краткосрочных займов (не более одного года)</t>
        </is>
      </c>
    </row>
    <row r="129">
      <c r="A129" s="18" t="inlineStr">
        <is>
          <t>БЦК</t>
        </is>
      </c>
      <c r="B129" s="19" t="inlineStr">
        <is>
          <t>23.06.2026</t>
        </is>
      </c>
      <c r="C129" s="18" t="inlineStr">
        <is>
          <t xml:space="preserve">Товарищество с ограниченной ответственностью </t>
        </is>
      </c>
      <c r="D129" s="18" t="inlineStr">
        <is>
          <t>WayStar Group</t>
        </is>
      </c>
      <c r="E129" s="18" t="inlineStr">
        <is>
          <t>240340014287</t>
        </is>
      </c>
      <c r="F129" s="20" t="n">
        <v>975.1</v>
      </c>
      <c r="G129" s="20" t="n"/>
      <c r="H129" s="19" t="inlineStr">
        <is>
          <t>316</t>
        </is>
      </c>
      <c r="I129" s="18" t="inlineStr">
        <is>
          <t>FIN_INCOME</t>
        </is>
      </c>
      <c r="J129" s="18" t="inlineStr">
        <is>
          <t>% по депозиту</t>
        </is>
      </c>
      <c r="K129" s="19" t="inlineStr"/>
      <c r="L129" s="18" t="inlineStr">
        <is>
          <t>Выплата начисленного вознаграждения по депозитному договору № 01607034 от 24.07.2025 за пе</t>
        </is>
      </c>
    </row>
    <row r="130">
      <c r="A130" s="18" t="inlineStr">
        <is>
          <t>БЦК</t>
        </is>
      </c>
      <c r="B130" s="19" t="inlineStr">
        <is>
          <t>23.06.2026</t>
        </is>
      </c>
      <c r="C130" s="18" t="inlineStr">
        <is>
          <t xml:space="preserve">Товарищество с ограниченной ответственностью </t>
        </is>
      </c>
      <c r="D130" s="18" t="inlineStr">
        <is>
          <t>WayStar Group</t>
        </is>
      </c>
      <c r="E130" s="18" t="inlineStr">
        <is>
          <t>240340014287</t>
        </is>
      </c>
      <c r="F130" s="20" t="n">
        <v>2887712.95</v>
      </c>
      <c r="G130" s="20" t="n"/>
      <c r="H130" s="19" t="inlineStr">
        <is>
          <t>322</t>
        </is>
      </c>
      <c r="I130" s="18" t="inlineStr">
        <is>
          <t>TREASURY</t>
        </is>
      </c>
      <c r="J130" s="18" t="inlineStr">
        <is>
          <t>Снятие/возврат депозита</t>
        </is>
      </c>
      <c r="K130" s="19" t="inlineStr"/>
      <c r="L130" s="18" t="inlineStr">
        <is>
          <t>Частичная выплата вклада по депозитному договору № 01607034 от 23.06.2026 в размере 288771</t>
        </is>
      </c>
    </row>
    <row r="131">
      <c r="A131" s="18" t="inlineStr">
        <is>
          <t>БЦК</t>
        </is>
      </c>
      <c r="B131" s="19" t="inlineStr">
        <is>
          <t>23.06.2026</t>
        </is>
      </c>
      <c r="C131" s="18" t="inlineStr">
        <is>
          <t>ТОО WayStar Group</t>
        </is>
      </c>
      <c r="D131" s="18" t="inlineStr">
        <is>
          <t>WayStar Group</t>
        </is>
      </c>
      <c r="E131" s="18" t="inlineStr">
        <is>
          <t>240340014287</t>
        </is>
      </c>
      <c r="F131" s="20" t="n">
        <v>6347793</v>
      </c>
      <c r="G131" s="20" t="n"/>
      <c r="H131" s="19" t="inlineStr">
        <is>
          <t>343</t>
        </is>
      </c>
      <c r="I131" s="18" t="inlineStr">
        <is>
          <t>INTERNAL</t>
        </is>
      </c>
      <c r="J131" s="18" t="inlineStr">
        <is>
          <t>Переводы между своими счетами</t>
        </is>
      </c>
      <c r="K131" s="19" t="inlineStr"/>
      <c r="L131" s="18" t="inlineStr">
        <is>
          <t>на другой счет Переводы клиентом денег со своего текущего счета в одном банке филиале банк</t>
        </is>
      </c>
    </row>
    <row r="132">
      <c r="A132" s="18" t="inlineStr">
        <is>
          <t>БЦК</t>
        </is>
      </c>
      <c r="B132" s="19" t="inlineStr">
        <is>
          <t>23.06.2026</t>
        </is>
      </c>
      <c r="C132" s="18" t="inlineStr">
        <is>
          <t xml:space="preserve">Товарищество с ограниченной ответственностью </t>
        </is>
      </c>
      <c r="D132" s="18" t="inlineStr">
        <is>
          <t>WayStar Group</t>
        </is>
      </c>
      <c r="E132" s="18" t="inlineStr">
        <is>
          <t>240340014287</t>
        </is>
      </c>
      <c r="F132" s="20" t="n">
        <v>7000000</v>
      </c>
      <c r="G132" s="20" t="n"/>
      <c r="H132" s="19" t="inlineStr">
        <is>
          <t>322</t>
        </is>
      </c>
      <c r="I132" s="18" t="inlineStr">
        <is>
          <t>TREASURY</t>
        </is>
      </c>
      <c r="J132" s="18" t="inlineStr">
        <is>
          <t>Снятие/возврат депозита</t>
        </is>
      </c>
      <c r="K132" s="19" t="inlineStr"/>
      <c r="L132" s="18" t="inlineStr">
        <is>
          <t>Без НДС. Снятие с краткосрочного вклада (не более одного года)</t>
        </is>
      </c>
    </row>
    <row r="133">
      <c r="A133" s="18" t="inlineStr">
        <is>
          <t>БЦК</t>
        </is>
      </c>
      <c r="B133" s="19" t="inlineStr">
        <is>
          <t>23.06.2026</t>
        </is>
      </c>
      <c r="C133" s="18" t="inlineStr">
        <is>
          <t xml:space="preserve">Товарищество с ограниченной ответственностью </t>
        </is>
      </c>
      <c r="D133" s="18" t="inlineStr">
        <is>
          <t>WayStar Group</t>
        </is>
      </c>
      <c r="E133" s="18" t="inlineStr">
        <is>
          <t>240340014287</t>
        </is>
      </c>
      <c r="F133" s="20" t="n">
        <v>75985000</v>
      </c>
      <c r="G133" s="20" t="n"/>
      <c r="H133" s="19" t="inlineStr">
        <is>
          <t>411</t>
        </is>
      </c>
      <c r="I133" s="18" t="inlineStr">
        <is>
          <t>FINANCING</t>
        </is>
      </c>
      <c r="J133" s="18" t="inlineStr">
        <is>
          <t>Займы полученные / возврат выданных</t>
        </is>
      </c>
      <c r="K133" s="19" t="inlineStr"/>
      <c r="L133" s="18" t="inlineStr">
        <is>
          <t>Предоставление кредита по договору № AQ5/2024/U/S/120240/0003L от 23.06.2026 в сумме 75985</t>
        </is>
      </c>
    </row>
    <row r="134">
      <c r="A134" s="18" t="inlineStr">
        <is>
          <t>Halyk</t>
        </is>
      </c>
      <c r="B134" s="19" t="inlineStr">
        <is>
          <t>24.06.2026</t>
        </is>
      </c>
      <c r="C134" s="18" t="inlineStr">
        <is>
          <t>ТОО Altyn Shyghys</t>
        </is>
      </c>
      <c r="D134" s="18" t="inlineStr">
        <is>
          <t>Altyn Shyghys</t>
        </is>
      </c>
      <c r="E134" s="18" t="inlineStr">
        <is>
          <t>190140000545</t>
        </is>
      </c>
      <c r="F134" s="20" t="n">
        <v>3500000</v>
      </c>
      <c r="G134" s="20" t="n"/>
      <c r="H134" s="19" t="inlineStr">
        <is>
          <t>813</t>
        </is>
      </c>
      <c r="I134" s="18" t="inlineStr">
        <is>
          <t>REVENUE</t>
        </is>
      </c>
      <c r="J134" s="18" t="inlineStr">
        <is>
          <t>Выручка: транспортно-логистические услуги</t>
        </is>
      </c>
      <c r="K134" s="19" t="inlineStr">
        <is>
          <t>ТЭО</t>
        </is>
      </c>
      <c r="L134" s="18" t="inlineStr">
        <is>
          <t>Референс 3997357993 Оплата за ТМЦ по счету 70 от 10.03.2026 Без налога (НДС) Договор: 2026</t>
        </is>
      </c>
    </row>
    <row r="135">
      <c r="A135" s="18" t="inlineStr">
        <is>
          <t>БЦК</t>
        </is>
      </c>
      <c r="B135" s="19" t="inlineStr">
        <is>
          <t>24.06.2026</t>
        </is>
      </c>
      <c r="C135" s="18" t="inlineStr">
        <is>
          <t>ТОО КТЖ-Грузовые перевозки</t>
        </is>
      </c>
      <c r="D135" s="18" t="inlineStr">
        <is>
          <t>КТЖ-Грузовые перевозки</t>
        </is>
      </c>
      <c r="E135" s="18" t="inlineStr">
        <is>
          <t>031040001799</t>
        </is>
      </c>
      <c r="F135" s="20" t="n"/>
      <c r="G135" s="20" t="n">
        <v>10000000</v>
      </c>
      <c r="H135" s="19" t="inlineStr">
        <is>
          <t>813</t>
        </is>
      </c>
      <c r="I135" s="18" t="inlineStr">
        <is>
          <t>COGS</t>
        </is>
      </c>
      <c r="J135" s="18" t="inlineStr">
        <is>
          <t>Ж/д тариф, вагоны, услуги перевозчиков</t>
        </is>
      </c>
      <c r="K135" s="19" t="inlineStr">
        <is>
          <t>ТЭО</t>
        </is>
      </c>
      <c r="L135" s="18" t="inlineStr">
        <is>
          <t>Без НДС, 4185494, Платежи за услуги железнодорожного транспорта</t>
        </is>
      </c>
    </row>
    <row r="136">
      <c r="A136" s="18" t="inlineStr">
        <is>
          <t>БЦК</t>
        </is>
      </c>
      <c r="B136" s="19" t="inlineStr">
        <is>
          <t>24.06.2026</t>
        </is>
      </c>
      <c r="C136" s="18" t="inlineStr">
        <is>
          <t xml:space="preserve">Товарищество с ограниченной ответственностью </t>
        </is>
      </c>
      <c r="D136" s="18" t="inlineStr">
        <is>
          <t>WayStar Group</t>
        </is>
      </c>
      <c r="E136" s="18" t="inlineStr">
        <is>
          <t>240340014287</t>
        </is>
      </c>
      <c r="F136" s="20" t="n"/>
      <c r="G136" s="20" t="n">
        <v>10091181.58</v>
      </c>
      <c r="H136" s="19" t="inlineStr">
        <is>
          <t>312</t>
        </is>
      </c>
      <c r="I136" s="18" t="inlineStr">
        <is>
          <t>TREASURY</t>
        </is>
      </c>
      <c r="J136" s="18" t="inlineStr">
        <is>
          <t>Размещение депозита</t>
        </is>
      </c>
      <c r="K136" s="19" t="inlineStr"/>
      <c r="L136" s="18" t="inlineStr">
        <is>
          <t>Размещение вклада</t>
        </is>
      </c>
    </row>
    <row r="137">
      <c r="A137" s="18" t="inlineStr">
        <is>
          <t>БЦК</t>
        </is>
      </c>
      <c r="B137" s="19" t="inlineStr">
        <is>
          <t>24.06.2026</t>
        </is>
      </c>
      <c r="C137" s="18" t="inlineStr">
        <is>
          <t xml:space="preserve">Товарищество с ограниченной ответственностью </t>
        </is>
      </c>
      <c r="D137" s="18" t="inlineStr">
        <is>
          <t>WayStar Group</t>
        </is>
      </c>
      <c r="E137" s="18" t="inlineStr">
        <is>
          <t>240340014287</t>
        </is>
      </c>
      <c r="F137" s="20" t="n"/>
      <c r="G137" s="20" t="n">
        <v>27997000</v>
      </c>
      <c r="H137" s="19" t="inlineStr">
        <is>
          <t>312</t>
        </is>
      </c>
      <c r="I137" s="18" t="inlineStr">
        <is>
          <t>TREASURY</t>
        </is>
      </c>
      <c r="J137" s="18" t="inlineStr">
        <is>
          <t>Размещение депозита</t>
        </is>
      </c>
      <c r="K137" s="19" t="inlineStr"/>
      <c r="L137" s="18" t="inlineStr">
        <is>
          <t>на депозит. Без НДС. Размещение краткосрочных вкладов (не более одного года)</t>
        </is>
      </c>
    </row>
    <row r="138">
      <c r="A138" s="18" t="inlineStr">
        <is>
          <t>БЦК</t>
        </is>
      </c>
      <c r="B138" s="19" t="inlineStr">
        <is>
          <t>24.06.2026</t>
        </is>
      </c>
      <c r="C138" s="18" t="inlineStr">
        <is>
          <t xml:space="preserve">Товарищество с ограниченной ответственностью </t>
        </is>
      </c>
      <c r="D138" s="18" t="inlineStr">
        <is>
          <t>WayStar Group</t>
        </is>
      </c>
      <c r="E138" s="18" t="inlineStr">
        <is>
          <t>240340014287</t>
        </is>
      </c>
      <c r="F138" s="20" t="n">
        <v>3406.35</v>
      </c>
      <c r="G138" s="20" t="n"/>
      <c r="H138" s="19" t="inlineStr">
        <is>
          <t>316</t>
        </is>
      </c>
      <c r="I138" s="18" t="inlineStr">
        <is>
          <t>FIN_INCOME</t>
        </is>
      </c>
      <c r="J138" s="18" t="inlineStr">
        <is>
          <t>% по депозиту</t>
        </is>
      </c>
      <c r="K138" s="19" t="inlineStr"/>
      <c r="L138" s="18" t="inlineStr">
        <is>
          <t>Выплата начисленного вознаграждения по депозитному договору № 01607034 от 24.07.2025 за пе</t>
        </is>
      </c>
    </row>
    <row r="139">
      <c r="A139" s="18" t="inlineStr">
        <is>
          <t>БЦК</t>
        </is>
      </c>
      <c r="B139" s="19" t="inlineStr">
        <is>
          <t>24.06.2026</t>
        </is>
      </c>
      <c r="C139" s="18" t="inlineStr">
        <is>
          <t xml:space="preserve">Товарищество с ограниченной ответственностью </t>
        </is>
      </c>
      <c r="D139" s="18" t="inlineStr">
        <is>
          <t>WayStar Group</t>
        </is>
      </c>
      <c r="E139" s="18" t="inlineStr">
        <is>
          <t>240340014287</t>
        </is>
      </c>
      <c r="F139" s="20" t="n">
        <v>10000000</v>
      </c>
      <c r="G139" s="20" t="n"/>
      <c r="H139" s="19" t="inlineStr">
        <is>
          <t>321</t>
        </is>
      </c>
      <c r="I139" s="18" t="inlineStr">
        <is>
          <t>TREASURY</t>
        </is>
      </c>
      <c r="J139" s="18" t="inlineStr">
        <is>
          <t>Снятие/возврат депозита</t>
        </is>
      </c>
      <c r="K139" s="19" t="inlineStr"/>
      <c r="L139" s="18" t="inlineStr">
        <is>
          <t>Без НДС. Снятие со вклада до востребования (открытых на основании договора банковского вкл</t>
        </is>
      </c>
    </row>
    <row r="140">
      <c r="A140" s="18" t="inlineStr">
        <is>
          <t>БЦК</t>
        </is>
      </c>
      <c r="B140" s="19" t="inlineStr">
        <is>
          <t>24.06.2026</t>
        </is>
      </c>
      <c r="C140" s="18" t="inlineStr">
        <is>
          <t xml:space="preserve">Товарищество с ограниченной ответственностью </t>
        </is>
      </c>
      <c r="D140" s="18" t="inlineStr">
        <is>
          <t>WayStar Group</t>
        </is>
      </c>
      <c r="E140" s="18" t="inlineStr">
        <is>
          <t>240340014287</t>
        </is>
      </c>
      <c r="F140" s="20" t="n">
        <v>10087775.23</v>
      </c>
      <c r="G140" s="20" t="n"/>
      <c r="H140" s="19" t="inlineStr">
        <is>
          <t>322</t>
        </is>
      </c>
      <c r="I140" s="18" t="inlineStr">
        <is>
          <t>TREASURY</t>
        </is>
      </c>
      <c r="J140" s="18" t="inlineStr">
        <is>
          <t>Снятие/возврат депозита</t>
        </is>
      </c>
      <c r="K140" s="19" t="inlineStr"/>
      <c r="L140" s="18" t="inlineStr">
        <is>
          <t>Частичная выплата вклада по депозитному договору № 01607034 от 24.06.2026 в размере 100877</t>
        </is>
      </c>
    </row>
    <row r="141">
      <c r="A141" s="18" t="inlineStr">
        <is>
          <t>БЦК</t>
        </is>
      </c>
      <c r="B141" s="19" t="inlineStr">
        <is>
          <t>24.06.2026</t>
        </is>
      </c>
      <c r="C141" s="18" t="inlineStr">
        <is>
          <t>Аубакиров Алимбек Ерикович</t>
        </is>
      </c>
      <c r="D141" s="18" t="inlineStr">
        <is>
          <t>Аубакиров Алимбек Ерикович</t>
        </is>
      </c>
      <c r="E141" s="18" t="inlineStr">
        <is>
          <t>950331351686</t>
        </is>
      </c>
      <c r="F141" s="20" t="n">
        <v>27997000</v>
      </c>
      <c r="G141" s="20" t="n"/>
      <c r="H141" s="19" t="inlineStr">
        <is>
          <t>423</t>
        </is>
      </c>
      <c r="I141" s="18" t="inlineStr">
        <is>
          <t>FINANCING</t>
        </is>
      </c>
      <c r="J141" s="18" t="inlineStr">
        <is>
          <t>Займы полученные / возврат выданных</t>
        </is>
      </c>
      <c r="K141" s="19" t="inlineStr"/>
      <c r="L141" s="18" t="inlineStr">
        <is>
          <t>Возврат согласно договору о временной финансовой помощи б/н от 01.09.2025 г.</t>
        </is>
      </c>
    </row>
    <row r="142">
      <c r="A142" s="18" t="inlineStr">
        <is>
          <t>Halyk</t>
        </is>
      </c>
      <c r="B142" s="19" t="inlineStr">
        <is>
          <t>25.06.2026</t>
        </is>
      </c>
      <c r="C142" s="18" t="inlineStr">
        <is>
          <t>ТОО "WayStar Group"</t>
        </is>
      </c>
      <c r="D142" s="18" t="inlineStr">
        <is>
          <t>WayStar Group</t>
        </is>
      </c>
      <c r="E142" s="18" t="inlineStr">
        <is>
          <t>240340014287</t>
        </is>
      </c>
      <c r="F142" s="20" t="n"/>
      <c r="G142" s="20" t="n">
        <v>4070000</v>
      </c>
      <c r="H142" s="19" t="inlineStr">
        <is>
          <t>343</t>
        </is>
      </c>
      <c r="I142" s="18" t="inlineStr">
        <is>
          <t>INTERNAL</t>
        </is>
      </c>
      <c r="J142" s="18" t="inlineStr">
        <is>
          <t>Переводы между своими счетами</t>
        </is>
      </c>
      <c r="K142" s="19" t="inlineStr"/>
      <c r="L142" s="18" t="inlineStr">
        <is>
          <t>Референс 3998402512 перевод на другой счет Переводы клиентом денег со своего текущего счет</t>
        </is>
      </c>
    </row>
    <row r="143">
      <c r="A143" s="18" t="inlineStr">
        <is>
          <t>Halyk</t>
        </is>
      </c>
      <c r="B143" s="19" t="inlineStr">
        <is>
          <t>25.06.2026</t>
        </is>
      </c>
      <c r="C143" s="18" t="inlineStr">
        <is>
          <t>ТОО "Serpin Logistic"</t>
        </is>
      </c>
      <c r="D143" s="18" t="inlineStr">
        <is>
          <t>Serpin Logistic</t>
        </is>
      </c>
      <c r="E143" s="18" t="inlineStr">
        <is>
          <t>260340004848</t>
        </is>
      </c>
      <c r="F143" s="20" t="n">
        <v>350000</v>
      </c>
      <c r="G143" s="20" t="n"/>
      <c r="H143" s="19" t="inlineStr">
        <is>
          <t>813</t>
        </is>
      </c>
      <c r="I143" s="18" t="inlineStr">
        <is>
          <t>REVENUE</t>
        </is>
      </c>
      <c r="J143" s="18" t="inlineStr">
        <is>
          <t>Выручка: транспортно-логистические услуги</t>
        </is>
      </c>
      <c r="K143" s="19" t="inlineStr">
        <is>
          <t>ТЭО</t>
        </is>
      </c>
      <c r="L143" s="18" t="inlineStr">
        <is>
          <t>Референс 3998259741 Оплата Ж/Д тарифа, согласно счета на оплату №000000147 от 23 июня 2026</t>
        </is>
      </c>
    </row>
    <row r="144">
      <c r="A144" s="18" t="inlineStr">
        <is>
          <t>RBK</t>
        </is>
      </c>
      <c r="B144" s="19" t="inlineStr">
        <is>
          <t>25.06.2026</t>
        </is>
      </c>
      <c r="C144" s="18" t="inlineStr">
        <is>
          <t>ТОО Altyn Shyghys</t>
        </is>
      </c>
      <c r="D144" s="18" t="inlineStr">
        <is>
          <t>Altyn Shyghys</t>
        </is>
      </c>
      <c r="E144" s="18" t="inlineStr">
        <is>
          <t>190140000545</t>
        </is>
      </c>
      <c r="F144" s="20" t="n">
        <v>44100000</v>
      </c>
      <c r="G144" s="20" t="n"/>
      <c r="H144" s="19" t="inlineStr"/>
      <c r="I144" s="18" t="inlineStr">
        <is>
          <t>REVENUE</t>
        </is>
      </c>
      <c r="J144" s="18" t="inlineStr">
        <is>
          <t>Выручка: транспортно-логистические услуги</t>
        </is>
      </c>
      <c r="K144" s="19" t="inlineStr">
        <is>
          <t>ТЭО</t>
        </is>
      </c>
      <c r="L144" s="18" t="inlineStr">
        <is>
          <t>Оплата за услуги по счету 139 от 18.06.2026 Без налога (НДС) Договор: 2026/01-04 ТЭУ от 13</t>
        </is>
      </c>
    </row>
    <row r="145">
      <c r="A145" s="18" t="inlineStr">
        <is>
          <t>RBK</t>
        </is>
      </c>
      <c r="B145" s="19" t="inlineStr">
        <is>
          <t>25.06.2026</t>
        </is>
      </c>
      <c r="C145" s="18" t="inlineStr">
        <is>
          <t>ФИЛИАЛ АО "BANK RBK" В Г.АСТАНА</t>
        </is>
      </c>
      <c r="D145" s="18" t="inlineStr">
        <is>
          <t>ФИЛИАЛ АО "BANK RBK" В Г.АСТАНА</t>
        </is>
      </c>
      <c r="E145" s="18" t="inlineStr">
        <is>
          <t>111141019679</t>
        </is>
      </c>
      <c r="F145" s="20" t="n"/>
      <c r="G145" s="20" t="n">
        <v>1300</v>
      </c>
      <c r="H145" s="19" t="inlineStr"/>
      <c r="I145" s="18" t="inlineStr">
        <is>
          <t>OPEX</t>
        </is>
      </c>
      <c r="J145" s="18" t="inlineStr">
        <is>
          <t>Прочие услуги и расходы</t>
        </is>
      </c>
      <c r="K145" s="19" t="inlineStr"/>
      <c r="L145" s="18" t="inlineStr">
        <is>
          <t>Комиссия Банка за переводные операции по платежному документу № 1179 от 25/06/2026, в т.ч.</t>
        </is>
      </c>
    </row>
    <row r="146">
      <c r="A146" s="18" t="inlineStr">
        <is>
          <t>RBK</t>
        </is>
      </c>
      <c r="B146" s="19" t="inlineStr">
        <is>
          <t>25.06.2026</t>
        </is>
      </c>
      <c r="C146" s="18" t="inlineStr">
        <is>
          <t>ТОО "WayStar Group"</t>
        </is>
      </c>
      <c r="D146" s="18" t="inlineStr">
        <is>
          <t>WayStar Group</t>
        </is>
      </c>
      <c r="E146" s="18" t="inlineStr">
        <is>
          <t>240340014287</t>
        </is>
      </c>
      <c r="F146" s="20" t="n"/>
      <c r="G146" s="20" t="n">
        <v>44190000</v>
      </c>
      <c r="H146" s="19" t="inlineStr"/>
      <c r="I146" s="18" t="inlineStr">
        <is>
          <t>INTERNAL</t>
        </is>
      </c>
      <c r="J146" s="18" t="inlineStr">
        <is>
          <t>Переводы между своими счетами</t>
        </is>
      </c>
      <c r="K146" s="19" t="inlineStr"/>
      <c r="L146" s="18" t="inlineStr">
        <is>
          <t>перевод на другой счет Переводы клиентом денег со своего текущего счета в одном банке, фил</t>
        </is>
      </c>
    </row>
    <row r="147">
      <c r="A147" s="18" t="inlineStr">
        <is>
          <t>БЦК</t>
        </is>
      </c>
      <c r="B147" s="19" t="inlineStr">
        <is>
          <t>25.06.2026</t>
        </is>
      </c>
      <c r="C147" s="18" t="inlineStr">
        <is>
          <t>УГД по Есильскому району ДГД по городу Астане</t>
        </is>
      </c>
      <c r="D147" s="18" t="inlineStr">
        <is>
          <t>УГД по Есильскому району ДГД по городу Астане КГД МФ РК</t>
        </is>
      </c>
      <c r="E147" s="18" t="inlineStr">
        <is>
          <t>081240013779</t>
        </is>
      </c>
      <c r="F147" s="20" t="n"/>
      <c r="G147" s="20" t="n">
        <v>18012</v>
      </c>
      <c r="H147" s="19" t="inlineStr">
        <is>
          <t>911</t>
        </is>
      </c>
      <c r="I147" s="18" t="inlineStr">
        <is>
          <t>TAX</t>
        </is>
      </c>
      <c r="J147" s="18" t="inlineStr">
        <is>
          <t>Налоги и социальные платежи</t>
        </is>
      </c>
      <c r="K147" s="19" t="inlineStr"/>
      <c r="L147" s="18" t="inlineStr">
        <is>
          <t>КПН за нерезидента май 2026. Начисленные (исчисленные) и иные обязательства в бюджет</t>
        </is>
      </c>
    </row>
    <row r="148">
      <c r="A148" s="18" t="inlineStr">
        <is>
          <t>БЦК</t>
        </is>
      </c>
      <c r="B148" s="19" t="inlineStr">
        <is>
          <t>25.06.2026</t>
        </is>
      </c>
      <c r="C148" s="18" t="inlineStr">
        <is>
          <t xml:space="preserve">Товарищество с ограниченной ответственностью </t>
        </is>
      </c>
      <c r="D148" s="18" t="inlineStr">
        <is>
          <t>Белый Ветер KZ</t>
        </is>
      </c>
      <c r="E148" s="18" t="inlineStr">
        <is>
          <t>110340018293</t>
        </is>
      </c>
      <c r="F148" s="20" t="n"/>
      <c r="G148" s="20" t="n">
        <v>43213</v>
      </c>
      <c r="H148" s="19" t="inlineStr">
        <is>
          <t>710</t>
        </is>
      </c>
      <c r="I148" s="18" t="inlineStr">
        <is>
          <t>OPEX</t>
        </is>
      </c>
      <c r="J148" s="18" t="inlineStr">
        <is>
          <t>ТМЦ / офисные расходы</t>
        </is>
      </c>
      <c r="K148" s="19" t="inlineStr"/>
      <c r="L148" s="18" t="inlineStr">
        <is>
          <t xml:space="preserve">Договор №799 АС 2-25 от 23.10.2025 Счет на оплату № 01100042373 от 24 июня 2026 г.Сетевые </t>
        </is>
      </c>
    </row>
    <row r="149">
      <c r="A149" s="18" t="inlineStr">
        <is>
          <t>БЦК</t>
        </is>
      </c>
      <c r="B149" s="19" t="inlineStr">
        <is>
          <t>25.06.2026</t>
        </is>
      </c>
      <c r="C149" s="18" t="inlineStr">
        <is>
          <t>филиал акционерного общества "Национальная ко</t>
        </is>
      </c>
      <c r="D149" s="18" t="inlineStr">
        <is>
          <t>филиал акционерного общества "Национальная компания "Қазақстан темір жолы" - "Семейское эксплуатационное вагонное депо</t>
        </is>
      </c>
      <c r="E149" s="18" t="inlineStr">
        <is>
          <t>250741018846</t>
        </is>
      </c>
      <c r="F149" s="20" t="n"/>
      <c r="G149" s="20" t="n">
        <v>66404.78</v>
      </c>
      <c r="H149" s="19" t="inlineStr">
        <is>
          <t>822</t>
        </is>
      </c>
      <c r="I149" s="18" t="inlineStr">
        <is>
          <t>COGS</t>
        </is>
      </c>
      <c r="J149" s="18" t="inlineStr">
        <is>
          <t>Ремонт и ТО вагонов</t>
        </is>
      </c>
      <c r="K149" s="19" t="inlineStr">
        <is>
          <t>ТЭО</t>
        </is>
      </c>
      <c r="L149" s="18" t="inlineStr">
        <is>
          <t>Для ВЧД-23 Семей Счет на оплату № 26 от 24.06.2026 г. За ТОР вагона №51053643</t>
        </is>
      </c>
    </row>
    <row r="150">
      <c r="A150" s="18" t="inlineStr">
        <is>
          <t>БЦК</t>
        </is>
      </c>
      <c r="B150" s="19" t="inlineStr">
        <is>
          <t>25.06.2026</t>
        </is>
      </c>
      <c r="C150" s="18" t="inlineStr">
        <is>
          <t>НАО "Государственная корпорация "Правительств</t>
        </is>
      </c>
      <c r="D150" s="18" t="inlineStr">
        <is>
          <t>НАО "Государственная корпорация "Правительство для граждан</t>
        </is>
      </c>
      <c r="E150" s="18" t="inlineStr">
        <is>
          <t>160440007161</t>
        </is>
      </c>
      <c r="F150" s="20" t="n"/>
      <c r="G150" s="20" t="n">
        <v>365824</v>
      </c>
      <c r="H150" s="19" t="inlineStr">
        <is>
          <t>122</t>
        </is>
      </c>
      <c r="I150" s="18" t="inlineStr">
        <is>
          <t>TAX</t>
        </is>
      </c>
      <c r="J150" s="18" t="inlineStr">
        <is>
          <t>Налоги и социальные платежи</t>
        </is>
      </c>
      <c r="K150" s="19" t="inlineStr"/>
      <c r="L150" s="18" t="inlineStr">
        <is>
          <t>Взносы ОСМС в Некоммерческое акционерное общество «Государственная корпорация «Правительст</t>
        </is>
      </c>
    </row>
    <row r="151">
      <c r="A151" s="18" t="inlineStr">
        <is>
          <t>БЦК</t>
        </is>
      </c>
      <c r="B151" s="19" t="inlineStr">
        <is>
          <t>25.06.2026</t>
        </is>
      </c>
      <c r="C151" s="18" t="inlineStr">
        <is>
          <t>НАО "Государственная корпорация "Правительств</t>
        </is>
      </c>
      <c r="D151" s="18" t="inlineStr">
        <is>
          <t>НАО "Государственная корпорация "Правительство для граждан</t>
        </is>
      </c>
      <c r="E151" s="18" t="inlineStr">
        <is>
          <t>160440007161</t>
        </is>
      </c>
      <c r="F151" s="20" t="n"/>
      <c r="G151" s="20" t="n">
        <v>482270</v>
      </c>
      <c r="H151" s="19" t="inlineStr">
        <is>
          <t>012</t>
        </is>
      </c>
      <c r="I151" s="18" t="inlineStr">
        <is>
          <t>TAX</t>
        </is>
      </c>
      <c r="J151" s="18" t="inlineStr">
        <is>
          <t>Налоги и социальные платежи</t>
        </is>
      </c>
      <c r="K151" s="19" t="inlineStr"/>
      <c r="L151" s="18" t="inlineStr">
        <is>
          <t>Социальные отчисления в Некоммерческое акционерное общество «Государственная корпорация «П</t>
        </is>
      </c>
    </row>
    <row r="152">
      <c r="A152" s="18" t="inlineStr">
        <is>
          <t>БЦК</t>
        </is>
      </c>
      <c r="B152" s="19" t="inlineStr">
        <is>
          <t>25.06.2026</t>
        </is>
      </c>
      <c r="C152" s="18" t="inlineStr">
        <is>
          <t>НАО "Государственная корпорация "Правительств</t>
        </is>
      </c>
      <c r="D152" s="18" t="inlineStr">
        <is>
          <t>НАО "Государственная корпорация "Правительство для граждан</t>
        </is>
      </c>
      <c r="E152" s="18" t="inlineStr">
        <is>
          <t>160440007161</t>
        </is>
      </c>
      <c r="F152" s="20" t="n"/>
      <c r="G152" s="20" t="n">
        <v>684875</v>
      </c>
      <c r="H152" s="19" t="inlineStr">
        <is>
          <t>121</t>
        </is>
      </c>
      <c r="I152" s="18" t="inlineStr">
        <is>
          <t>TAX</t>
        </is>
      </c>
      <c r="J152" s="18" t="inlineStr">
        <is>
          <t>Налоги и социальные платежи</t>
        </is>
      </c>
      <c r="K152" s="19" t="inlineStr"/>
      <c r="L152" s="18" t="inlineStr">
        <is>
          <t>Отчисления ОСМС в Некоммерческое акционерное общество «Государственная корпорация «Правите</t>
        </is>
      </c>
    </row>
    <row r="153">
      <c r="A153" s="18" t="inlineStr">
        <is>
          <t>БЦК</t>
        </is>
      </c>
      <c r="B153" s="19" t="inlineStr">
        <is>
          <t>25.06.2026</t>
        </is>
      </c>
      <c r="C153" s="18" t="inlineStr">
        <is>
          <t>НАО "Государственная корпорация "Правительств</t>
        </is>
      </c>
      <c r="D153" s="18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</t>
        </is>
      </c>
      <c r="E153" s="18" t="inlineStr">
        <is>
          <t>160440007161</t>
        </is>
      </c>
      <c r="F153" s="20" t="n"/>
      <c r="G153" s="20" t="n">
        <v>840487</v>
      </c>
      <c r="H153" s="19" t="inlineStr">
        <is>
          <t>089</t>
        </is>
      </c>
      <c r="I153" s="18" t="inlineStr">
        <is>
          <t>TAX</t>
        </is>
      </c>
      <c r="J153" s="18" t="inlineStr">
        <is>
          <t>Налоги и социальные платежи</t>
        </is>
      </c>
      <c r="K153" s="19" t="inlineStr"/>
      <c r="L153" s="18" t="inlineStr">
        <is>
          <t>3,5% обязательные пенсионные взносы работодателя за период Май 2026 г. cогласно прилагаемо</t>
        </is>
      </c>
    </row>
    <row r="154">
      <c r="A154" s="18" t="inlineStr">
        <is>
          <t>БЦК</t>
        </is>
      </c>
      <c r="B154" s="19" t="inlineStr">
        <is>
          <t>25.06.2026</t>
        </is>
      </c>
      <c r="C154" s="18" t="inlineStr">
        <is>
          <t>УГД по Есильскому району ДГД по городу Астане</t>
        </is>
      </c>
      <c r="D154" s="18" t="inlineStr">
        <is>
          <t>УГД по Есильскому району ДГД по городу Астане КГД МФ РК</t>
        </is>
      </c>
      <c r="E154" s="18" t="inlineStr">
        <is>
          <t>081240013779</t>
        </is>
      </c>
      <c r="F154" s="20" t="n"/>
      <c r="G154" s="20" t="n">
        <v>1452977</v>
      </c>
      <c r="H154" s="19" t="inlineStr">
        <is>
          <t>911</t>
        </is>
      </c>
      <c r="I154" s="18" t="inlineStr">
        <is>
          <t>TAX</t>
        </is>
      </c>
      <c r="J154" s="18" t="inlineStr">
        <is>
          <t>Налоги и социальные платежи</t>
        </is>
      </c>
      <c r="K154" s="19" t="inlineStr"/>
      <c r="L154" s="18" t="inlineStr">
        <is>
          <t>СН май 2026. Начисленные (исчисленные) и иные обязательства в бюджет</t>
        </is>
      </c>
    </row>
    <row r="155">
      <c r="A155" s="18" t="inlineStr">
        <is>
          <t>БЦК</t>
        </is>
      </c>
      <c r="B155" s="19" t="inlineStr">
        <is>
          <t>25.06.2026</t>
        </is>
      </c>
      <c r="C155" s="18" t="inlineStr">
        <is>
          <t>УГД по Есильскому району ДГД по городу Астане</t>
        </is>
      </c>
      <c r="D155" s="18" t="inlineStr">
        <is>
          <t>УГД по Есильскому району ДГД по городу Астане КГД МФ РК</t>
        </is>
      </c>
      <c r="E155" s="18" t="inlineStr">
        <is>
          <t>081240013779</t>
        </is>
      </c>
      <c r="F155" s="20" t="n"/>
      <c r="G155" s="20" t="n">
        <v>2168572</v>
      </c>
      <c r="H155" s="19" t="inlineStr">
        <is>
          <t>911</t>
        </is>
      </c>
      <c r="I155" s="18" t="inlineStr">
        <is>
          <t>TAX</t>
        </is>
      </c>
      <c r="J155" s="18" t="inlineStr">
        <is>
          <t>Налоги и социальные платежи</t>
        </is>
      </c>
      <c r="K155" s="19" t="inlineStr"/>
      <c r="L155" s="18" t="inlineStr">
        <is>
          <t>ИПН май 2026. Начисленные (исчисленные) и иные обязательства в бюджет</t>
        </is>
      </c>
    </row>
    <row r="156">
      <c r="A156" s="18" t="inlineStr">
        <is>
          <t>БЦК</t>
        </is>
      </c>
      <c r="B156" s="19" t="inlineStr">
        <is>
          <t>25.06.2026</t>
        </is>
      </c>
      <c r="C156" s="18" t="inlineStr">
        <is>
          <t>НАО "Государственная корпорация "Правительств</t>
        </is>
      </c>
      <c r="D156" s="18" t="inlineStr">
        <is>
          <t>НАО "Государственная корпорация "Правительство для граждан" р/с KZ12009NPS0413609816 в НАО "Государственная корпорация "Правительство для граждан</t>
        </is>
      </c>
      <c r="E156" s="18" t="inlineStr">
        <is>
          <t>160440007161</t>
        </is>
      </c>
      <c r="F156" s="20" t="n"/>
      <c r="G156" s="20" t="n">
        <v>2526011</v>
      </c>
      <c r="H156" s="19" t="inlineStr">
        <is>
          <t>010</t>
        </is>
      </c>
      <c r="I156" s="18" t="inlineStr">
        <is>
          <t>TAX</t>
        </is>
      </c>
      <c r="J156" s="18" t="inlineStr">
        <is>
          <t>Налоги и социальные платежи</t>
        </is>
      </c>
      <c r="K156" s="19" t="inlineStr"/>
      <c r="L156" s="18" t="inlineStr">
        <is>
          <t>10% обязательные пенсионные взносы за период Май 2026 г. cогласно прилагаемого списка.</t>
        </is>
      </c>
    </row>
    <row r="157">
      <c r="A157" s="18" t="inlineStr">
        <is>
          <t>БЦК</t>
        </is>
      </c>
      <c r="B157" s="19" t="inlineStr">
        <is>
          <t>25.06.2026</t>
        </is>
      </c>
      <c r="C157" s="18" t="inlineStr">
        <is>
          <t xml:space="preserve">Товарищество с ограниченной ответственностью </t>
        </is>
      </c>
      <c r="D157" s="18" t="inlineStr">
        <is>
          <t>WayStar Group</t>
        </is>
      </c>
      <c r="E157" s="18" t="inlineStr">
        <is>
          <t>240340014287</t>
        </is>
      </c>
      <c r="F157" s="20" t="n"/>
      <c r="G157" s="20" t="n">
        <v>2562918.47</v>
      </c>
      <c r="H157" s="19" t="inlineStr">
        <is>
          <t>342</t>
        </is>
      </c>
      <c r="I157" s="18" t="inlineStr">
        <is>
          <t>INTERNAL</t>
        </is>
      </c>
      <c r="J157" s="18" t="inlineStr">
        <is>
          <t>Переводы между своими счетами</t>
        </is>
      </c>
      <c r="K157" s="19" t="inlineStr"/>
      <c r="L157" s="18" t="inlineStr">
        <is>
          <t>Перевод на КЛС. Без НДС. Переводы клиентом денег с одного своего текущего счета, открытого</t>
        </is>
      </c>
    </row>
    <row r="158">
      <c r="A158" s="18" t="inlineStr">
        <is>
          <t>БЦК</t>
        </is>
      </c>
      <c r="B158" s="19" t="inlineStr">
        <is>
          <t>25.06.2026</t>
        </is>
      </c>
      <c r="C158" s="18" t="inlineStr">
        <is>
          <t>УГД по Есильскому району ДГД по городу Астане</t>
        </is>
      </c>
      <c r="D158" s="18" t="inlineStr">
        <is>
          <t>УГД по Есильскому району ДГД по городу Астане КГД МФ РК</t>
        </is>
      </c>
      <c r="E158" s="18" t="inlineStr">
        <is>
          <t>081240013779</t>
        </is>
      </c>
      <c r="F158" s="20" t="n"/>
      <c r="G158" s="20" t="n">
        <v>3429997.49</v>
      </c>
      <c r="H158" s="19" t="inlineStr">
        <is>
          <t>911</t>
        </is>
      </c>
      <c r="I158" s="18" t="inlineStr">
        <is>
          <t>TAX</t>
        </is>
      </c>
      <c r="J158" s="18" t="inlineStr">
        <is>
          <t>Налоги и социальные платежи</t>
        </is>
      </c>
      <c r="K158" s="19" t="inlineStr"/>
      <c r="L158" s="18" t="inlineStr">
        <is>
          <t>ндс за нерезидента май 2026. Начисленные (исчисленные) и иные обязательства в бюджет</t>
        </is>
      </c>
    </row>
    <row r="159">
      <c r="A159" s="18" t="inlineStr">
        <is>
          <t>БЦК</t>
        </is>
      </c>
      <c r="B159" s="19" t="inlineStr">
        <is>
          <t>25.06.2026</t>
        </is>
      </c>
      <c r="C159" s="18" t="inlineStr">
        <is>
          <t xml:space="preserve">Товарищество с ограниченной ответственностью </t>
        </is>
      </c>
      <c r="D159" s="18" t="inlineStr">
        <is>
          <t>WayStar Group</t>
        </is>
      </c>
      <c r="E159" s="18" t="inlineStr">
        <is>
          <t>240340014287</t>
        </is>
      </c>
      <c r="F159" s="20" t="n"/>
      <c r="G159" s="20" t="n">
        <v>21716104.41</v>
      </c>
      <c r="H159" s="19" t="inlineStr">
        <is>
          <t>312</t>
        </is>
      </c>
      <c r="I159" s="18" t="inlineStr">
        <is>
          <t>TREASURY</t>
        </is>
      </c>
      <c r="J159" s="18" t="inlineStr">
        <is>
          <t>Размещение депозита</t>
        </is>
      </c>
      <c r="K159" s="19" t="inlineStr"/>
      <c r="L159" s="18" t="inlineStr">
        <is>
          <t>Размещение вклада</t>
        </is>
      </c>
    </row>
    <row r="160">
      <c r="A160" s="18" t="inlineStr">
        <is>
          <t>БЦК</t>
        </is>
      </c>
      <c r="B160" s="19" t="inlineStr">
        <is>
          <t>25.06.2026</t>
        </is>
      </c>
      <c r="C160" s="18" t="inlineStr">
        <is>
          <t xml:space="preserve">Товарищество с ограниченной ответственностью </t>
        </is>
      </c>
      <c r="D160" s="18" t="inlineStr">
        <is>
          <t>Mining Consulting Group</t>
        </is>
      </c>
      <c r="E160" s="18" t="inlineStr">
        <is>
          <t>190440040941</t>
        </is>
      </c>
      <c r="F160" s="20" t="n"/>
      <c r="G160" s="20" t="n">
        <v>40000000</v>
      </c>
      <c r="H160" s="19" t="inlineStr">
        <is>
          <t>421</t>
        </is>
      </c>
      <c r="I160" s="18" t="inlineStr">
        <is>
          <t>FINANCING</t>
        </is>
      </c>
      <c r="J160" s="18" t="inlineStr">
        <is>
          <t>Погашение / выдача займов</t>
        </is>
      </c>
      <c r="K160" s="19" t="inlineStr"/>
      <c r="L160" s="18" t="inlineStr">
        <is>
          <t>возврат займа. Без НДС. Погашение краткосрочных займов (не более одного года)</t>
        </is>
      </c>
    </row>
    <row r="161">
      <c r="A161" s="18" t="inlineStr">
        <is>
          <t>БЦК</t>
        </is>
      </c>
      <c r="B161" s="19" t="inlineStr">
        <is>
          <t>25.06.2026</t>
        </is>
      </c>
      <c r="C161" s="18" t="inlineStr">
        <is>
          <t xml:space="preserve">Товарищество с ограниченной ответственностью </t>
        </is>
      </c>
      <c r="D161" s="18" t="inlineStr">
        <is>
          <t>WayStar Group</t>
        </is>
      </c>
      <c r="E161" s="18" t="inlineStr">
        <is>
          <t>240340014287</t>
        </is>
      </c>
      <c r="F161" s="20" t="n">
        <v>9484.57</v>
      </c>
      <c r="G161" s="20" t="n"/>
      <c r="H161" s="19" t="inlineStr">
        <is>
          <t>316</t>
        </is>
      </c>
      <c r="I161" s="18" t="inlineStr">
        <is>
          <t>FIN_INCOME</t>
        </is>
      </c>
      <c r="J161" s="18" t="inlineStr">
        <is>
          <t>% по депозиту</t>
        </is>
      </c>
      <c r="K161" s="19" t="inlineStr"/>
      <c r="L161" s="18" t="inlineStr">
        <is>
          <t>Выплата начисленного вознаграждения по депозитному договору № 01607034 от 24.07.2025 за пе</t>
        </is>
      </c>
    </row>
    <row r="162">
      <c r="A162" s="18" t="inlineStr">
        <is>
          <t>БЦК</t>
        </is>
      </c>
      <c r="B162" s="19" t="inlineStr">
        <is>
          <t>25.06.2026</t>
        </is>
      </c>
      <c r="C162" s="18" t="inlineStr">
        <is>
          <t>ТОО WayStar Group</t>
        </is>
      </c>
      <c r="D162" s="18" t="inlineStr">
        <is>
          <t>WayStar Group</t>
        </is>
      </c>
      <c r="E162" s="18" t="inlineStr">
        <is>
          <t>240340014287</t>
        </is>
      </c>
      <c r="F162" s="20" t="n">
        <v>4070000</v>
      </c>
      <c r="G162" s="20" t="n"/>
      <c r="H162" s="19" t="inlineStr">
        <is>
          <t>343</t>
        </is>
      </c>
      <c r="I162" s="18" t="inlineStr">
        <is>
          <t>INTERNAL</t>
        </is>
      </c>
      <c r="J162" s="18" t="inlineStr">
        <is>
          <t>Переводы между своими счетами</t>
        </is>
      </c>
      <c r="K162" s="19" t="inlineStr"/>
      <c r="L162" s="18" t="inlineStr">
        <is>
          <t>перевод на другой счет Переводы клиентом денег со своего текущего счета в одном банке фили</t>
        </is>
      </c>
    </row>
    <row r="163">
      <c r="A163" s="18" t="inlineStr">
        <is>
          <t>БЦК</t>
        </is>
      </c>
      <c r="B163" s="19" t="inlineStr">
        <is>
          <t>25.06.2026</t>
        </is>
      </c>
      <c r="C163" s="18" t="inlineStr">
        <is>
          <t xml:space="preserve">Товарищество с ограниченной ответственностью </t>
        </is>
      </c>
      <c r="D163" s="18" t="inlineStr">
        <is>
          <t>WayStar Group</t>
        </is>
      </c>
      <c r="E163" s="18" t="inlineStr">
        <is>
          <t>240340014287</t>
        </is>
      </c>
      <c r="F163" s="20" t="n">
        <v>28088181.58</v>
      </c>
      <c r="G163" s="20" t="n"/>
      <c r="H163" s="19" t="inlineStr">
        <is>
          <t>322</t>
        </is>
      </c>
      <c r="I163" s="18" t="inlineStr">
        <is>
          <t>TREASURY</t>
        </is>
      </c>
      <c r="J163" s="18" t="inlineStr">
        <is>
          <t>Снятие/возврат депозита</t>
        </is>
      </c>
      <c r="K163" s="19" t="inlineStr"/>
      <c r="L163" s="18" t="inlineStr">
        <is>
          <t>Частичная выплата вклада по депозитному договору № 01607034 от 25.06.2026 в размере 280881</t>
        </is>
      </c>
    </row>
    <row r="164">
      <c r="A164" s="18" t="inlineStr">
        <is>
          <t>БЦК</t>
        </is>
      </c>
      <c r="B164" s="19" t="inlineStr">
        <is>
          <t>25.06.2026</t>
        </is>
      </c>
      <c r="C164" s="18" t="inlineStr">
        <is>
          <t>ТОО  "WayStar Group"</t>
        </is>
      </c>
      <c r="D164" s="18" t="inlineStr">
        <is>
          <t>WayStar Group</t>
        </is>
      </c>
      <c r="E164" s="18" t="inlineStr">
        <is>
          <t>240340014287</t>
        </is>
      </c>
      <c r="F164" s="20" t="n">
        <v>44190000</v>
      </c>
      <c r="G164" s="20" t="n"/>
      <c r="H164" s="19" t="inlineStr">
        <is>
          <t>343</t>
        </is>
      </c>
      <c r="I164" s="18" t="inlineStr">
        <is>
          <t>INTERNAL</t>
        </is>
      </c>
      <c r="J164" s="18" t="inlineStr">
        <is>
          <t>Переводы между своими счетами</t>
        </is>
      </c>
      <c r="K164" s="19" t="inlineStr"/>
      <c r="L164" s="18" t="inlineStr">
        <is>
          <t>перевод на другой счет Переводы клиентом денег со своего текущего счета в одном банке, фил</t>
        </is>
      </c>
    </row>
    <row r="165">
      <c r="A165" s="18" t="inlineStr">
        <is>
          <t>Halyk</t>
        </is>
      </c>
      <c r="B165" s="19" t="inlineStr">
        <is>
          <t>26.06.2026</t>
        </is>
      </c>
      <c r="C165" s="18" t="inlineStr">
        <is>
          <t>ТОО "WayStar Group"</t>
        </is>
      </c>
      <c r="D165" s="18" t="inlineStr">
        <is>
          <t>WayStar Group</t>
        </is>
      </c>
      <c r="E165" s="18" t="inlineStr">
        <is>
          <t>240340014287</t>
        </is>
      </c>
      <c r="F165" s="20" t="n"/>
      <c r="G165" s="20" t="n">
        <v>7500000</v>
      </c>
      <c r="H165" s="19" t="inlineStr">
        <is>
          <t>343</t>
        </is>
      </c>
      <c r="I165" s="18" t="inlineStr">
        <is>
          <t>INTERNAL</t>
        </is>
      </c>
      <c r="J165" s="18" t="inlineStr">
        <is>
          <t>Переводы между своими счетами</t>
        </is>
      </c>
      <c r="K165" s="19" t="inlineStr"/>
      <c r="L165" s="18" t="inlineStr">
        <is>
          <t>Референс 4000664429 перевод на другой счет Переводы клиентом денег со своего текущего счет</t>
        </is>
      </c>
    </row>
    <row r="166">
      <c r="A166" s="18" t="inlineStr">
        <is>
          <t>Halyk</t>
        </is>
      </c>
      <c r="B166" s="19" t="inlineStr">
        <is>
          <t>26.06.2026</t>
        </is>
      </c>
      <c r="C166" s="18" t="inlineStr">
        <is>
          <t>АРАЙ ТОО</t>
        </is>
      </c>
      <c r="D166" s="18" t="inlineStr">
        <is>
          <t>АРАЙ ТОО</t>
        </is>
      </c>
      <c r="E166" s="18" t="inlineStr">
        <is>
          <t>980640000162</t>
        </is>
      </c>
      <c r="F166" s="20" t="n">
        <v>7500000</v>
      </c>
      <c r="G166" s="20" t="n"/>
      <c r="H166" s="19" t="inlineStr">
        <is>
          <t>813</t>
        </is>
      </c>
      <c r="I166" s="18" t="inlineStr">
        <is>
          <t>REVENUE</t>
        </is>
      </c>
      <c r="J166" s="18" t="inlineStr">
        <is>
          <t>Выручка: транспортно-логистические услуги</t>
        </is>
      </c>
      <c r="K166" s="19" t="inlineStr">
        <is>
          <t>ТЭО</t>
        </is>
      </c>
      <c r="L166" s="18" t="inlineStr">
        <is>
          <t>Референс 4000378457 За услуги. Оплата за за услуги железнодорожного транспорта. согласно с</t>
        </is>
      </c>
    </row>
    <row r="167">
      <c r="A167" s="18" t="inlineStr">
        <is>
          <t>RBK</t>
        </is>
      </c>
      <c r="B167" s="19" t="inlineStr">
        <is>
          <t>26.06.2026</t>
        </is>
      </c>
      <c r="C167" s="18" t="inlineStr">
        <is>
          <t>ТОО Каз Алтын Групп</t>
        </is>
      </c>
      <c r="D167" s="18" t="inlineStr">
        <is>
          <t>Каз Алтын Групп</t>
        </is>
      </c>
      <c r="E167" s="18" t="inlineStr">
        <is>
          <t>140940002482</t>
        </is>
      </c>
      <c r="F167" s="20" t="n">
        <v>510000</v>
      </c>
      <c r="G167" s="20" t="n"/>
      <c r="H167" s="19" t="inlineStr"/>
      <c r="I167" s="18" t="inlineStr">
        <is>
          <t>REVENUE</t>
        </is>
      </c>
      <c r="J167" s="18" t="inlineStr">
        <is>
          <t>Выручка: транспортно-логистические услуги</t>
        </is>
      </c>
      <c r="K167" s="19" t="inlineStr">
        <is>
          <t>ТЭО</t>
        </is>
      </c>
      <c r="L167" s="18" t="inlineStr">
        <is>
          <t>Оплата за услуги по счету № 144 от 23.06.2026г. Без НДС. Платежи за услуги железнодорожног</t>
        </is>
      </c>
    </row>
    <row r="168">
      <c r="A168" s="18" t="inlineStr">
        <is>
          <t>RBK</t>
        </is>
      </c>
      <c r="B168" s="19" t="inlineStr">
        <is>
          <t>26.06.2026</t>
        </is>
      </c>
      <c r="C168" s="18" t="inlineStr">
        <is>
          <t>ТОО "Экспорт-М"</t>
        </is>
      </c>
      <c r="D168" s="18" t="inlineStr">
        <is>
          <t>Экспорт-М</t>
        </is>
      </c>
      <c r="E168" s="18" t="inlineStr">
        <is>
          <t>231040000584</t>
        </is>
      </c>
      <c r="F168" s="20" t="n">
        <v>8800000</v>
      </c>
      <c r="G168" s="20" t="n"/>
      <c r="H168" s="19" t="inlineStr"/>
      <c r="I168" s="18" t="inlineStr">
        <is>
          <t>REVENUE</t>
        </is>
      </c>
      <c r="J168" s="18" t="inlineStr">
        <is>
          <t>Выручка: транспортно-логистические услуги</t>
        </is>
      </c>
      <c r="K168" s="19" t="inlineStr">
        <is>
          <t>ТЭО</t>
        </is>
      </c>
      <c r="L168" s="18" t="inlineStr">
        <is>
          <t>Оплата согласно счета № 134 от 15.06.2026 г,.Сумма 8 800 000-00 тенге без НДС Платежи за у</t>
        </is>
      </c>
    </row>
    <row r="169">
      <c r="A169" s="18" t="inlineStr">
        <is>
          <t>RBK</t>
        </is>
      </c>
      <c r="B169" s="19" t="inlineStr">
        <is>
          <t>26.06.2026</t>
        </is>
      </c>
      <c r="C169" s="18" t="inlineStr">
        <is>
          <t xml:space="preserve">Товарищество с ограниченной ответственностью </t>
        </is>
      </c>
      <c r="D169" s="18" t="inlineStr">
        <is>
          <t>QAZAQ-ASTYQ GROUP</t>
        </is>
      </c>
      <c r="E169" s="18" t="inlineStr">
        <is>
          <t>180240007079</t>
        </is>
      </c>
      <c r="F169" s="20" t="n">
        <v>16053660</v>
      </c>
      <c r="G169" s="20" t="n"/>
      <c r="H169" s="19" t="inlineStr"/>
      <c r="I169" s="18" t="inlineStr">
        <is>
          <t>REVENUE</t>
        </is>
      </c>
      <c r="J169" s="18" t="inlineStr">
        <is>
          <t>Выручка: транспортно-логистические услуги</t>
        </is>
      </c>
      <c r="K169" s="19" t="inlineStr">
        <is>
          <t>Аренда</t>
        </is>
      </c>
      <c r="L169" s="18" t="inlineStr">
        <is>
          <t>Оплата за аренда ЖД цистерн для перевозки рафинированного масла за июль месяц договор суба</t>
        </is>
      </c>
    </row>
    <row r="170">
      <c r="A170" s="18" t="inlineStr">
        <is>
          <t>RBK</t>
        </is>
      </c>
      <c r="B170" s="19" t="inlineStr">
        <is>
          <t>26.06.2026</t>
        </is>
      </c>
      <c r="C170" s="18" t="inlineStr">
        <is>
          <t>ТОО "QAZAQ-ASTYQ GROUP"</t>
        </is>
      </c>
      <c r="D170" s="18" t="inlineStr">
        <is>
          <t>QAZAQ-ASTYQ GROUP</t>
        </is>
      </c>
      <c r="E170" s="18" t="inlineStr">
        <is>
          <t>180240007079</t>
        </is>
      </c>
      <c r="F170" s="20" t="n">
        <v>40134150</v>
      </c>
      <c r="G170" s="20" t="n"/>
      <c r="H170" s="19" t="inlineStr"/>
      <c r="I170" s="18" t="inlineStr">
        <is>
          <t>REVENUE</t>
        </is>
      </c>
      <c r="J170" s="18" t="inlineStr">
        <is>
          <t>Выручка: транспортно-логистические услуги</t>
        </is>
      </c>
      <c r="K170" s="19" t="inlineStr">
        <is>
          <t>Аренда</t>
        </is>
      </c>
      <c r="L170" s="18" t="inlineStr">
        <is>
          <t xml:space="preserve">Оплата ЖД цистерн за июль 2026 договор субаренды вагонов №1-25/10-10 от 10.07.2025г. Счет </t>
        </is>
      </c>
    </row>
    <row r="171">
      <c r="A171" s="18" t="inlineStr">
        <is>
          <t>RBK</t>
        </is>
      </c>
      <c r="B171" s="19" t="inlineStr">
        <is>
          <t>26.06.2026</t>
        </is>
      </c>
      <c r="C171" s="18" t="inlineStr">
        <is>
          <t>ФИЛИАЛ АО "BANK RBK" В Г.АСТАНА</t>
        </is>
      </c>
      <c r="D171" s="18" t="inlineStr">
        <is>
          <t>ФИЛИАЛ АО "BANK RBK" В Г.АСТАНА</t>
        </is>
      </c>
      <c r="E171" s="18" t="inlineStr">
        <is>
          <t>111141019679</t>
        </is>
      </c>
      <c r="F171" s="20" t="n"/>
      <c r="G171" s="20" t="n">
        <v>4000</v>
      </c>
      <c r="H171" s="19" t="inlineStr"/>
      <c r="I171" s="18" t="inlineStr">
        <is>
          <t>OPEX</t>
        </is>
      </c>
      <c r="J171" s="18" t="inlineStr">
        <is>
          <t>Прочие услуги и расходы</t>
        </is>
      </c>
      <c r="K171" s="19" t="inlineStr"/>
      <c r="L171" s="18" t="inlineStr">
        <is>
          <t>Комиссия Банка за переводные операции по платежному документу № 1180 от 26/06/2026, в т.ч.</t>
        </is>
      </c>
    </row>
    <row r="172">
      <c r="A172" s="18" t="inlineStr">
        <is>
          <t>RBK</t>
        </is>
      </c>
      <c r="B172" s="19" t="inlineStr">
        <is>
          <t>26.06.2026</t>
        </is>
      </c>
      <c r="C172" s="18" t="inlineStr">
        <is>
          <t>АО "Банк "Bank RBK"</t>
        </is>
      </c>
      <c r="D172" s="18" t="inlineStr">
        <is>
          <t>Банк "Bank RBK</t>
        </is>
      </c>
      <c r="E172" s="18" t="inlineStr">
        <is>
          <t>920440001102</t>
        </is>
      </c>
      <c r="F172" s="20" t="n"/>
      <c r="G172" s="20" t="n">
        <v>4520.34</v>
      </c>
      <c r="H172" s="19" t="inlineStr"/>
      <c r="I172" s="18" t="inlineStr">
        <is>
          <t>FIN_COST</t>
        </is>
      </c>
      <c r="J172" s="18" t="inlineStr">
        <is>
          <t>Проценты и пени по кредитам</t>
        </is>
      </c>
      <c r="K172" s="19" t="inlineStr"/>
      <c r="L172" s="18" t="inlineStr">
        <is>
          <t>Погашение начисленного вознаграждения по договору ТОО  "WayStar Group", согласно кредитном</t>
        </is>
      </c>
    </row>
    <row r="173">
      <c r="A173" s="18" t="inlineStr">
        <is>
          <t>RBK</t>
        </is>
      </c>
      <c r="B173" s="19" t="inlineStr">
        <is>
          <t>26.06.2026</t>
        </is>
      </c>
      <c r="C173" s="18" t="inlineStr">
        <is>
          <t>АО "Банк "Bank RBK"</t>
        </is>
      </c>
      <c r="D173" s="18" t="inlineStr">
        <is>
          <t>Банк "Bank RBK</t>
        </is>
      </c>
      <c r="E173" s="18" t="inlineStr">
        <is>
          <t>920440001102</t>
        </is>
      </c>
      <c r="F173" s="20" t="n"/>
      <c r="G173" s="20" t="n">
        <v>372331.51</v>
      </c>
      <c r="H173" s="19" t="inlineStr"/>
      <c r="I173" s="18" t="inlineStr">
        <is>
          <t>FIN_COST</t>
        </is>
      </c>
      <c r="J173" s="18" t="inlineStr">
        <is>
          <t>Проценты и пени по кредитам</t>
        </is>
      </c>
      <c r="K173" s="19" t="inlineStr"/>
      <c r="L173" s="18" t="inlineStr">
        <is>
          <t>Погашение начисленного вознаграждения по договору ТОО  "WayStar Group", согласно кредитном</t>
        </is>
      </c>
    </row>
    <row r="174">
      <c r="A174" s="18" t="inlineStr">
        <is>
          <t>RBK</t>
        </is>
      </c>
      <c r="B174" s="19" t="inlineStr">
        <is>
          <t>26.06.2026</t>
        </is>
      </c>
      <c r="C174" s="18" t="inlineStr">
        <is>
          <t>АО "Банк "Bank RBK"</t>
        </is>
      </c>
      <c r="D174" s="18" t="inlineStr">
        <is>
          <t>Банк "Bank RBK</t>
        </is>
      </c>
      <c r="E174" s="18" t="inlineStr">
        <is>
          <t>920440001102</t>
        </is>
      </c>
      <c r="F174" s="20" t="n"/>
      <c r="G174" s="20" t="n">
        <v>8238998.17</v>
      </c>
      <c r="H174" s="19" t="inlineStr"/>
      <c r="I174" s="18" t="inlineStr">
        <is>
          <t>FINANCING</t>
        </is>
      </c>
      <c r="J174" s="18" t="inlineStr">
        <is>
          <t>Погашение / выдача займов</t>
        </is>
      </c>
      <c r="K174" s="19" t="inlineStr"/>
      <c r="L174" s="18" t="inlineStr">
        <is>
          <t>Погашение суммы займа по договору ТОО  "WayStar Group", согласно кредитному договору № КЛЮ</t>
        </is>
      </c>
    </row>
    <row r="175">
      <c r="A175" s="18" t="inlineStr">
        <is>
          <t>RBK</t>
        </is>
      </c>
      <c r="B175" s="19" t="inlineStr">
        <is>
          <t>26.06.2026</t>
        </is>
      </c>
      <c r="C175" s="18" t="inlineStr">
        <is>
          <t>АО "Банк "Bank RBK"</t>
        </is>
      </c>
      <c r="D175" s="18" t="inlineStr">
        <is>
          <t>Банк "Bank RBK</t>
        </is>
      </c>
      <c r="E175" s="18" t="inlineStr">
        <is>
          <t>920440001102</t>
        </is>
      </c>
      <c r="F175" s="20" t="n"/>
      <c r="G175" s="20" t="n">
        <v>8427668.49</v>
      </c>
      <c r="H175" s="19" t="inlineStr"/>
      <c r="I175" s="18" t="inlineStr">
        <is>
          <t>FINANCING</t>
        </is>
      </c>
      <c r="J175" s="18" t="inlineStr">
        <is>
          <t>Погашение / выдача займов</t>
        </is>
      </c>
      <c r="K175" s="19" t="inlineStr"/>
      <c r="L175" s="18" t="inlineStr">
        <is>
          <t>Погашение суммы займа по договору ТОО  "WayStar Group", согласно кредитному договору № КЛЮ</t>
        </is>
      </c>
    </row>
    <row r="176">
      <c r="A176" s="18" t="inlineStr">
        <is>
          <t>RBK</t>
        </is>
      </c>
      <c r="B176" s="19" t="inlineStr">
        <is>
          <t>26.06.2026</t>
        </is>
      </c>
      <c r="C176" s="18" t="inlineStr">
        <is>
          <t>ТОО "WayStar Group"</t>
        </is>
      </c>
      <c r="D176" s="18" t="inlineStr">
        <is>
          <t>WayStar Group</t>
        </is>
      </c>
      <c r="E176" s="18" t="inlineStr">
        <is>
          <t>240340014287</t>
        </is>
      </c>
      <c r="F176" s="20" t="n"/>
      <c r="G176" s="20" t="n">
        <v>48450000</v>
      </c>
      <c r="H176" s="19" t="inlineStr"/>
      <c r="I176" s="18" t="inlineStr">
        <is>
          <t>INTERNAL</t>
        </is>
      </c>
      <c r="J176" s="18" t="inlineStr">
        <is>
          <t>Переводы между своими счетами</t>
        </is>
      </c>
      <c r="K176" s="19" t="inlineStr"/>
      <c r="L176" s="18" t="inlineStr">
        <is>
          <t>перевод на другой счет Переводы клиентом денег со своего текущего счета в одном банке, фил</t>
        </is>
      </c>
    </row>
    <row r="177">
      <c r="A177" s="18" t="inlineStr">
        <is>
          <t>БЦК</t>
        </is>
      </c>
      <c r="B177" s="19" t="inlineStr">
        <is>
          <t>26.06.2026</t>
        </is>
      </c>
      <c r="C177" s="18" t="inlineStr">
        <is>
          <t xml:space="preserve">Товарищество с ограниченной ответственностью </t>
        </is>
      </c>
      <c r="D177" s="18" t="inlineStr">
        <is>
          <t>Қамқор Вагон</t>
        </is>
      </c>
      <c r="E177" s="18" t="inlineStr">
        <is>
          <t>030440002799</t>
        </is>
      </c>
      <c r="F177" s="20" t="n"/>
      <c r="G177" s="20" t="n">
        <v>53669.72</v>
      </c>
      <c r="H177" s="19" t="inlineStr">
        <is>
          <t>822</t>
        </is>
      </c>
      <c r="I177" s="18" t="inlineStr">
        <is>
          <t>COGS</t>
        </is>
      </c>
      <c r="J177" s="18" t="inlineStr">
        <is>
          <t>Ремонт и ТО вагонов</t>
        </is>
      </c>
      <c r="K177" s="19" t="inlineStr">
        <is>
          <t>ТЭО</t>
        </is>
      </c>
      <c r="L177" s="18" t="inlineStr">
        <is>
          <t>Договор №418-КВ/Д от 25.11.2025 г. Счет на оплату № 80/АВРД от 25.06.2026 г. Текущий ремон</t>
        </is>
      </c>
    </row>
    <row r="178">
      <c r="A178" s="18" t="inlineStr">
        <is>
          <t>БЦК</t>
        </is>
      </c>
      <c r="B178" s="19" t="inlineStr">
        <is>
          <t>26.06.2026</t>
        </is>
      </c>
      <c r="C178" s="18" t="inlineStr">
        <is>
          <t>КТТ (ҚАЗТЕМІРТРАНС) АО</t>
        </is>
      </c>
      <c r="D178" s="18" t="inlineStr">
        <is>
          <t>КТТ (ҚАЗТЕМІРТРАНС) АО</t>
        </is>
      </c>
      <c r="E178" s="18" t="inlineStr">
        <is>
          <t>031040000572</t>
        </is>
      </c>
      <c r="F178" s="20" t="n"/>
      <c r="G178" s="20" t="n">
        <v>1500000</v>
      </c>
      <c r="H178" s="19" t="inlineStr">
        <is>
          <t>813</t>
        </is>
      </c>
      <c r="I178" s="18" t="inlineStr">
        <is>
          <t>COGS</t>
        </is>
      </c>
      <c r="J178" s="18" t="inlineStr">
        <is>
          <t>Ж/д тариф, вагоны, услуги перевозчиков</t>
        </is>
      </c>
      <c r="K178" s="19" t="inlineStr">
        <is>
          <t>ТЭО</t>
        </is>
      </c>
      <c r="L178" s="18" t="inlineStr">
        <is>
          <t>Счет на оплату № К-208074/26 от 25.06.2026 г. по Договору № 20-02-2026/14989-НПрк от 20 фе</t>
        </is>
      </c>
    </row>
    <row r="179">
      <c r="A179" s="18" t="inlineStr">
        <is>
          <t>БЦК</t>
        </is>
      </c>
      <c r="B179" s="19" t="inlineStr">
        <is>
          <t>26.06.2026</t>
        </is>
      </c>
      <c r="C179" s="18" t="inlineStr">
        <is>
          <t>ТОО КТЖ-Грузовые перевозки</t>
        </is>
      </c>
      <c r="D179" s="18" t="inlineStr">
        <is>
          <t>КТЖ-Грузовые перевозки</t>
        </is>
      </c>
      <c r="E179" s="18" t="inlineStr">
        <is>
          <t>031040001799</t>
        </is>
      </c>
      <c r="F179" s="20" t="n"/>
      <c r="G179" s="20" t="n">
        <v>7500000</v>
      </c>
      <c r="H179" s="19" t="inlineStr">
        <is>
          <t>813</t>
        </is>
      </c>
      <c r="I179" s="18" t="inlineStr">
        <is>
          <t>COGS</t>
        </is>
      </c>
      <c r="J179" s="18" t="inlineStr">
        <is>
          <t>Ж/д тариф, вагоны, услуги перевозчиков</t>
        </is>
      </c>
      <c r="K179" s="19" t="inlineStr">
        <is>
          <t>ТЭО</t>
        </is>
      </c>
      <c r="L179" s="18" t="inlineStr">
        <is>
          <t>Без НДС, 4185494, Платежи за услуги железнодорожного транспорта</t>
        </is>
      </c>
    </row>
    <row r="180">
      <c r="A180" s="18" t="inlineStr">
        <is>
          <t>БЦК</t>
        </is>
      </c>
      <c r="B180" s="19" t="inlineStr">
        <is>
          <t>26.06.2026</t>
        </is>
      </c>
      <c r="C180" s="18" t="inlineStr">
        <is>
          <t xml:space="preserve">Товарищество с ограниченной ответственностью </t>
        </is>
      </c>
      <c r="D180" s="18" t="inlineStr">
        <is>
          <t>Рейл Транспортейшн</t>
        </is>
      </c>
      <c r="E180" s="18" t="inlineStr">
        <is>
          <t>221040045601</t>
        </is>
      </c>
      <c r="F180" s="20" t="n"/>
      <c r="G180" s="20" t="n">
        <v>21929292</v>
      </c>
      <c r="H180" s="19" t="inlineStr">
        <is>
          <t>813</t>
        </is>
      </c>
      <c r="I180" s="18" t="inlineStr">
        <is>
          <t>COGS</t>
        </is>
      </c>
      <c r="J180" s="18" t="inlineStr">
        <is>
          <t>Ж/д тариф, вагоны, услуги перевозчиков</t>
        </is>
      </c>
      <c r="K180" s="19" t="inlineStr">
        <is>
          <t>ТЭО</t>
        </is>
      </c>
      <c r="L180" s="18" t="inlineStr">
        <is>
          <t>Договор RT/151 от 12.11.2024 г. INVOICE N 1276 от 23/06/2026</t>
        </is>
      </c>
    </row>
    <row r="181">
      <c r="A181" s="18" t="inlineStr">
        <is>
          <t>БЦК</t>
        </is>
      </c>
      <c r="B181" s="19" t="inlineStr">
        <is>
          <t>26.06.2026</t>
        </is>
      </c>
      <c r="C181" s="18" t="inlineStr">
        <is>
          <t xml:space="preserve">Товарищество с ограниченной ответственностью </t>
        </is>
      </c>
      <c r="D181" s="18" t="inlineStr">
        <is>
          <t>WayStar Group</t>
        </is>
      </c>
      <c r="E181" s="18" t="inlineStr">
        <is>
          <t>240340014287</t>
        </is>
      </c>
      <c r="F181" s="20" t="n"/>
      <c r="G181" s="20" t="n">
        <v>46690475.6</v>
      </c>
      <c r="H181" s="19" t="inlineStr">
        <is>
          <t>312</t>
        </is>
      </c>
      <c r="I181" s="18" t="inlineStr">
        <is>
          <t>TREASURY</t>
        </is>
      </c>
      <c r="J181" s="18" t="inlineStr">
        <is>
          <t>Размещение депозита</t>
        </is>
      </c>
      <c r="K181" s="19" t="inlineStr"/>
      <c r="L181" s="18" t="inlineStr">
        <is>
          <t>Размещение вклада</t>
        </is>
      </c>
    </row>
    <row r="182">
      <c r="A182" s="18" t="inlineStr">
        <is>
          <t>БЦК</t>
        </is>
      </c>
      <c r="B182" s="19" t="inlineStr">
        <is>
          <t>26.06.2026</t>
        </is>
      </c>
      <c r="C182" s="18" t="inlineStr">
        <is>
          <t xml:space="preserve">Товарищество с ограниченной ответственностью </t>
        </is>
      </c>
      <c r="D182" s="18" t="inlineStr">
        <is>
          <t>WayStar Group</t>
        </is>
      </c>
      <c r="E182" s="18" t="inlineStr">
        <is>
          <t>240340014287</t>
        </is>
      </c>
      <c r="F182" s="20" t="n">
        <v>7332.91</v>
      </c>
      <c r="G182" s="20" t="n"/>
      <c r="H182" s="19" t="inlineStr">
        <is>
          <t>316</t>
        </is>
      </c>
      <c r="I182" s="18" t="inlineStr">
        <is>
          <t>FIN_INCOME</t>
        </is>
      </c>
      <c r="J182" s="18" t="inlineStr">
        <is>
          <t>% по депозиту</t>
        </is>
      </c>
      <c r="K182" s="19" t="inlineStr"/>
      <c r="L182" s="18" t="inlineStr">
        <is>
          <t>Выплата начисленного вознаграждения по депозитному договору № 01607034 от 24.07.2025 за пе</t>
        </is>
      </c>
    </row>
    <row r="183">
      <c r="A183" s="18" t="inlineStr">
        <is>
          <t>БЦК</t>
        </is>
      </c>
      <c r="B183" s="19" t="inlineStr">
        <is>
          <t>26.06.2026</t>
        </is>
      </c>
      <c r="C183" s="18" t="inlineStr">
        <is>
          <t>ТОО WayStar Group</t>
        </is>
      </c>
      <c r="D183" s="18" t="inlineStr">
        <is>
          <t>WayStar Group</t>
        </is>
      </c>
      <c r="E183" s="18" t="inlineStr">
        <is>
          <t>240340014287</t>
        </is>
      </c>
      <c r="F183" s="20" t="n">
        <v>7500000</v>
      </c>
      <c r="G183" s="20" t="n"/>
      <c r="H183" s="19" t="inlineStr">
        <is>
          <t>343</t>
        </is>
      </c>
      <c r="I183" s="18" t="inlineStr">
        <is>
          <t>INTERNAL</t>
        </is>
      </c>
      <c r="J183" s="18" t="inlineStr">
        <is>
          <t>Переводы между своими счетами</t>
        </is>
      </c>
      <c r="K183" s="19" t="inlineStr"/>
      <c r="L183" s="18" t="inlineStr">
        <is>
          <t>перевод на другой счет Переводы клиентом денег со своего текущего счета в одном банке фили</t>
        </is>
      </c>
    </row>
    <row r="184">
      <c r="A184" s="18" t="inlineStr">
        <is>
          <t>БЦК</t>
        </is>
      </c>
      <c r="B184" s="19" t="inlineStr">
        <is>
          <t>26.06.2026</t>
        </is>
      </c>
      <c r="C184" s="18" t="inlineStr">
        <is>
          <t xml:space="preserve">Товарищество с ограниченной ответственностью </t>
        </is>
      </c>
      <c r="D184" s="18" t="inlineStr">
        <is>
          <t>WayStar Group</t>
        </is>
      </c>
      <c r="E184" s="18" t="inlineStr">
        <is>
          <t>240340014287</t>
        </is>
      </c>
      <c r="F184" s="20" t="n">
        <v>21716104.41</v>
      </c>
      <c r="G184" s="20" t="n"/>
      <c r="H184" s="19" t="inlineStr">
        <is>
          <t>322</t>
        </is>
      </c>
      <c r="I184" s="18" t="inlineStr">
        <is>
          <t>TREASURY</t>
        </is>
      </c>
      <c r="J184" s="18" t="inlineStr">
        <is>
          <t>Снятие/возврат депозита</t>
        </is>
      </c>
      <c r="K184" s="19" t="inlineStr"/>
      <c r="L184" s="18" t="inlineStr">
        <is>
          <t>Частичная выплата вклада по депозитному договору № 01607034 от 26.06.2026 в размере 217161</t>
        </is>
      </c>
    </row>
    <row r="185">
      <c r="A185" s="18" t="inlineStr">
        <is>
          <t>БЦК</t>
        </is>
      </c>
      <c r="B185" s="19" t="inlineStr">
        <is>
          <t>26.06.2026</t>
        </is>
      </c>
      <c r="C185" s="18" t="inlineStr">
        <is>
          <t>ТОО  "WayStar Group"</t>
        </is>
      </c>
      <c r="D185" s="18" t="inlineStr">
        <is>
          <t>WayStar Group</t>
        </is>
      </c>
      <c r="E185" s="18" t="inlineStr">
        <is>
          <t>240340014287</t>
        </is>
      </c>
      <c r="F185" s="20" t="n">
        <v>48450000</v>
      </c>
      <c r="G185" s="20" t="n"/>
      <c r="H185" s="19" t="inlineStr">
        <is>
          <t>343</t>
        </is>
      </c>
      <c r="I185" s="18" t="inlineStr">
        <is>
          <t>INTERNAL</t>
        </is>
      </c>
      <c r="J185" s="18" t="inlineStr">
        <is>
          <t>Переводы между своими счетами</t>
        </is>
      </c>
      <c r="K185" s="19" t="inlineStr"/>
      <c r="L185" s="18" t="inlineStr">
        <is>
          <t>перевод на другой счет Переводы клиентом денег со своего текущего счета в одном банке, фил</t>
        </is>
      </c>
    </row>
    <row r="186">
      <c r="A186" s="18" t="inlineStr">
        <is>
          <t>БЦК</t>
        </is>
      </c>
      <c r="B186" s="19" t="inlineStr">
        <is>
          <t>27.06.2026</t>
        </is>
      </c>
      <c r="C186" s="18" t="inlineStr">
        <is>
          <t>Серикбаев А.Д.</t>
        </is>
      </c>
      <c r="D186" s="18" t="inlineStr">
        <is>
          <t>Серикбаев А.Д.</t>
        </is>
      </c>
      <c r="E186" s="18" t="inlineStr">
        <is>
          <t>940422350422</t>
        </is>
      </c>
      <c r="F186" s="20" t="n"/>
      <c r="G186" s="20" t="n">
        <v>500000</v>
      </c>
      <c r="H186" s="19" t="inlineStr">
        <is>
          <t>413</t>
        </is>
      </c>
      <c r="I186" s="18" t="inlineStr">
        <is>
          <t>FINANCING</t>
        </is>
      </c>
      <c r="J186" s="18" t="inlineStr">
        <is>
          <t>Погашение / выдача займов</t>
        </is>
      </c>
      <c r="K186" s="19" t="inlineStr"/>
      <c r="L186" s="18" t="inlineStr">
        <is>
          <t>займ. Без НДС. Выдача долгосрочных займов (более одного года)</t>
        </is>
      </c>
    </row>
    <row r="187">
      <c r="A187" s="18" t="inlineStr">
        <is>
          <t>БЦК</t>
        </is>
      </c>
      <c r="B187" s="19" t="inlineStr">
        <is>
          <t>27.06.2026</t>
        </is>
      </c>
      <c r="C187" s="18" t="inlineStr">
        <is>
          <t xml:space="preserve">Товарищество с ограниченной ответственностью </t>
        </is>
      </c>
      <c r="D187" s="18" t="inlineStr">
        <is>
          <t>WayStar Group</t>
        </is>
      </c>
      <c r="E187" s="18" t="inlineStr">
        <is>
          <t>240340014287</t>
        </is>
      </c>
      <c r="F187" s="20" t="n">
        <v>15766.03</v>
      </c>
      <c r="G187" s="20" t="n"/>
      <c r="H187" s="19" t="inlineStr">
        <is>
          <t>316</t>
        </is>
      </c>
      <c r="I187" s="18" t="inlineStr">
        <is>
          <t>FIN_INCOME</t>
        </is>
      </c>
      <c r="J187" s="18" t="inlineStr">
        <is>
          <t>% по депозиту</t>
        </is>
      </c>
      <c r="K187" s="19" t="inlineStr"/>
      <c r="L187" s="18" t="inlineStr">
        <is>
          <t>Выплата начисленного вознаграждения по депозитному договору № 01607034 от 24.07.2025 за пе</t>
        </is>
      </c>
    </row>
    <row r="188">
      <c r="A188" s="18" t="inlineStr">
        <is>
          <t>БЦК</t>
        </is>
      </c>
      <c r="B188" s="19" t="inlineStr">
        <is>
          <t>27.06.2026</t>
        </is>
      </c>
      <c r="C188" s="18" t="inlineStr">
        <is>
          <t xml:space="preserve">Товарищество с ограниченной ответственностью </t>
        </is>
      </c>
      <c r="D188" s="18" t="inlineStr">
        <is>
          <t>WayStar Group</t>
        </is>
      </c>
      <c r="E188" s="18" t="inlineStr">
        <is>
          <t>240340014287</t>
        </is>
      </c>
      <c r="F188" s="20" t="n">
        <v>500000</v>
      </c>
      <c r="G188" s="20" t="n"/>
      <c r="H188" s="19" t="inlineStr">
        <is>
          <t>322</t>
        </is>
      </c>
      <c r="I188" s="18" t="inlineStr">
        <is>
          <t>TREASURY</t>
        </is>
      </c>
      <c r="J188" s="18" t="inlineStr">
        <is>
          <t>Снятие/возврат депозита</t>
        </is>
      </c>
      <c r="K188" s="19" t="inlineStr"/>
      <c r="L188" s="18" t="inlineStr">
        <is>
          <t>Без НДС. Снятие с краткосрочного вклада (не более одного года)</t>
        </is>
      </c>
    </row>
    <row r="189">
      <c r="A189" s="18" t="inlineStr">
        <is>
          <t>БЦК</t>
        </is>
      </c>
      <c r="B189" s="19" t="inlineStr">
        <is>
          <t>28.06.2026</t>
        </is>
      </c>
      <c r="C189" s="18" t="inlineStr">
        <is>
          <t xml:space="preserve">Товарищество с ограниченной ответственностью </t>
        </is>
      </c>
      <c r="D189" s="18" t="inlineStr">
        <is>
          <t>WayStar Group</t>
        </is>
      </c>
      <c r="E189" s="18" t="inlineStr">
        <is>
          <t>240340014287</t>
        </is>
      </c>
      <c r="F189" s="20" t="n">
        <v>15597.19</v>
      </c>
      <c r="G189" s="20" t="n"/>
      <c r="H189" s="19" t="inlineStr">
        <is>
          <t>316</t>
        </is>
      </c>
      <c r="I189" s="18" t="inlineStr">
        <is>
          <t>FIN_INCOME</t>
        </is>
      </c>
      <c r="J189" s="18" t="inlineStr">
        <is>
          <t>% по депозиту</t>
        </is>
      </c>
      <c r="K189" s="19" t="inlineStr"/>
      <c r="L189" s="18" t="inlineStr">
        <is>
          <t>Выплата начисленного вознаграждения по депозитному договору № 01607034 от 24.07.2025 за пе</t>
        </is>
      </c>
    </row>
    <row r="190">
      <c r="A190" s="18" t="inlineStr">
        <is>
          <t>Halyk</t>
        </is>
      </c>
      <c r="B190" s="19" t="inlineStr">
        <is>
          <t>29.06.2026</t>
        </is>
      </c>
      <c r="C190" s="18" t="inlineStr">
        <is>
          <t>ТОО "КТЖ-ГРУЗОВЫЕ ПЕРЕВОЗКИ"</t>
        </is>
      </c>
      <c r="D190" s="18" t="inlineStr">
        <is>
          <t>КТЖ-ГРУЗОВЫЕ ПЕРЕВОЗКИ</t>
        </is>
      </c>
      <c r="E190" s="18" t="inlineStr">
        <is>
          <t>031040001799</t>
        </is>
      </c>
      <c r="F190" s="20" t="n"/>
      <c r="G190" s="20" t="n">
        <v>10000000</v>
      </c>
      <c r="H190" s="19" t="inlineStr">
        <is>
          <t>813</t>
        </is>
      </c>
      <c r="I190" s="18" t="inlineStr">
        <is>
          <t>COGS</t>
        </is>
      </c>
      <c r="J190" s="18" t="inlineStr">
        <is>
          <t>Ж/д тариф, вагоны, услуги перевозчиков</t>
        </is>
      </c>
      <c r="K190" s="19" t="inlineStr">
        <is>
          <t>ТЭО</t>
        </is>
      </c>
      <c r="L190" s="18" t="inlineStr">
        <is>
          <t>Референс 4003918885 4185494, Без НДС, Платежи за услуги железнодорожного транспортаПлатежи</t>
        </is>
      </c>
    </row>
    <row r="191">
      <c r="A191" s="18" t="inlineStr">
        <is>
          <t>Halyk</t>
        </is>
      </c>
      <c r="B191" s="19" t="inlineStr">
        <is>
          <t>29.06.2026</t>
        </is>
      </c>
      <c r="C191" s="18" t="inlineStr">
        <is>
          <t>ТОО "ResursLogistiс (РесурсЛогистик)"</t>
        </is>
      </c>
      <c r="D191" s="18" t="inlineStr">
        <is>
          <t>ResursLogistiс (РесурсЛогистик)</t>
        </is>
      </c>
      <c r="E191" s="18" t="inlineStr">
        <is>
          <t>230940036377</t>
        </is>
      </c>
      <c r="F191" s="20" t="n">
        <v>10000000</v>
      </c>
      <c r="G191" s="20" t="n"/>
      <c r="H191" s="19" t="inlineStr">
        <is>
          <t>813</t>
        </is>
      </c>
      <c r="I191" s="18" t="inlineStr">
        <is>
          <t>REVENUE</t>
        </is>
      </c>
      <c r="J191" s="18" t="inlineStr">
        <is>
          <t>Выручка: транспортно-логистические услуги</t>
        </is>
      </c>
      <c r="K191" s="19" t="inlineStr">
        <is>
          <t>ТЭО</t>
        </is>
      </c>
      <c r="L191" s="18" t="inlineStr">
        <is>
          <t>Референс 4003908878 За ТЭУ с/но договора №2026/03-14 от 05.03.26 г. Без НДС Платежи за усл</t>
        </is>
      </c>
    </row>
    <row r="192">
      <c r="A192" s="18" t="inlineStr">
        <is>
          <t>Halyk</t>
        </is>
      </c>
      <c r="B192" s="19" t="inlineStr">
        <is>
          <t>29.06.2026</t>
        </is>
      </c>
      <c r="C192" s="18" t="inlineStr">
        <is>
          <t>ТОО "WayStar Group"</t>
        </is>
      </c>
      <c r="D192" s="18" t="inlineStr">
        <is>
          <t>WayStar Group</t>
        </is>
      </c>
      <c r="E192" s="18" t="inlineStr">
        <is>
          <t>240340014287</t>
        </is>
      </c>
      <c r="F192" s="20" t="n"/>
      <c r="G192" s="20" t="n">
        <v>2000000</v>
      </c>
      <c r="H192" s="19" t="inlineStr">
        <is>
          <t>343</t>
        </is>
      </c>
      <c r="I192" s="18" t="inlineStr">
        <is>
          <t>INTERNAL</t>
        </is>
      </c>
      <c r="J192" s="18" t="inlineStr">
        <is>
          <t>Переводы между своими счетами</t>
        </is>
      </c>
      <c r="K192" s="19" t="inlineStr"/>
      <c r="L192" s="18" t="inlineStr">
        <is>
          <t>Референс 4003796049 перевод на другой счет Переводы клиентом денег со своего текущего счет</t>
        </is>
      </c>
    </row>
    <row r="193">
      <c r="A193" s="18" t="inlineStr">
        <is>
          <t>Halyk</t>
        </is>
      </c>
      <c r="B193" s="19" t="inlineStr">
        <is>
          <t>29.06.2026</t>
        </is>
      </c>
      <c r="C193" s="18" t="inlineStr">
        <is>
          <t>ТОО "GREENLIGHTS (ГРИНЛАЙТС)"</t>
        </is>
      </c>
      <c r="D193" s="18" t="inlineStr">
        <is>
          <t>GREENLIGHTS (ГРИНЛАЙТС)</t>
        </is>
      </c>
      <c r="E193" s="18" t="inlineStr">
        <is>
          <t>210840025853</t>
        </is>
      </c>
      <c r="F193" s="20" t="n">
        <v>2000000</v>
      </c>
      <c r="G193" s="20" t="n"/>
      <c r="H193" s="19" t="inlineStr">
        <is>
          <t>813</t>
        </is>
      </c>
      <c r="I193" s="18" t="inlineStr">
        <is>
          <t>REVENUE</t>
        </is>
      </c>
      <c r="J193" s="18" t="inlineStr">
        <is>
          <t>Выручка: транспортно-логистические услуги</t>
        </is>
      </c>
      <c r="K193" s="19" t="inlineStr">
        <is>
          <t>ТЭО</t>
        </is>
      </c>
      <c r="L193" s="18" t="inlineStr">
        <is>
          <t>Референс 4003701857 Оперирование собстенным ПС согл счету №158 от 25.06.2026 Сумма 2000000</t>
        </is>
      </c>
    </row>
    <row r="194">
      <c r="A194" s="18" t="inlineStr">
        <is>
          <t>Halyk</t>
        </is>
      </c>
      <c r="B194" s="19" t="inlineStr">
        <is>
          <t>29.06.2026</t>
        </is>
      </c>
      <c r="C194" s="18" t="inlineStr">
        <is>
          <t xml:space="preserve">Астанинский городской филиал Народного Банка </t>
        </is>
      </c>
      <c r="D194" s="18" t="inlineStr">
        <is>
          <t>Астанинский городской филиал Народного Банка Казахстана</t>
        </is>
      </c>
      <c r="E194" s="18" t="inlineStr">
        <is>
          <t>950341000052</t>
        </is>
      </c>
      <c r="F194" s="20" t="n"/>
      <c r="G194" s="20" t="n">
        <v>300</v>
      </c>
      <c r="H194" s="19" t="inlineStr">
        <is>
          <t>842</t>
        </is>
      </c>
      <c r="I194" s="18" t="inlineStr">
        <is>
          <t>OPEX</t>
        </is>
      </c>
      <c r="J194" s="18" t="inlineStr">
        <is>
          <t>Банковские услуги</t>
        </is>
      </c>
      <c r="K194" s="19" t="inlineStr"/>
      <c r="L194" s="18" t="inlineStr">
        <is>
          <t>Референс 4003241974 За операцию. Информационные справки, предоставляемые по запросу клиент</t>
        </is>
      </c>
    </row>
    <row r="195">
      <c r="A195" s="18" t="inlineStr">
        <is>
          <t>Halyk</t>
        </is>
      </c>
      <c r="B195" s="19" t="inlineStr">
        <is>
          <t>29.06.2026</t>
        </is>
      </c>
      <c r="C195" s="18" t="inlineStr">
        <is>
          <t xml:space="preserve">Астанинский городской филиал Народного Банка </t>
        </is>
      </c>
      <c r="D195" s="18" t="inlineStr">
        <is>
          <t>Астанинский городской филиал Народного Банка Казахстана</t>
        </is>
      </c>
      <c r="E195" s="18" t="inlineStr">
        <is>
          <t>950341000052</t>
        </is>
      </c>
      <c r="F195" s="20" t="n"/>
      <c r="G195" s="20" t="n">
        <v>300</v>
      </c>
      <c r="H195" s="19" t="inlineStr">
        <is>
          <t>842</t>
        </is>
      </c>
      <c r="I195" s="18" t="inlineStr">
        <is>
          <t>OPEX</t>
        </is>
      </c>
      <c r="J195" s="18" t="inlineStr">
        <is>
          <t>Банковские услуги</t>
        </is>
      </c>
      <c r="K195" s="19" t="inlineStr"/>
      <c r="L195" s="18" t="inlineStr">
        <is>
          <t>Референс 4003234342 За операцию. Информационные справки, предоставляемые по запросу клиент</t>
        </is>
      </c>
    </row>
    <row r="196">
      <c r="A196" s="18" t="inlineStr">
        <is>
          <t>Halyk</t>
        </is>
      </c>
      <c r="B196" s="19" t="inlineStr">
        <is>
          <t>29.06.2026</t>
        </is>
      </c>
      <c r="C196" s="18" t="inlineStr">
        <is>
          <t xml:space="preserve">Астанинский городской филиал Народного Банка </t>
        </is>
      </c>
      <c r="D196" s="18" t="inlineStr">
        <is>
          <t>Астанинский городской филиал Народного Банка Казахстана</t>
        </is>
      </c>
      <c r="E196" s="18" t="inlineStr">
        <is>
          <t>950341000052</t>
        </is>
      </c>
      <c r="F196" s="20" t="n"/>
      <c r="G196" s="20" t="n">
        <v>300</v>
      </c>
      <c r="H196" s="19" t="inlineStr">
        <is>
          <t>842</t>
        </is>
      </c>
      <c r="I196" s="18" t="inlineStr">
        <is>
          <t>OPEX</t>
        </is>
      </c>
      <c r="J196" s="18" t="inlineStr">
        <is>
          <t>Банковские услуги</t>
        </is>
      </c>
      <c r="K196" s="19" t="inlineStr"/>
      <c r="L196" s="18" t="inlineStr">
        <is>
          <t>Референс 4003228653 За операцию. Информационные справки, предоставляемые по запросу клиент</t>
        </is>
      </c>
    </row>
    <row r="197">
      <c r="A197" s="18" t="inlineStr">
        <is>
          <t>Halyk</t>
        </is>
      </c>
      <c r="B197" s="19" t="inlineStr">
        <is>
          <t>29.06.2026</t>
        </is>
      </c>
      <c r="C197" s="18" t="inlineStr">
        <is>
          <t xml:space="preserve">Товарищество с ограниченной ответственностью </t>
        </is>
      </c>
      <c r="D197" s="18" t="inlineStr">
        <is>
          <t>WayStar Group</t>
        </is>
      </c>
      <c r="E197" s="18" t="inlineStr">
        <is>
          <t>240340014287</t>
        </is>
      </c>
      <c r="F197" s="20" t="n">
        <v>10000</v>
      </c>
      <c r="G197" s="20" t="n"/>
      <c r="H197" s="19" t="inlineStr">
        <is>
          <t>343</t>
        </is>
      </c>
      <c r="I197" s="18" t="inlineStr">
        <is>
          <t>INTERNAL</t>
        </is>
      </c>
      <c r="J197" s="18" t="inlineStr">
        <is>
          <t>Переводы между своими счетами</t>
        </is>
      </c>
      <c r="K197" s="19" t="inlineStr"/>
      <c r="L197" s="18" t="inlineStr">
        <is>
          <t>Референс 4003166786 Перевод на другой счет организации. Без НДС. Переводы клиентом денег с</t>
        </is>
      </c>
    </row>
    <row r="198">
      <c r="A198" s="18" t="inlineStr">
        <is>
          <t>RBK</t>
        </is>
      </c>
      <c r="B198" s="19" t="inlineStr">
        <is>
          <t>29.06.2026</t>
        </is>
      </c>
      <c r="C198" s="18" t="inlineStr">
        <is>
          <t>ТОО East Agro Company</t>
        </is>
      </c>
      <c r="D198" s="18" t="inlineStr">
        <is>
          <t>East Agro Company</t>
        </is>
      </c>
      <c r="E198" s="18" t="inlineStr">
        <is>
          <t>230340042290</t>
        </is>
      </c>
      <c r="F198" s="20" t="n">
        <v>1343232</v>
      </c>
      <c r="G198" s="20" t="n"/>
      <c r="H198" s="19" t="inlineStr"/>
      <c r="I198" s="18" t="inlineStr">
        <is>
          <t>REVENUE</t>
        </is>
      </c>
      <c r="J198" s="18" t="inlineStr">
        <is>
          <t>Выручка: транспортно-логистические услуги</t>
        </is>
      </c>
      <c r="K198" s="19" t="inlineStr">
        <is>
          <t>ТЭО</t>
        </is>
      </c>
      <c r="L198" s="18" t="inlineStr">
        <is>
          <t>Оплата за услуги по счету 159 от 25.06.2026 Без налога (НДС) Договор: 2026/06-45 от 11.06.</t>
        </is>
      </c>
    </row>
    <row r="199">
      <c r="A199" s="18" t="inlineStr">
        <is>
          <t>RBK</t>
        </is>
      </c>
      <c r="B199" s="19" t="inlineStr">
        <is>
          <t>29.06.2026</t>
        </is>
      </c>
      <c r="C199" s="18" t="inlineStr">
        <is>
          <t>ФИЛИАЛ АО "BANK RBK" В Г.АСТАНА</t>
        </is>
      </c>
      <c r="D199" s="18" t="inlineStr">
        <is>
          <t>ФИЛИАЛ АО "BANK RBK" В Г.АСТАНА</t>
        </is>
      </c>
      <c r="E199" s="18" t="inlineStr">
        <is>
          <t>111141019679</t>
        </is>
      </c>
      <c r="F199" s="20" t="n"/>
      <c r="G199" s="20" t="n">
        <v>1300</v>
      </c>
      <c r="H199" s="19" t="inlineStr"/>
      <c r="I199" s="18" t="inlineStr">
        <is>
          <t>OPEX</t>
        </is>
      </c>
      <c r="J199" s="18" t="inlineStr">
        <is>
          <t>Прочие услуги и расходы</t>
        </is>
      </c>
      <c r="K199" s="19" t="inlineStr"/>
      <c r="L199" s="18" t="inlineStr">
        <is>
          <t>Комиссия Банка за переводные операции по платежному документу № 1181 от 29/06/2026, в т.ч.</t>
        </is>
      </c>
    </row>
    <row r="200">
      <c r="A200" s="18" t="inlineStr">
        <is>
          <t>RBK</t>
        </is>
      </c>
      <c r="B200" s="19" t="inlineStr">
        <is>
          <t>29.06.2026</t>
        </is>
      </c>
      <c r="C200" s="18" t="inlineStr">
        <is>
          <t>ТОО "WayStar Group"</t>
        </is>
      </c>
      <c r="D200" s="18" t="inlineStr">
        <is>
          <t>WayStar Group</t>
        </is>
      </c>
      <c r="E200" s="18" t="inlineStr">
        <is>
          <t>240340014287</t>
        </is>
      </c>
      <c r="F200" s="20" t="n"/>
      <c r="G200" s="20" t="n">
        <v>1340000</v>
      </c>
      <c r="H200" s="19" t="inlineStr"/>
      <c r="I200" s="18" t="inlineStr">
        <is>
          <t>INTERNAL</t>
        </is>
      </c>
      <c r="J200" s="18" t="inlineStr">
        <is>
          <t>Переводы между своими счетами</t>
        </is>
      </c>
      <c r="K200" s="19" t="inlineStr"/>
      <c r="L200" s="18" t="inlineStr">
        <is>
          <t>перевод на другой счет Переводы клиентом денег со своего текущего счета в одном банке, фил</t>
        </is>
      </c>
    </row>
    <row r="201">
      <c r="A201" s="18" t="inlineStr">
        <is>
          <t>БЦК</t>
        </is>
      </c>
      <c r="B201" s="19" t="inlineStr">
        <is>
          <t>29.06.2026</t>
        </is>
      </c>
      <c r="C201" s="18" t="inlineStr">
        <is>
          <t xml:space="preserve">Товарищество с ограниченной ответственностью </t>
        </is>
      </c>
      <c r="D201" s="18" t="inlineStr">
        <is>
          <t>WayStar Group</t>
        </is>
      </c>
      <c r="E201" s="18" t="inlineStr">
        <is>
          <t>240340014287</t>
        </is>
      </c>
      <c r="F201" s="20" t="n"/>
      <c r="G201" s="20" t="n">
        <v>10000</v>
      </c>
      <c r="H201" s="19" t="inlineStr">
        <is>
          <t>343</t>
        </is>
      </c>
      <c r="I201" s="18" t="inlineStr">
        <is>
          <t>INTERNAL</t>
        </is>
      </c>
      <c r="J201" s="18" t="inlineStr">
        <is>
          <t>Переводы между своими счетами</t>
        </is>
      </c>
      <c r="K201" s="19" t="inlineStr"/>
      <c r="L201" s="18" t="inlineStr">
        <is>
          <t>Перевод на другой счет организации. Без НДС. Переводы клиентом денег со своего текущего сч</t>
        </is>
      </c>
    </row>
    <row r="202">
      <c r="A202" s="18" t="inlineStr">
        <is>
          <t>БЦК</t>
        </is>
      </c>
      <c r="B202" s="19" t="inlineStr">
        <is>
          <t>29.06.2026</t>
        </is>
      </c>
      <c r="C202" s="18" t="inlineStr">
        <is>
          <t xml:space="preserve">Товарищество с ограниченной ответственностью </t>
        </is>
      </c>
      <c r="D202" s="18" t="inlineStr">
        <is>
          <t>Белый Ветер KZ</t>
        </is>
      </c>
      <c r="E202" s="18" t="inlineStr">
        <is>
          <t>110340018293</t>
        </is>
      </c>
      <c r="F202" s="20" t="n"/>
      <c r="G202" s="20" t="n">
        <v>43213</v>
      </c>
      <c r="H202" s="19" t="inlineStr">
        <is>
          <t>710</t>
        </is>
      </c>
      <c r="I202" s="18" t="inlineStr">
        <is>
          <t>OPEX</t>
        </is>
      </c>
      <c r="J202" s="18" t="inlineStr">
        <is>
          <t>ТМЦ / офисные расходы</t>
        </is>
      </c>
      <c r="K202" s="19" t="inlineStr"/>
      <c r="L202" s="18" t="inlineStr">
        <is>
          <t>Счет на оплату № 01100043268 от 29 июня 2026 г. Договор №799 АС 2-25 от 23.10.2025 Картрид</t>
        </is>
      </c>
    </row>
    <row r="203">
      <c r="A203" s="18" t="inlineStr">
        <is>
          <t>БЦК</t>
        </is>
      </c>
      <c r="B203" s="19" t="inlineStr">
        <is>
          <t>29.06.2026</t>
        </is>
      </c>
      <c r="C203" s="18" t="inlineStr">
        <is>
          <t xml:space="preserve">Товарищество с ограниченной ответственностью </t>
        </is>
      </c>
      <c r="D203" s="18" t="inlineStr">
        <is>
          <t>Office-Expert.kz</t>
        </is>
      </c>
      <c r="E203" s="18" t="inlineStr">
        <is>
          <t>110840005091</t>
        </is>
      </c>
      <c r="F203" s="20" t="n"/>
      <c r="G203" s="20" t="n">
        <v>50760</v>
      </c>
      <c r="H203" s="19" t="inlineStr">
        <is>
          <t>710</t>
        </is>
      </c>
      <c r="I203" s="18" t="inlineStr">
        <is>
          <t>OPEX</t>
        </is>
      </c>
      <c r="J203" s="18" t="inlineStr">
        <is>
          <t>ТМЦ / офисные расходы</t>
        </is>
      </c>
      <c r="K203" s="19" t="inlineStr"/>
      <c r="L203" s="18" t="inlineStr">
        <is>
          <t>Счет на оплату № 894365 от 29 июня 2026 г. КанцтоварыСумма 50 760-00 тенге в т.ч. НДС(16%)</t>
        </is>
      </c>
    </row>
    <row r="204">
      <c r="A204" s="18" t="inlineStr">
        <is>
          <t>БЦК</t>
        </is>
      </c>
      <c r="B204" s="19" t="inlineStr">
        <is>
          <t>29.06.2026</t>
        </is>
      </c>
      <c r="C204" s="18" t="inlineStr">
        <is>
          <t>Банк ЦентрКредит для ЗП</t>
        </is>
      </c>
      <c r="D204" s="18" t="inlineStr">
        <is>
          <t>Банк ЦентрКредит для ЗП</t>
        </is>
      </c>
      <c r="E204" s="18" t="inlineStr">
        <is>
          <t>980640000093</t>
        </is>
      </c>
      <c r="F204" s="20" t="n"/>
      <c r="G204" s="20" t="n">
        <v>97952</v>
      </c>
      <c r="H204" s="19" t="inlineStr">
        <is>
          <t>332</t>
        </is>
      </c>
      <c r="I204" s="18" t="inlineStr">
        <is>
          <t>OPEX</t>
        </is>
      </c>
      <c r="J204" s="18" t="inlineStr">
        <is>
          <t>Оплата труда</t>
        </is>
      </c>
      <c r="K204" s="19" t="inlineStr"/>
      <c r="L204" s="18" t="inlineStr">
        <is>
          <t>Для зачисления на картсчета сотрудникам согласно спискам 97 952-00 тенге.</t>
        </is>
      </c>
    </row>
    <row r="205">
      <c r="A205" s="18" t="inlineStr">
        <is>
          <t>БЦК</t>
        </is>
      </c>
      <c r="B205" s="19" t="inlineStr">
        <is>
          <t>29.06.2026</t>
        </is>
      </c>
      <c r="C205" s="18" t="inlineStr">
        <is>
          <t>Акционерное общество "Банк "Bank RBK"</t>
        </is>
      </c>
      <c r="D205" s="18" t="inlineStr">
        <is>
          <t>Банк "Bank RBK</t>
        </is>
      </c>
      <c r="E205" s="18" t="inlineStr">
        <is>
          <t>920440001102</t>
        </is>
      </c>
      <c r="F205" s="20" t="n"/>
      <c r="G205" s="20" t="n">
        <v>500000</v>
      </c>
      <c r="H205" s="19" t="inlineStr">
        <is>
          <t>332</t>
        </is>
      </c>
      <c r="I205" s="18" t="inlineStr">
        <is>
          <t>OPEX</t>
        </is>
      </c>
      <c r="J205" s="18" t="inlineStr">
        <is>
          <t>Оплата труда</t>
        </is>
      </c>
      <c r="K205" s="19" t="inlineStr"/>
      <c r="L205" s="18" t="inlineStr">
        <is>
          <t>Для зачисления на картсчета сотрудникам согласно спискам 500 000-00 тенге.</t>
        </is>
      </c>
    </row>
    <row r="206">
      <c r="A206" s="18" t="inlineStr">
        <is>
          <t>БЦК</t>
        </is>
      </c>
      <c r="B206" s="19" t="inlineStr">
        <is>
          <t>29.06.2026</t>
        </is>
      </c>
      <c r="C206" s="18" t="inlineStr">
        <is>
          <t xml:space="preserve">Товарищество с ограниченной ответственностью </t>
        </is>
      </c>
      <c r="D206" s="18" t="inlineStr">
        <is>
          <t>ЭДЕМ ТРАНС</t>
        </is>
      </c>
      <c r="E206" s="18" t="inlineStr">
        <is>
          <t>140240031728</t>
        </is>
      </c>
      <c r="F206" s="20" t="n"/>
      <c r="G206" s="20" t="n">
        <v>12226400</v>
      </c>
      <c r="H206" s="19" t="inlineStr">
        <is>
          <t>813</t>
        </is>
      </c>
      <c r="I206" s="18" t="inlineStr">
        <is>
          <t>COGS</t>
        </is>
      </c>
      <c r="J206" s="18" t="inlineStr">
        <is>
          <t>Ж/д тариф, вагоны, услуги перевозчиков</t>
        </is>
      </c>
      <c r="K206" s="19" t="inlineStr">
        <is>
          <t>Аренда</t>
        </is>
      </c>
      <c r="L206" s="18" t="inlineStr">
        <is>
          <t>Договор аренды вагонов №ЭТ2025/55 от 28.10.2025 г. Счет на оплату № 75 от 17.06.2026 г. ар</t>
        </is>
      </c>
    </row>
    <row r="207">
      <c r="A207" s="18" t="inlineStr">
        <is>
          <t>БЦК</t>
        </is>
      </c>
      <c r="B207" s="19" t="inlineStr">
        <is>
          <t>29.06.2026</t>
        </is>
      </c>
      <c r="C207" s="18" t="inlineStr">
        <is>
          <t xml:space="preserve">Товарищество с ограниченной ответственностью </t>
        </is>
      </c>
      <c r="D207" s="18" t="inlineStr">
        <is>
          <t>WayStar Group</t>
        </is>
      </c>
      <c r="E207" s="18" t="inlineStr">
        <is>
          <t>240340014287</t>
        </is>
      </c>
      <c r="F207" s="20" t="n"/>
      <c r="G207" s="20" t="n">
        <v>33522618.23</v>
      </c>
      <c r="H207" s="19" t="inlineStr">
        <is>
          <t>342</t>
        </is>
      </c>
      <c r="I207" s="18" t="inlineStr">
        <is>
          <t>INTERNAL</t>
        </is>
      </c>
      <c r="J207" s="18" t="inlineStr">
        <is>
          <t>Переводы между своими счетами</t>
        </is>
      </c>
      <c r="K207" s="19" t="inlineStr"/>
      <c r="L207" s="18" t="inlineStr">
        <is>
          <t>Перевод на КЛС. Без НДС. Переводы клиентом денег с одного своего текущего счета, открытого</t>
        </is>
      </c>
    </row>
    <row r="208">
      <c r="A208" s="18" t="inlineStr">
        <is>
          <t>БЦК</t>
        </is>
      </c>
      <c r="B208" s="19" t="inlineStr">
        <is>
          <t>29.06.2026</t>
        </is>
      </c>
      <c r="C208" s="18" t="inlineStr">
        <is>
          <t xml:space="preserve">Товарищество с ограниченной ответственностью </t>
        </is>
      </c>
      <c r="D208" s="18" t="inlineStr">
        <is>
          <t>WayStar Group</t>
        </is>
      </c>
      <c r="E208" s="18" t="inlineStr">
        <is>
          <t>240340014287</t>
        </is>
      </c>
      <c r="F208" s="20" t="n">
        <v>15597.19</v>
      </c>
      <c r="G208" s="20" t="n"/>
      <c r="H208" s="19" t="inlineStr">
        <is>
          <t>316</t>
        </is>
      </c>
      <c r="I208" s="18" t="inlineStr">
        <is>
          <t>FIN_INCOME</t>
        </is>
      </c>
      <c r="J208" s="18" t="inlineStr">
        <is>
          <t>% по депозиту</t>
        </is>
      </c>
      <c r="K208" s="19" t="inlineStr"/>
      <c r="L208" s="18" t="inlineStr">
        <is>
          <t>Выплата начисленного вознаграждения по депозитному договору № 01607034 от 24.07.2025 за пе</t>
        </is>
      </c>
    </row>
    <row r="209">
      <c r="A209" s="18" t="inlineStr">
        <is>
          <t>БЦК</t>
        </is>
      </c>
      <c r="B209" s="19" t="inlineStr">
        <is>
          <t>29.06.2026</t>
        </is>
      </c>
      <c r="C209" s="18" t="inlineStr">
        <is>
          <t>ТОО  "WayStar Group"</t>
        </is>
      </c>
      <c r="D209" s="18" t="inlineStr">
        <is>
          <t>WayStar Group</t>
        </is>
      </c>
      <c r="E209" s="18" t="inlineStr">
        <is>
          <t>240340014287</t>
        </is>
      </c>
      <c r="F209" s="20" t="n">
        <v>1340000</v>
      </c>
      <c r="G209" s="20" t="n"/>
      <c r="H209" s="19" t="inlineStr">
        <is>
          <t>343</t>
        </is>
      </c>
      <c r="I209" s="18" t="inlineStr">
        <is>
          <t>INTERNAL</t>
        </is>
      </c>
      <c r="J209" s="18" t="inlineStr">
        <is>
          <t>Переводы между своими счетами</t>
        </is>
      </c>
      <c r="K209" s="19" t="inlineStr"/>
      <c r="L209" s="18" t="inlineStr">
        <is>
          <t>перевод на другой счет Переводы клиентом денег со своего текущего счета в одном банке, фил</t>
        </is>
      </c>
    </row>
    <row r="210">
      <c r="A210" s="18" t="inlineStr">
        <is>
          <t>БЦК</t>
        </is>
      </c>
      <c r="B210" s="19" t="inlineStr">
        <is>
          <t>29.06.2026</t>
        </is>
      </c>
      <c r="C210" s="18" t="inlineStr">
        <is>
          <t>ТОО WayStar Group</t>
        </is>
      </c>
      <c r="D210" s="18" t="inlineStr">
        <is>
          <t>WayStar Group</t>
        </is>
      </c>
      <c r="E210" s="18" t="inlineStr">
        <is>
          <t>240340014287</t>
        </is>
      </c>
      <c r="F210" s="20" t="n">
        <v>2000000</v>
      </c>
      <c r="G210" s="20" t="n"/>
      <c r="H210" s="19" t="inlineStr">
        <is>
          <t>343</t>
        </is>
      </c>
      <c r="I210" s="18" t="inlineStr">
        <is>
          <t>INTERNAL</t>
        </is>
      </c>
      <c r="J210" s="18" t="inlineStr">
        <is>
          <t>Переводы между своими счетами</t>
        </is>
      </c>
      <c r="K210" s="19" t="inlineStr"/>
      <c r="L210" s="18" t="inlineStr">
        <is>
          <t>перевод на другой счет Переводы клиентом денег со своего текущего счета в одном банке фили</t>
        </is>
      </c>
    </row>
    <row r="211">
      <c r="A211" s="18" t="inlineStr">
        <is>
          <t>БЦК</t>
        </is>
      </c>
      <c r="B211" s="19" t="inlineStr">
        <is>
          <t>29.06.2026</t>
        </is>
      </c>
      <c r="C211" s="18" t="inlineStr">
        <is>
          <t xml:space="preserve">Товарищество с ограниченной ответственностью </t>
        </is>
      </c>
      <c r="D211" s="18" t="inlineStr">
        <is>
          <t>WayStar Group</t>
        </is>
      </c>
      <c r="E211" s="18" t="inlineStr">
        <is>
          <t>240340014287</t>
        </is>
      </c>
      <c r="F211" s="20" t="n">
        <v>46190475.6</v>
      </c>
      <c r="G211" s="20" t="n"/>
      <c r="H211" s="19" t="inlineStr">
        <is>
          <t>322</t>
        </is>
      </c>
      <c r="I211" s="18" t="inlineStr">
        <is>
          <t>TREASURY</t>
        </is>
      </c>
      <c r="J211" s="18" t="inlineStr">
        <is>
          <t>Снятие/возврат депозита</t>
        </is>
      </c>
      <c r="K211" s="19" t="inlineStr"/>
      <c r="L211" s="18" t="inlineStr">
        <is>
          <t>Частичная выплата вклада по депозитному договору № 01607034 от 29.06.2026 в размере 461904</t>
        </is>
      </c>
    </row>
    <row r="212">
      <c r="A212" s="18" t="inlineStr">
        <is>
          <t>Halyk</t>
        </is>
      </c>
      <c r="B212" s="19" t="inlineStr">
        <is>
          <t>30.06.2026</t>
        </is>
      </c>
      <c r="C212" s="18" t="inlineStr">
        <is>
          <t>ТОО "КТЖ-ГРУЗОВЫЕ ПЕРЕВОЗКИ"</t>
        </is>
      </c>
      <c r="D212" s="18" t="inlineStr">
        <is>
          <t>КТЖ-ГРУЗОВЫЕ ПЕРЕВОЗКИ</t>
        </is>
      </c>
      <c r="E212" s="18" t="inlineStr">
        <is>
          <t>031040001799</t>
        </is>
      </c>
      <c r="F212" s="20" t="n"/>
      <c r="G212" s="20" t="n">
        <v>350000</v>
      </c>
      <c r="H212" s="19" t="inlineStr">
        <is>
          <t>813</t>
        </is>
      </c>
      <c r="I212" s="18" t="inlineStr">
        <is>
          <t>COGS</t>
        </is>
      </c>
      <c r="J212" s="18" t="inlineStr">
        <is>
          <t>Ж/д тариф, вагоны, услуги перевозчиков</t>
        </is>
      </c>
      <c r="K212" s="19" t="inlineStr">
        <is>
          <t>ТЭО</t>
        </is>
      </c>
      <c r="L212" s="18" t="inlineStr">
        <is>
          <t>Референс 4005820470 4185494, Без НДС, Платежи за услуги железнодорожного транспортаПлатежи</t>
        </is>
      </c>
    </row>
    <row r="213">
      <c r="A213" s="18" t="inlineStr">
        <is>
          <t>Halyk</t>
        </is>
      </c>
      <c r="B213" s="19" t="inlineStr">
        <is>
          <t>30.06.2026</t>
        </is>
      </c>
      <c r="C213" s="18" t="inlineStr">
        <is>
          <t>ТОО "Serpin Logistic"</t>
        </is>
      </c>
      <c r="D213" s="18" t="inlineStr">
        <is>
          <t>Serpin Logistic</t>
        </is>
      </c>
      <c r="E213" s="18" t="inlineStr">
        <is>
          <t>260340004848</t>
        </is>
      </c>
      <c r="F213" s="20" t="n">
        <v>350000</v>
      </c>
      <c r="G213" s="20" t="n"/>
      <c r="H213" s="19" t="inlineStr">
        <is>
          <t>813</t>
        </is>
      </c>
      <c r="I213" s="18" t="inlineStr">
        <is>
          <t>REVENUE</t>
        </is>
      </c>
      <c r="J213" s="18" t="inlineStr">
        <is>
          <t>Выручка: транспортно-логистические услуги</t>
        </is>
      </c>
      <c r="K213" s="19" t="inlineStr">
        <is>
          <t>ТЭО</t>
        </is>
      </c>
      <c r="L213" s="18" t="inlineStr">
        <is>
          <t>Референс 4005651528 Оплата Ж/Д тарифа, согласно счета на оплату №000000148 от 23 июня 2026</t>
        </is>
      </c>
    </row>
    <row r="214">
      <c r="A214" s="18" t="inlineStr">
        <is>
          <t>RBK</t>
        </is>
      </c>
      <c r="B214" s="19" t="inlineStr">
        <is>
          <t>30.06.2026</t>
        </is>
      </c>
      <c r="C214" s="18" t="inlineStr">
        <is>
          <t>ТОО Cargo Express PV</t>
        </is>
      </c>
      <c r="D214" s="18" t="inlineStr">
        <is>
          <t>Cargo Express PV</t>
        </is>
      </c>
      <c r="E214" s="18" t="inlineStr">
        <is>
          <t>210140015361</t>
        </is>
      </c>
      <c r="F214" s="20" t="n">
        <v>3010000</v>
      </c>
      <c r="G214" s="20" t="n"/>
      <c r="H214" s="19" t="inlineStr"/>
      <c r="I214" s="18" t="inlineStr">
        <is>
          <t>REVENUE</t>
        </is>
      </c>
      <c r="J214" s="18" t="inlineStr">
        <is>
          <t>Выручка: транспортно-логистические услуги</t>
        </is>
      </c>
      <c r="K214" s="19" t="inlineStr">
        <is>
          <t>ТЭО</t>
        </is>
      </c>
      <c r="L214" s="18" t="inlineStr">
        <is>
          <t>Счет на оплату № 171 от 30.06.2026 г., к договору №2026/06-33 от 29.06.2026 г., предоставл</t>
        </is>
      </c>
    </row>
    <row r="215">
      <c r="A215" s="18" t="inlineStr">
        <is>
          <t>RBK</t>
        </is>
      </c>
      <c r="B215" s="19" t="inlineStr">
        <is>
          <t>30.06.2026</t>
        </is>
      </c>
      <c r="C215" s="18" t="inlineStr">
        <is>
          <t>ТОО "ШыгысАгроТорг"</t>
        </is>
      </c>
      <c r="D215" s="18" t="inlineStr">
        <is>
          <t>ШыгысАгроТорг</t>
        </is>
      </c>
      <c r="E215" s="18" t="inlineStr">
        <is>
          <t>250940025325</t>
        </is>
      </c>
      <c r="F215" s="20" t="n">
        <v>14000000</v>
      </c>
      <c r="G215" s="20" t="n"/>
      <c r="H215" s="19" t="inlineStr"/>
      <c r="I215" s="18" t="inlineStr">
        <is>
          <t>REVENUE</t>
        </is>
      </c>
      <c r="J215" s="18" t="inlineStr">
        <is>
          <t>Выручка: транспортно-логистические услуги</t>
        </is>
      </c>
      <c r="K215" s="19" t="inlineStr">
        <is>
          <t>ТЭО</t>
        </is>
      </c>
      <c r="L215" s="18" t="inlineStr">
        <is>
          <t>Оплата по счету №169 от 29.06.2026г. за предоставление цистерн Аблык, Ахангаран Договор №2</t>
        </is>
      </c>
    </row>
    <row r="216">
      <c r="A216" s="18" t="inlineStr">
        <is>
          <t>RBK</t>
        </is>
      </c>
      <c r="B216" s="19" t="inlineStr">
        <is>
          <t>30.06.2026</t>
        </is>
      </c>
      <c r="C216" s="18" t="inlineStr">
        <is>
          <t>ФИЛИАЛ АО "BANK RBK" В Г.АСТАНА</t>
        </is>
      </c>
      <c r="D216" s="18" t="inlineStr">
        <is>
          <t>ФИЛИАЛ АО "BANK RBK" В Г.АСТАНА</t>
        </is>
      </c>
      <c r="E216" s="18" t="inlineStr">
        <is>
          <t>111141019679</t>
        </is>
      </c>
      <c r="F216" s="20" t="n"/>
      <c r="G216" s="20" t="n">
        <v>1500</v>
      </c>
      <c r="H216" s="19" t="inlineStr"/>
      <c r="I216" s="18" t="inlineStr">
        <is>
          <t>COGS</t>
        </is>
      </c>
      <c r="J216" s="18" t="inlineStr">
        <is>
          <t>Ж/д тариф, вагоны, услуги перевозчиков</t>
        </is>
      </c>
      <c r="K216" s="19" t="inlineStr">
        <is>
          <t>ТЭО</t>
        </is>
      </c>
      <c r="L216" s="18" t="inlineStr">
        <is>
          <t>Комиссия за ведение текущего счета KZ45821C96VE10000001 клиента ТОО  "WayStar Group" БИН/И</t>
        </is>
      </c>
    </row>
    <row r="217">
      <c r="A217" s="18" t="inlineStr">
        <is>
          <t>RBK</t>
        </is>
      </c>
      <c r="B217" s="19" t="inlineStr">
        <is>
          <t>30.06.2026</t>
        </is>
      </c>
      <c r="C217" s="18" t="inlineStr">
        <is>
          <t>ФИЛИАЛ АО "BANK RBK" В Г.АСТАНА</t>
        </is>
      </c>
      <c r="D217" s="18" t="inlineStr">
        <is>
          <t>ФИЛИАЛ АО "BANK RBK" В Г.АСТАНА</t>
        </is>
      </c>
      <c r="E217" s="18" t="inlineStr">
        <is>
          <t>111141019679</t>
        </is>
      </c>
      <c r="F217" s="20" t="n"/>
      <c r="G217" s="20" t="n">
        <v>1500</v>
      </c>
      <c r="H217" s="19" t="inlineStr"/>
      <c r="I217" s="18" t="inlineStr">
        <is>
          <t>COGS</t>
        </is>
      </c>
      <c r="J217" s="18" t="inlineStr">
        <is>
          <t>Ж/д тариф, вагоны, услуги перевозчиков</t>
        </is>
      </c>
      <c r="K217" s="19" t="inlineStr">
        <is>
          <t>ТЭО</t>
        </is>
      </c>
      <c r="L217" s="18" t="inlineStr">
        <is>
          <t>Комиссия за обслуживание банковских счетов в системе ДБО "Интернет-Клиент" клиента ТОО  "W</t>
        </is>
      </c>
    </row>
    <row r="218">
      <c r="A218" s="18" t="inlineStr">
        <is>
          <t>RBK</t>
        </is>
      </c>
      <c r="B218" s="19" t="inlineStr">
        <is>
          <t>30.06.2026</t>
        </is>
      </c>
      <c r="C218" s="18" t="inlineStr">
        <is>
          <t>ФИЛИАЛ АО "BANK RBK" В Г.АСТАНА</t>
        </is>
      </c>
      <c r="D218" s="18" t="inlineStr">
        <is>
          <t>ФИЛИАЛ АО "BANK RBK" В Г.АСТАНА</t>
        </is>
      </c>
      <c r="E218" s="18" t="inlineStr">
        <is>
          <t>111141019679</t>
        </is>
      </c>
      <c r="F218" s="20" t="n"/>
      <c r="G218" s="20" t="n">
        <v>4000</v>
      </c>
      <c r="H218" s="19" t="inlineStr"/>
      <c r="I218" s="18" t="inlineStr">
        <is>
          <t>OPEX</t>
        </is>
      </c>
      <c r="J218" s="18" t="inlineStr">
        <is>
          <t>Прочие услуги и расходы</t>
        </is>
      </c>
      <c r="K218" s="19" t="inlineStr"/>
      <c r="L218" s="18" t="inlineStr">
        <is>
          <t>Комиссия Банка за переводные операции по платежному документу № 1184 от 30/06/2026, в т.ч.</t>
        </is>
      </c>
    </row>
    <row r="219">
      <c r="A219" s="18" t="inlineStr">
        <is>
          <t>RBK</t>
        </is>
      </c>
      <c r="B219" s="19" t="inlineStr">
        <is>
          <t>30.06.2026</t>
        </is>
      </c>
      <c r="C219" s="18" t="inlineStr">
        <is>
          <t>ФИЛИАЛ АО "BANK RBK" В Г.АСТАНА</t>
        </is>
      </c>
      <c r="D219" s="18" t="inlineStr">
        <is>
          <t>ФИЛИАЛ АО "BANK RBK" В Г.АСТАНА</t>
        </is>
      </c>
      <c r="E219" s="18" t="inlineStr">
        <is>
          <t>111141019679</t>
        </is>
      </c>
      <c r="F219" s="20" t="n"/>
      <c r="G219" s="20" t="n">
        <v>4000</v>
      </c>
      <c r="H219" s="19" t="inlineStr"/>
      <c r="I219" s="18" t="inlineStr">
        <is>
          <t>OPEX</t>
        </is>
      </c>
      <c r="J219" s="18" t="inlineStr">
        <is>
          <t>Прочие услуги и расходы</t>
        </is>
      </c>
      <c r="K219" s="19" t="inlineStr"/>
      <c r="L219" s="18" t="inlineStr">
        <is>
          <t>Комиссия Банка за переводные операции по платежному документу № 1183 от 30/06/2026, в т.ч.</t>
        </is>
      </c>
    </row>
    <row r="220">
      <c r="A220" s="18" t="inlineStr">
        <is>
          <t>RBK</t>
        </is>
      </c>
      <c r="B220" s="19" t="inlineStr">
        <is>
          <t>30.06.2026</t>
        </is>
      </c>
      <c r="C220" s="18" t="inlineStr">
        <is>
          <t>ТОО "WayStar Group"</t>
        </is>
      </c>
      <c r="D220" s="18" t="inlineStr">
        <is>
          <t>WayStar Group</t>
        </is>
      </c>
      <c r="E220" s="18" t="inlineStr">
        <is>
          <t>240340014287</t>
        </is>
      </c>
      <c r="F220" s="20" t="n"/>
      <c r="G220" s="20" t="n">
        <v>3000000</v>
      </c>
      <c r="H220" s="19" t="inlineStr"/>
      <c r="I220" s="18" t="inlineStr">
        <is>
          <t>INTERNAL</t>
        </is>
      </c>
      <c r="J220" s="18" t="inlineStr">
        <is>
          <t>Переводы между своими счетами</t>
        </is>
      </c>
      <c r="K220" s="19" t="inlineStr"/>
      <c r="L220" s="18" t="inlineStr">
        <is>
          <t>перевод на другой счет Переводы клиентом денег со своего текущего счета в одном банке, фил</t>
        </is>
      </c>
    </row>
    <row r="221">
      <c r="A221" s="18" t="inlineStr">
        <is>
          <t>RBK</t>
        </is>
      </c>
      <c r="B221" s="19" t="inlineStr">
        <is>
          <t>30.06.2026</t>
        </is>
      </c>
      <c r="C221" s="18" t="inlineStr">
        <is>
          <t>ТОО "WayStar Group"</t>
        </is>
      </c>
      <c r="D221" s="18" t="inlineStr">
        <is>
          <t>WayStar Group</t>
        </is>
      </c>
      <c r="E221" s="18" t="inlineStr">
        <is>
          <t>240340014287</t>
        </is>
      </c>
      <c r="F221" s="20" t="n"/>
      <c r="G221" s="20" t="n">
        <v>14000000</v>
      </c>
      <c r="H221" s="19" t="inlineStr"/>
      <c r="I221" s="18" t="inlineStr">
        <is>
          <t>INTERNAL</t>
        </is>
      </c>
      <c r="J221" s="18" t="inlineStr">
        <is>
          <t>Переводы между своими счетами</t>
        </is>
      </c>
      <c r="K221" s="19" t="inlineStr"/>
      <c r="L221" s="18" t="inlineStr">
        <is>
          <t>перевод на другой счет Переводы клиентом денег со своего текущего счета в одном банке, фил</t>
        </is>
      </c>
    </row>
    <row r="222">
      <c r="A222" s="18" t="inlineStr">
        <is>
          <t>БЦК</t>
        </is>
      </c>
      <c r="B222" s="19" t="inlineStr">
        <is>
          <t>30.06.2026</t>
        </is>
      </c>
      <c r="C222" s="18" t="inlineStr">
        <is>
          <t xml:space="preserve">Товарищество с ограниченной ответственностью </t>
        </is>
      </c>
      <c r="D222" s="18" t="inlineStr">
        <is>
          <t>Y. Taxi Qazaqstan</t>
        </is>
      </c>
      <c r="E222" s="18" t="inlineStr">
        <is>
          <t>160540014930</t>
        </is>
      </c>
      <c r="F222" s="20" t="n"/>
      <c r="G222" s="20" t="n">
        <v>20000</v>
      </c>
      <c r="H222" s="19" t="inlineStr">
        <is>
          <t>859</t>
        </is>
      </c>
      <c r="I222" s="18" t="inlineStr">
        <is>
          <t>COGS</t>
        </is>
      </c>
      <c r="J222" s="18" t="inlineStr">
        <is>
          <t>Ж/д тариф, вагоны, услуги перевозчиков</t>
        </is>
      </c>
      <c r="K222" s="19" t="inlineStr">
        <is>
          <t>ТЭО</t>
        </is>
      </c>
      <c r="L222" s="18" t="inlineStr">
        <is>
          <t>Счёт № LST-5809818833-1 от 24 июня 2026 г. Услуги по организации перевозок пассажиров и ба</t>
        </is>
      </c>
    </row>
    <row r="223">
      <c r="A223" s="18" t="inlineStr">
        <is>
          <t>БЦК</t>
        </is>
      </c>
      <c r="B223" s="19" t="inlineStr">
        <is>
          <t>30.06.2026</t>
        </is>
      </c>
      <c r="C223" s="18" t="inlineStr">
        <is>
          <t xml:space="preserve">Товарищество с ограниченной ответственностью </t>
        </is>
      </c>
      <c r="D223" s="18" t="inlineStr">
        <is>
          <t>AquaPoint Qazaqstan</t>
        </is>
      </c>
      <c r="E223" s="18" t="inlineStr">
        <is>
          <t>220640005780</t>
        </is>
      </c>
      <c r="F223" s="20" t="n"/>
      <c r="G223" s="20" t="n">
        <v>27500</v>
      </c>
      <c r="H223" s="19" t="inlineStr">
        <is>
          <t>859</t>
        </is>
      </c>
      <c r="I223" s="18" t="inlineStr">
        <is>
          <t>OPEX</t>
        </is>
      </c>
      <c r="J223" s="18" t="inlineStr">
        <is>
          <t>Аренда офиса</t>
        </is>
      </c>
      <c r="K223" s="19" t="inlineStr"/>
      <c r="L223" s="18" t="inlineStr">
        <is>
          <t>Договор аренды №МОП-120525-WP от 12.05.2025г Счет на оплату № 1251 от 26 июня 2026 г. Арен</t>
        </is>
      </c>
    </row>
    <row r="224">
      <c r="A224" s="18" t="inlineStr">
        <is>
          <t>БЦК</t>
        </is>
      </c>
      <c r="B224" s="19" t="inlineStr">
        <is>
          <t>30.06.2026</t>
        </is>
      </c>
      <c r="C224" s="18" t="inlineStr">
        <is>
          <t xml:space="preserve">Товарищество с ограниченной ответственностью </t>
        </is>
      </c>
      <c r="D224" s="18" t="inlineStr">
        <is>
          <t>Shiny river</t>
        </is>
      </c>
      <c r="E224" s="18" t="inlineStr">
        <is>
          <t>251240008624</t>
        </is>
      </c>
      <c r="F224" s="20" t="n"/>
      <c r="G224" s="20" t="n">
        <v>39000</v>
      </c>
      <c r="H224" s="19" t="inlineStr">
        <is>
          <t>872</t>
        </is>
      </c>
      <c r="I224" s="18" t="inlineStr">
        <is>
          <t>OPEX</t>
        </is>
      </c>
      <c r="J224" s="18" t="inlineStr">
        <is>
          <t>Командировочные / поездки</t>
        </is>
      </c>
      <c r="K224" s="19" t="inlineStr"/>
      <c r="L224" s="18" t="inlineStr">
        <is>
          <t>Счет на оплату № 710 от 29.06.2026 г. Проживание в гостинице Унбетпаев / Доолоткулов с 30.</t>
        </is>
      </c>
    </row>
    <row r="225">
      <c r="A225" s="18" t="inlineStr">
        <is>
          <t>БЦК</t>
        </is>
      </c>
      <c r="B225" s="19" t="inlineStr">
        <is>
          <t>30.06.2026</t>
        </is>
      </c>
      <c r="C225" s="18" t="inlineStr">
        <is>
          <t>Филиал акционерного общества «Национальная ко</t>
        </is>
      </c>
      <c r="D225" s="18" t="inlineStr">
        <is>
          <t>Филиал акционерного общества «Национальная компания «Қазақстан темір жолы» - «Арысское эксплуатационное вагонное депо</t>
        </is>
      </c>
      <c r="E225" s="18" t="inlineStr">
        <is>
          <t>250741011724</t>
        </is>
      </c>
      <c r="F225" s="20" t="n"/>
      <c r="G225" s="20" t="n">
        <v>138826.87</v>
      </c>
      <c r="H225" s="19" t="inlineStr">
        <is>
          <t>822</t>
        </is>
      </c>
      <c r="I225" s="18" t="inlineStr">
        <is>
          <t>COGS</t>
        </is>
      </c>
      <c r="J225" s="18" t="inlineStr">
        <is>
          <t>Ремонт и ТО вагонов</t>
        </is>
      </c>
      <c r="K225" s="19" t="inlineStr">
        <is>
          <t>ТЭО</t>
        </is>
      </c>
      <c r="L225" s="18" t="inlineStr">
        <is>
          <t>Счет на оплату № 905от29.06.2026 г. ТОР №28851459</t>
        </is>
      </c>
    </row>
    <row r="226">
      <c r="A226" s="18" t="inlineStr">
        <is>
          <t>БЦК</t>
        </is>
      </c>
      <c r="B226" s="19" t="inlineStr">
        <is>
          <t>30.06.2026</t>
        </is>
      </c>
      <c r="C226" s="18" t="inlineStr">
        <is>
          <t>ТОО КТЖ-Грузовые перевозки</t>
        </is>
      </c>
      <c r="D226" s="18" t="inlineStr">
        <is>
          <t>КТЖ-Грузовые перевозки</t>
        </is>
      </c>
      <c r="E226" s="18" t="inlineStr">
        <is>
          <t>031040001799</t>
        </is>
      </c>
      <c r="F226" s="20" t="n"/>
      <c r="G226" s="20" t="n">
        <v>150000</v>
      </c>
      <c r="H226" s="19" t="inlineStr">
        <is>
          <t>813</t>
        </is>
      </c>
      <c r="I226" s="18" t="inlineStr">
        <is>
          <t>COGS</t>
        </is>
      </c>
      <c r="J226" s="18" t="inlineStr">
        <is>
          <t>Ж/д тариф, вагоны, услуги перевозчиков</t>
        </is>
      </c>
      <c r="K226" s="19" t="inlineStr">
        <is>
          <t>ТЭО</t>
        </is>
      </c>
      <c r="L226" s="18" t="inlineStr">
        <is>
          <t>Без НДС, 4185494, Платежи за услуги железнодорожного транспорта</t>
        </is>
      </c>
    </row>
    <row r="227">
      <c r="A227" s="18" t="inlineStr">
        <is>
          <t>БЦК</t>
        </is>
      </c>
      <c r="B227" s="19" t="inlineStr">
        <is>
          <t>30.06.2026</t>
        </is>
      </c>
      <c r="C227" s="18" t="inlineStr">
        <is>
          <t>филиал акционерного общества "Национальная ко</t>
        </is>
      </c>
      <c r="D227" s="18" t="inlineStr">
        <is>
          <t>филиал акционерного общества "Национальная компания "Қазақстан темір жолы" - "Семейское эксплуатационное вагонное депо</t>
        </is>
      </c>
      <c r="E227" s="18" t="inlineStr">
        <is>
          <t>250741018846</t>
        </is>
      </c>
      <c r="F227" s="20" t="n"/>
      <c r="G227" s="20" t="n">
        <v>178395.56</v>
      </c>
      <c r="H227" s="19" t="inlineStr">
        <is>
          <t>822</t>
        </is>
      </c>
      <c r="I227" s="18" t="inlineStr">
        <is>
          <t>COGS</t>
        </is>
      </c>
      <c r="J227" s="18" t="inlineStr">
        <is>
          <t>Ремонт и ТО вагонов</t>
        </is>
      </c>
      <c r="K227" s="19" t="inlineStr">
        <is>
          <t>ТЭО</t>
        </is>
      </c>
      <c r="L227" s="18" t="inlineStr">
        <is>
          <t>Для ВЧД-23 Семей Счет на оплату № 263 от 28.05.2026 г. За ТОР №77214583, 52620226Сумма 178</t>
        </is>
      </c>
    </row>
    <row r="228">
      <c r="A228" s="18" t="inlineStr">
        <is>
          <t>БЦК</t>
        </is>
      </c>
      <c r="B228" s="19" t="inlineStr">
        <is>
          <t>30.06.2026</t>
        </is>
      </c>
      <c r="C228" s="18" t="inlineStr">
        <is>
          <t xml:space="preserve">Товарищество с ограниченной ответственностью </t>
        </is>
      </c>
      <c r="D228" s="18" t="inlineStr">
        <is>
          <t>БНС-Транс Сервис</t>
        </is>
      </c>
      <c r="E228" s="18" t="inlineStr">
        <is>
          <t>230240038150</t>
        </is>
      </c>
      <c r="F228" s="20" t="n"/>
      <c r="G228" s="20" t="n">
        <v>350000</v>
      </c>
      <c r="H228" s="19" t="inlineStr">
        <is>
          <t>822</t>
        </is>
      </c>
      <c r="I228" s="18" t="inlineStr">
        <is>
          <t>COGS</t>
        </is>
      </c>
      <c r="J228" s="18" t="inlineStr">
        <is>
          <t>Ремонт и ТО вагонов</t>
        </is>
      </c>
      <c r="K228" s="19" t="inlineStr">
        <is>
          <t>ТЭО</t>
        </is>
      </c>
      <c r="L228" s="18" t="inlineStr">
        <is>
          <t>Счет на оплату № 38 от 29.06.2026 г. Тек ремонт колесных пар</t>
        </is>
      </c>
    </row>
    <row r="229">
      <c r="A229" s="18" t="inlineStr">
        <is>
          <t>БЦК</t>
        </is>
      </c>
      <c r="B229" s="19" t="inlineStr">
        <is>
          <t>30.06.2026</t>
        </is>
      </c>
      <c r="C229" s="18" t="inlineStr">
        <is>
          <t xml:space="preserve">Индивидуальный предприниматель "Capital Rent </t>
        </is>
      </c>
      <c r="D229" s="18" t="inlineStr">
        <is>
          <t>Capital Rent a Car</t>
        </is>
      </c>
      <c r="E229" s="18" t="inlineStr">
        <is>
          <t>920618300844</t>
        </is>
      </c>
      <c r="F229" s="20" t="n"/>
      <c r="G229" s="20" t="n">
        <v>500000</v>
      </c>
      <c r="H229" s="19" t="inlineStr">
        <is>
          <t>855</t>
        </is>
      </c>
      <c r="I229" s="18" t="inlineStr">
        <is>
          <t>OPEX</t>
        </is>
      </c>
      <c r="J229" s="18" t="inlineStr">
        <is>
          <t>Аренда офиса</t>
        </is>
      </c>
      <c r="K229" s="19" t="inlineStr"/>
      <c r="L229" s="18" t="inlineStr">
        <is>
          <t>счет на оплату №51-06 от 29.06.2026 г.. Без НДС. Платежи по лизингу (текущая аренда)</t>
        </is>
      </c>
    </row>
    <row r="230">
      <c r="A230" s="18" t="inlineStr">
        <is>
          <t>БЦК</t>
        </is>
      </c>
      <c r="B230" s="19" t="inlineStr">
        <is>
          <t>30.06.2026</t>
        </is>
      </c>
      <c r="C230" s="18" t="inlineStr">
        <is>
          <t xml:space="preserve">Товарищество с ограниченной ответственностью </t>
        </is>
      </c>
      <c r="D230" s="18" t="inlineStr">
        <is>
          <t>Объединенное железнодорожное хозяйство</t>
        </is>
      </c>
      <c r="E230" s="18" t="inlineStr">
        <is>
          <t>950440001742</t>
        </is>
      </c>
      <c r="F230" s="20" t="n"/>
      <c r="G230" s="20" t="n">
        <v>825810.96</v>
      </c>
      <c r="H230" s="19" t="inlineStr">
        <is>
          <t>819</t>
        </is>
      </c>
      <c r="I230" s="18" t="inlineStr">
        <is>
          <t>COGS</t>
        </is>
      </c>
      <c r="J230" s="18" t="inlineStr">
        <is>
          <t>Ж/д тариф, вагоны, услуги перевозчиков</t>
        </is>
      </c>
      <c r="K230" s="19" t="inlineStr">
        <is>
          <t>ТЭО</t>
        </is>
      </c>
      <c r="L230" s="18" t="inlineStr">
        <is>
          <t>Счет на оплату № 440 от 17.06.2026 г. За ТОР вагонов</t>
        </is>
      </c>
    </row>
    <row r="231">
      <c r="A231" s="18" t="inlineStr">
        <is>
          <t>БЦК</t>
        </is>
      </c>
      <c r="B231" s="19" t="inlineStr">
        <is>
          <t>30.06.2026</t>
        </is>
      </c>
      <c r="C231" s="18" t="inlineStr">
        <is>
          <t xml:space="preserve">Товарищество с ограниченной ответственностью </t>
        </is>
      </c>
      <c r="D231" s="18" t="inlineStr">
        <is>
          <t>Арлан Лизинг</t>
        </is>
      </c>
      <c r="E231" s="18" t="inlineStr">
        <is>
          <t>221240033724</t>
        </is>
      </c>
      <c r="F231" s="20" t="n"/>
      <c r="G231" s="20" t="n">
        <v>2952954.79</v>
      </c>
      <c r="H231" s="19" t="inlineStr">
        <is>
          <t>424</t>
        </is>
      </c>
      <c r="I231" s="18" t="inlineStr">
        <is>
          <t>FINANCING</t>
        </is>
      </c>
      <c r="J231" s="18" t="inlineStr">
        <is>
          <t>Погашение / выдача займов</t>
        </is>
      </c>
      <c r="K231" s="19" t="inlineStr"/>
      <c r="L231" s="18" t="inlineStr">
        <is>
          <t>Договор финансового лизинга № 03/26 (FLA) Счет на оплату № 26 от 30.06.2026 г.</t>
        </is>
      </c>
    </row>
    <row r="232">
      <c r="A232" s="18" t="inlineStr">
        <is>
          <t>БЦК</t>
        </is>
      </c>
      <c r="B232" s="19" t="inlineStr">
        <is>
          <t>30.06.2026</t>
        </is>
      </c>
      <c r="C232" s="18" t="inlineStr">
        <is>
          <t>Банк ЦентрКредит для ЗП</t>
        </is>
      </c>
      <c r="D232" s="18" t="inlineStr">
        <is>
          <t>Банк ЦентрКредит для ЗП</t>
        </is>
      </c>
      <c r="E232" s="18" t="inlineStr">
        <is>
          <t>980640000093</t>
        </is>
      </c>
      <c r="F232" s="20" t="n"/>
      <c r="G232" s="20" t="n">
        <v>4657268</v>
      </c>
      <c r="H232" s="19" t="inlineStr">
        <is>
          <t>332</t>
        </is>
      </c>
      <c r="I232" s="18" t="inlineStr">
        <is>
          <t>OPEX</t>
        </is>
      </c>
      <c r="J232" s="18" t="inlineStr">
        <is>
          <t>Оплата труда</t>
        </is>
      </c>
      <c r="K232" s="19" t="inlineStr"/>
      <c r="L232" s="18" t="inlineStr">
        <is>
          <t>Для зачисления на картсчета сотрудникам согласно спискам 4 657 268-00 тенге.</t>
        </is>
      </c>
    </row>
    <row r="233">
      <c r="A233" s="18" t="inlineStr">
        <is>
          <t>БЦК</t>
        </is>
      </c>
      <c r="B233" s="19" t="inlineStr">
        <is>
          <t>30.06.2026</t>
        </is>
      </c>
      <c r="C233" s="18" t="inlineStr">
        <is>
          <t>ТОО КТЖ-Грузовые перевозки</t>
        </is>
      </c>
      <c r="D233" s="18" t="inlineStr">
        <is>
          <t>КТЖ-Грузовые перевозки</t>
        </is>
      </c>
      <c r="E233" s="18" t="inlineStr">
        <is>
          <t>031040001799</t>
        </is>
      </c>
      <c r="F233" s="20" t="n"/>
      <c r="G233" s="20" t="n">
        <v>9500000</v>
      </c>
      <c r="H233" s="19" t="inlineStr">
        <is>
          <t>813</t>
        </is>
      </c>
      <c r="I233" s="18" t="inlineStr">
        <is>
          <t>COGS</t>
        </is>
      </c>
      <c r="J233" s="18" t="inlineStr">
        <is>
          <t>Ж/д тариф, вагоны, услуги перевозчиков</t>
        </is>
      </c>
      <c r="K233" s="19" t="inlineStr">
        <is>
          <t>ТЭО</t>
        </is>
      </c>
      <c r="L233" s="18" t="inlineStr">
        <is>
          <t>Без НДС, 4185494, Платежи за услуги железнодорожного транспорта</t>
        </is>
      </c>
    </row>
    <row r="234">
      <c r="A234" s="18" t="inlineStr">
        <is>
          <t>БЦК</t>
        </is>
      </c>
      <c r="B234" s="19" t="inlineStr">
        <is>
          <t>30.06.2026</t>
        </is>
      </c>
      <c r="C234" s="18" t="inlineStr">
        <is>
          <t xml:space="preserve">Товарищество с ограниченной ответственностью </t>
        </is>
      </c>
      <c r="D234" s="18" t="inlineStr">
        <is>
          <t>WayStar Group</t>
        </is>
      </c>
      <c r="E234" s="18" t="inlineStr">
        <is>
          <t>240340014287</t>
        </is>
      </c>
      <c r="F234" s="20" t="n"/>
      <c r="G234" s="20" t="n">
        <v>15183799.78</v>
      </c>
      <c r="H234" s="19" t="inlineStr">
        <is>
          <t>312</t>
        </is>
      </c>
      <c r="I234" s="18" t="inlineStr">
        <is>
          <t>TREASURY</t>
        </is>
      </c>
      <c r="J234" s="18" t="inlineStr">
        <is>
          <t>Размещение депозита</t>
        </is>
      </c>
      <c r="K234" s="19" t="inlineStr"/>
      <c r="L234" s="18" t="inlineStr">
        <is>
          <t>Размещение вклада</t>
        </is>
      </c>
    </row>
    <row r="235">
      <c r="A235" s="18" t="inlineStr">
        <is>
          <t>БЦК</t>
        </is>
      </c>
      <c r="B235" s="19" t="inlineStr">
        <is>
          <t>30.06.2026</t>
        </is>
      </c>
      <c r="C235" s="18" t="inlineStr">
        <is>
          <t xml:space="preserve">Товарищество с ограниченной ответственностью </t>
        </is>
      </c>
      <c r="D235" s="18" t="inlineStr">
        <is>
          <t>WayStar Group</t>
        </is>
      </c>
      <c r="E235" s="18" t="inlineStr">
        <is>
          <t>240340014287</t>
        </is>
      </c>
      <c r="F235" s="20" t="n">
        <v>100000</v>
      </c>
      <c r="G235" s="20" t="n"/>
      <c r="H235" s="19" t="inlineStr">
        <is>
          <t>322</t>
        </is>
      </c>
      <c r="I235" s="18" t="inlineStr">
        <is>
          <t>TREASURY</t>
        </is>
      </c>
      <c r="J235" s="18" t="inlineStr">
        <is>
          <t>Снятие/возврат депозита</t>
        </is>
      </c>
      <c r="K235" s="19" t="inlineStr"/>
      <c r="L235" s="18" t="inlineStr">
        <is>
          <t>Без НДС. Снятие с краткосрочного вклада (не более одного года)</t>
        </is>
      </c>
    </row>
    <row r="236">
      <c r="A236" s="18" t="inlineStr">
        <is>
          <t>БЦК</t>
        </is>
      </c>
      <c r="B236" s="19" t="inlineStr">
        <is>
          <t>30.06.2026</t>
        </is>
      </c>
      <c r="C236" s="18" t="inlineStr">
        <is>
          <t xml:space="preserve">Товарищество с ограниченной ответственностью </t>
        </is>
      </c>
      <c r="D236" s="18" t="inlineStr">
        <is>
          <t>WayStar Group</t>
        </is>
      </c>
      <c r="E236" s="18" t="inlineStr">
        <is>
          <t>240340014287</t>
        </is>
      </c>
      <c r="F236" s="20" t="n">
        <v>1500000</v>
      </c>
      <c r="G236" s="20" t="n"/>
      <c r="H236" s="19" t="inlineStr">
        <is>
          <t>322</t>
        </is>
      </c>
      <c r="I236" s="18" t="inlineStr">
        <is>
          <t>TREASURY</t>
        </is>
      </c>
      <c r="J236" s="18" t="inlineStr">
        <is>
          <t>Снятие/возврат депозита</t>
        </is>
      </c>
      <c r="K236" s="19" t="inlineStr"/>
      <c r="L236" s="18" t="inlineStr">
        <is>
          <t>Без НДС. Снятие с краткосрочного вклада (не более одного года)</t>
        </is>
      </c>
    </row>
    <row r="237">
      <c r="A237" s="18" t="inlineStr">
        <is>
          <t>БЦК</t>
        </is>
      </c>
      <c r="B237" s="19" t="inlineStr">
        <is>
          <t>30.06.2026</t>
        </is>
      </c>
      <c r="C237" s="18" t="inlineStr">
        <is>
          <t>ТОО  "WayStar Group"</t>
        </is>
      </c>
      <c r="D237" s="18" t="inlineStr">
        <is>
          <t>WayStar Group</t>
        </is>
      </c>
      <c r="E237" s="18" t="inlineStr">
        <is>
          <t>240340014287</t>
        </is>
      </c>
      <c r="F237" s="20" t="n">
        <v>3000000</v>
      </c>
      <c r="G237" s="20" t="n"/>
      <c r="H237" s="19" t="inlineStr">
        <is>
          <t>343</t>
        </is>
      </c>
      <c r="I237" s="18" t="inlineStr">
        <is>
          <t>INTERNAL</t>
        </is>
      </c>
      <c r="J237" s="18" t="inlineStr">
        <is>
          <t>Переводы между своими счетами</t>
        </is>
      </c>
      <c r="K237" s="19" t="inlineStr"/>
      <c r="L237" s="18" t="inlineStr">
        <is>
          <t>перевод на другой счет Переводы клиентом денег со своего текущего счета в одном банке, фил</t>
        </is>
      </c>
    </row>
    <row r="238">
      <c r="A238" s="18" t="inlineStr">
        <is>
          <t>БЦК</t>
        </is>
      </c>
      <c r="B238" s="19" t="inlineStr">
        <is>
          <t>30.06.2026</t>
        </is>
      </c>
      <c r="C238" s="18" t="inlineStr">
        <is>
          <t>ТОО "SYSTEM LTD"</t>
        </is>
      </c>
      <c r="D238" s="18" t="inlineStr">
        <is>
          <t>SYSTEM LTD</t>
        </is>
      </c>
      <c r="E238" s="18" t="inlineStr">
        <is>
          <t>000640004370</t>
        </is>
      </c>
      <c r="F238" s="20" t="n">
        <v>3214575</v>
      </c>
      <c r="G238" s="20" t="n"/>
      <c r="H238" s="19" t="inlineStr">
        <is>
          <t>813</t>
        </is>
      </c>
      <c r="I238" s="18" t="inlineStr">
        <is>
          <t>REVENUE</t>
        </is>
      </c>
      <c r="J238" s="18" t="inlineStr">
        <is>
          <t>Выручка: транспортно-логистические услуги</t>
        </is>
      </c>
      <c r="K238" s="19" t="inlineStr">
        <is>
          <t>ТЭО</t>
        </is>
      </c>
      <c r="L238" s="18" t="inlineStr">
        <is>
          <t xml:space="preserve">оплата по сч №62 от 25.06.26г за услуги оперирования вагонов. договор-заявка № 29/ОПКР от </t>
        </is>
      </c>
    </row>
    <row r="239">
      <c r="A239" s="18" t="inlineStr">
        <is>
          <t>БЦК</t>
        </is>
      </c>
      <c r="B239" s="19" t="inlineStr">
        <is>
          <t>30.06.2026</t>
        </is>
      </c>
      <c r="C239" s="18" t="inlineStr">
        <is>
          <t xml:space="preserve">Товарищество с ограниченной ответственностью </t>
        </is>
      </c>
      <c r="D239" s="18" t="inlineStr">
        <is>
          <t>WayStar Group</t>
        </is>
      </c>
      <c r="E239" s="18" t="inlineStr">
        <is>
          <t>240340014287</t>
        </is>
      </c>
      <c r="F239" s="20" t="n">
        <v>9650000</v>
      </c>
      <c r="G239" s="20" t="n"/>
      <c r="H239" s="19" t="inlineStr">
        <is>
          <t>322</t>
        </is>
      </c>
      <c r="I239" s="18" t="inlineStr">
        <is>
          <t>TREASURY</t>
        </is>
      </c>
      <c r="J239" s="18" t="inlineStr">
        <is>
          <t>Снятие/возврат депозита</t>
        </is>
      </c>
      <c r="K239" s="19" t="inlineStr"/>
      <c r="L239" s="18" t="inlineStr">
        <is>
          <t>Без НДС. Снятие с краткосрочного вклада (не более одного года)</t>
        </is>
      </c>
    </row>
    <row r="240">
      <c r="A240" s="18" t="inlineStr">
        <is>
          <t>БЦК</t>
        </is>
      </c>
      <c r="B240" s="19" t="inlineStr">
        <is>
          <t>30.06.2026</t>
        </is>
      </c>
      <c r="C240" s="18" t="inlineStr">
        <is>
          <t>ТОО  "WayStar Group"</t>
        </is>
      </c>
      <c r="D240" s="18" t="inlineStr">
        <is>
          <t>WayStar Group</t>
        </is>
      </c>
      <c r="E240" s="18" t="inlineStr">
        <is>
          <t>240340014287</t>
        </is>
      </c>
      <c r="F240" s="20" t="n">
        <v>14000000</v>
      </c>
      <c r="G240" s="20" t="n"/>
      <c r="H240" s="19" t="inlineStr">
        <is>
          <t>343</t>
        </is>
      </c>
      <c r="I240" s="18" t="inlineStr">
        <is>
          <t>INTERNAL</t>
        </is>
      </c>
      <c r="J240" s="18" t="inlineStr">
        <is>
          <t>Переводы между своими счетами</t>
        </is>
      </c>
      <c r="K240" s="19" t="inlineStr"/>
      <c r="L240" s="18" t="inlineStr">
        <is>
          <t>перевод на другой счет Переводы клиентом денег со своего текущего счета в одном банке, фил</t>
        </is>
      </c>
    </row>
    <row r="241">
      <c r="A241" s="18" t="inlineStr">
        <is>
          <t>Halyk</t>
        </is>
      </c>
      <c r="B241" s="19" t="inlineStr">
        <is>
          <t>01.07.2026</t>
        </is>
      </c>
      <c r="C241" s="18" t="inlineStr">
        <is>
          <t xml:space="preserve">Астанинский городской филиал Народного Банка </t>
        </is>
      </c>
      <c r="D241" s="18" t="inlineStr">
        <is>
          <t>Астанинский городской филиал Народного Банка Казахстана</t>
        </is>
      </c>
      <c r="E241" s="18" t="inlineStr">
        <is>
          <t>950341000052</t>
        </is>
      </c>
      <c r="F241" s="20" t="n"/>
      <c r="G241" s="20" t="n">
        <v>1000</v>
      </c>
      <c r="H241" s="19" t="inlineStr">
        <is>
          <t>841</t>
        </is>
      </c>
      <c r="I241" s="18" t="inlineStr">
        <is>
          <t>OPEX</t>
        </is>
      </c>
      <c r="J241" s="18" t="inlineStr">
        <is>
          <t>Банковские услуги</t>
        </is>
      </c>
      <c r="K241" s="19" t="inlineStr"/>
      <c r="L241" s="18" t="inlineStr">
        <is>
          <t>Референс 4007641503 Комиссия за операцию "Простой перевод обычной срочности" согласно тари</t>
        </is>
      </c>
    </row>
    <row r="242">
      <c r="A242" s="18" t="inlineStr">
        <is>
          <t>Halyk</t>
        </is>
      </c>
      <c r="B242" s="19" t="inlineStr">
        <is>
          <t>01.07.2026</t>
        </is>
      </c>
      <c r="C242" s="18" t="inlineStr">
        <is>
          <t>ТОО "WayStar Group"</t>
        </is>
      </c>
      <c r="D242" s="18" t="inlineStr">
        <is>
          <t>WayStar Group</t>
        </is>
      </c>
      <c r="E242" s="18" t="inlineStr">
        <is>
          <t>240340014287</t>
        </is>
      </c>
      <c r="F242" s="20" t="n"/>
      <c r="G242" s="20" t="n">
        <v>8448600</v>
      </c>
      <c r="H242" s="19" t="inlineStr">
        <is>
          <t>343</t>
        </is>
      </c>
      <c r="I242" s="18" t="inlineStr">
        <is>
          <t>INTERNAL</t>
        </is>
      </c>
      <c r="J242" s="18" t="inlineStr">
        <is>
          <t>Переводы между своими счетами</t>
        </is>
      </c>
      <c r="K242" s="19" t="inlineStr"/>
      <c r="L242" s="18" t="inlineStr">
        <is>
          <t>Референс 4007641486 перевод на другой счет Переводы клиентом денег со своего текущего счет</t>
        </is>
      </c>
    </row>
    <row r="243">
      <c r="A243" s="18" t="inlineStr">
        <is>
          <t>Halyk</t>
        </is>
      </c>
      <c r="B243" s="19" t="inlineStr">
        <is>
          <t>01.07.2026</t>
        </is>
      </c>
      <c r="C243" s="18" t="inlineStr">
        <is>
          <t>ТОО "GREENLIGHTS (ГРИНЛАЙТС)"</t>
        </is>
      </c>
      <c r="D243" s="18" t="inlineStr">
        <is>
          <t>GREENLIGHTS (ГРИНЛАЙТС)</t>
        </is>
      </c>
      <c r="E243" s="18" t="inlineStr">
        <is>
          <t>210840025853</t>
        </is>
      </c>
      <c r="F243" s="20" t="n">
        <v>4755000</v>
      </c>
      <c r="G243" s="20" t="n"/>
      <c r="H243" s="19" t="inlineStr">
        <is>
          <t>813</t>
        </is>
      </c>
      <c r="I243" s="18" t="inlineStr">
        <is>
          <t>REVENUE</t>
        </is>
      </c>
      <c r="J243" s="18" t="inlineStr">
        <is>
          <t>Выручка: транспортно-логистические услуги</t>
        </is>
      </c>
      <c r="K243" s="19" t="inlineStr">
        <is>
          <t>ТЭО</t>
        </is>
      </c>
      <c r="L243" s="18" t="inlineStr">
        <is>
          <t>Референс 4007488802 Оперирование собстенным ПС согл счету №158 от 25.06.2026 Сумма 4755000</t>
        </is>
      </c>
    </row>
    <row r="244">
      <c r="A244" s="18" t="inlineStr">
        <is>
          <t>Halyk</t>
        </is>
      </c>
      <c r="B244" s="19" t="inlineStr">
        <is>
          <t>01.07.2026</t>
        </is>
      </c>
      <c r="C244" s="18" t="inlineStr">
        <is>
          <t>ТОО Темир Экспресс Логистик</t>
        </is>
      </c>
      <c r="D244" s="18" t="inlineStr">
        <is>
          <t>Темир Экспресс Логистик</t>
        </is>
      </c>
      <c r="E244" s="18" t="inlineStr">
        <is>
          <t>181140007424</t>
        </is>
      </c>
      <c r="F244" s="20" t="n">
        <v>3685500</v>
      </c>
      <c r="G244" s="20" t="n"/>
      <c r="H244" s="19" t="inlineStr">
        <is>
          <t>813</t>
        </is>
      </c>
      <c r="I244" s="18" t="inlineStr">
        <is>
          <t>REVENUE</t>
        </is>
      </c>
      <c r="J244" s="18" t="inlineStr">
        <is>
          <t>Выручка: транспортно-логистические услуги</t>
        </is>
      </c>
      <c r="K244" s="19" t="inlineStr">
        <is>
          <t>ТЭО</t>
        </is>
      </c>
      <c r="L244" s="18" t="inlineStr">
        <is>
          <t>Референс 4007185508 Согласно счет на оплату N9 122 от 30 июня 2026 г. Платежи за услуги же</t>
        </is>
      </c>
    </row>
    <row r="245">
      <c r="A245" s="18" t="inlineStr">
        <is>
          <t>RBK</t>
        </is>
      </c>
      <c r="B245" s="19" t="inlineStr">
        <is>
          <t>01.07.2026</t>
        </is>
      </c>
      <c r="C245" s="18" t="inlineStr">
        <is>
          <t>АО "Банк "Bank RBK"</t>
        </is>
      </c>
      <c r="D245" s="18" t="inlineStr">
        <is>
          <t>Банк "Bank RBK</t>
        </is>
      </c>
      <c r="E245" s="18" t="inlineStr">
        <is>
          <t>920440001102</t>
        </is>
      </c>
      <c r="F245" s="20" t="n">
        <v>1047.95</v>
      </c>
      <c r="G245" s="20" t="n"/>
      <c r="H245" s="19" t="inlineStr"/>
      <c r="I245" s="18" t="inlineStr">
        <is>
          <t>FIN_INCOME</t>
        </is>
      </c>
      <c r="J245" s="18" t="inlineStr">
        <is>
          <t>% по депозиту</t>
        </is>
      </c>
      <c r="K245" s="19" t="inlineStr"/>
      <c r="L245" s="18" t="inlineStr">
        <is>
          <t>Выплата вознаграждения по вкладу ТОО  "WayStar Group", согласно договору банковского вклад</t>
        </is>
      </c>
    </row>
    <row r="246">
      <c r="A246" s="18" t="inlineStr">
        <is>
          <t>RBK</t>
        </is>
      </c>
      <c r="B246" s="19" t="inlineStr">
        <is>
          <t>01.07.2026</t>
        </is>
      </c>
      <c r="C246" s="18" t="inlineStr">
        <is>
          <t>ТОО Kaz-Smart Logistics</t>
        </is>
      </c>
      <c r="D246" s="18" t="inlineStr">
        <is>
          <t>Kaz-Smart Logistics</t>
        </is>
      </c>
      <c r="E246" s="18" t="inlineStr">
        <is>
          <t>181140003372</t>
        </is>
      </c>
      <c r="F246" s="20" t="n">
        <v>900000</v>
      </c>
      <c r="G246" s="20" t="n"/>
      <c r="H246" s="19" t="inlineStr"/>
      <c r="I246" s="18" t="inlineStr">
        <is>
          <t>REVENUE</t>
        </is>
      </c>
      <c r="J246" s="18" t="inlineStr">
        <is>
          <t>Выручка: транспортно-логистические услуги</t>
        </is>
      </c>
      <c r="K246" s="19" t="inlineStr">
        <is>
          <t>ТЭО</t>
        </is>
      </c>
      <c r="L246" s="18" t="inlineStr">
        <is>
          <t>оплата на основании Договора №2026/06-650ТЭУ от 22.06.2026г, согласна счета на оплату №174</t>
        </is>
      </c>
    </row>
    <row r="247">
      <c r="A247" s="18" t="inlineStr">
        <is>
          <t>RBK</t>
        </is>
      </c>
      <c r="B247" s="19" t="inlineStr">
        <is>
          <t>01.07.2026</t>
        </is>
      </c>
      <c r="C247" s="18" t="inlineStr">
        <is>
          <t>ТОО "AsstrА Almaty" (АсстрА Алматы)</t>
        </is>
      </c>
      <c r="D247" s="18" t="inlineStr">
        <is>
          <t>AsstrА Almaty" (АсстрА Алматы)</t>
        </is>
      </c>
      <c r="E247" s="18" t="inlineStr">
        <is>
          <t>061140001262</t>
        </is>
      </c>
      <c r="F247" s="20" t="n">
        <v>921375</v>
      </c>
      <c r="G247" s="20" t="n"/>
      <c r="H247" s="19" t="inlineStr"/>
      <c r="I247" s="18" t="inlineStr">
        <is>
          <t>REVENUE</t>
        </is>
      </c>
      <c r="J247" s="18" t="inlineStr">
        <is>
          <t>Выручка: транспортно-логистические услуги</t>
        </is>
      </c>
      <c r="K247" s="19" t="inlineStr">
        <is>
          <t>ТЭО</t>
        </is>
      </c>
      <c r="L247" s="18" t="inlineStr">
        <is>
          <t>За услуги. Оперирование вагонами. Согласно счету 152 от 25.06.2026.</t>
        </is>
      </c>
    </row>
    <row r="248">
      <c r="A248" s="18" t="inlineStr">
        <is>
          <t>RBK</t>
        </is>
      </c>
      <c r="B248" s="19" t="inlineStr">
        <is>
          <t>01.07.2026</t>
        </is>
      </c>
      <c r="C248" s="18" t="inlineStr">
        <is>
          <t>АО "Банк "Bank RBK"</t>
        </is>
      </c>
      <c r="D248" s="18" t="inlineStr">
        <is>
          <t>Банк "Bank RBK</t>
        </is>
      </c>
      <c r="E248" s="18" t="inlineStr">
        <is>
          <t>920440001102</t>
        </is>
      </c>
      <c r="F248" s="20" t="n">
        <v>2619863.02</v>
      </c>
      <c r="G248" s="20" t="n"/>
      <c r="H248" s="19" t="inlineStr"/>
      <c r="I248" s="18" t="inlineStr">
        <is>
          <t>FIN_INCOME</t>
        </is>
      </c>
      <c r="J248" s="18" t="inlineStr">
        <is>
          <t>% по депозиту</t>
        </is>
      </c>
      <c r="K248" s="19" t="inlineStr"/>
      <c r="L248" s="18" t="inlineStr">
        <is>
          <t>Выплата вознаграждения по вкладу ТОО  "WayStar Group", согласно договору банковского вклад</t>
        </is>
      </c>
    </row>
    <row r="249">
      <c r="A249" s="18" t="inlineStr">
        <is>
          <t>RBK</t>
        </is>
      </c>
      <c r="B249" s="19" t="inlineStr">
        <is>
          <t>01.07.2026</t>
        </is>
      </c>
      <c r="C249" s="18" t="inlineStr">
        <is>
          <t>ТОО Altyn Shyghys</t>
        </is>
      </c>
      <c r="D249" s="18" t="inlineStr">
        <is>
          <t>Altyn Shyghys</t>
        </is>
      </c>
      <c r="E249" s="18" t="inlineStr">
        <is>
          <t>190140000545</t>
        </is>
      </c>
      <c r="F249" s="20" t="n">
        <v>10802366.25</v>
      </c>
      <c r="G249" s="20" t="n"/>
      <c r="H249" s="19" t="inlineStr"/>
      <c r="I249" s="18" t="inlineStr">
        <is>
          <t>REVENUE</t>
        </is>
      </c>
      <c r="J249" s="18" t="inlineStr">
        <is>
          <t>Выручка: транспортно-логистические услуги</t>
        </is>
      </c>
      <c r="K249" s="19" t="inlineStr">
        <is>
          <t>ТЭО</t>
        </is>
      </c>
      <c r="L249" s="18" t="inlineStr">
        <is>
          <t>Оплата за услуги предоставление цистерн по счету 168 от 29.06.2026 Без налога (НДС) Догово</t>
        </is>
      </c>
    </row>
    <row r="250">
      <c r="A250" s="18" t="inlineStr">
        <is>
          <t>RBK</t>
        </is>
      </c>
      <c r="B250" s="19" t="inlineStr">
        <is>
          <t>01.07.2026</t>
        </is>
      </c>
      <c r="C250" s="18" t="inlineStr">
        <is>
          <t>ТОО Altyn Shyghys</t>
        </is>
      </c>
      <c r="D250" s="18" t="inlineStr">
        <is>
          <t>Altyn Shyghys</t>
        </is>
      </c>
      <c r="E250" s="18" t="inlineStr">
        <is>
          <t>190140000545</t>
        </is>
      </c>
      <c r="F250" s="20" t="n">
        <v>15000000</v>
      </c>
      <c r="G250" s="20" t="n"/>
      <c r="H250" s="19" t="inlineStr"/>
      <c r="I250" s="18" t="inlineStr">
        <is>
          <t>REVENUE</t>
        </is>
      </c>
      <c r="J250" s="18" t="inlineStr">
        <is>
          <t>Выручка: транспортно-логистические услуги</t>
        </is>
      </c>
      <c r="K250" s="19" t="inlineStr">
        <is>
          <t>ТЭО</t>
        </is>
      </c>
      <c r="L250" s="18" t="inlineStr">
        <is>
          <t>Оплата за услуги предоставление цистерн по счету 168 от 29.06.2026 Без налога (НДС) Догово</t>
        </is>
      </c>
    </row>
    <row r="251">
      <c r="A251" s="18" t="inlineStr">
        <is>
          <t>RBK</t>
        </is>
      </c>
      <c r="B251" s="19" t="inlineStr">
        <is>
          <t>01.07.2026</t>
        </is>
      </c>
      <c r="C251" s="18" t="inlineStr">
        <is>
          <t>ТОО "Экспорт-М"</t>
        </is>
      </c>
      <c r="D251" s="18" t="inlineStr">
        <is>
          <t>Экспорт-М</t>
        </is>
      </c>
      <c r="E251" s="18" t="inlineStr">
        <is>
          <t>231040000584</t>
        </is>
      </c>
      <c r="F251" s="20" t="n">
        <v>16860000</v>
      </c>
      <c r="G251" s="20" t="n"/>
      <c r="H251" s="19" t="inlineStr"/>
      <c r="I251" s="18" t="inlineStr">
        <is>
          <t>REVENUE</t>
        </is>
      </c>
      <c r="J251" s="18" t="inlineStr">
        <is>
          <t>Выручка: транспортно-логистические услуги</t>
        </is>
      </c>
      <c r="K251" s="19" t="inlineStr">
        <is>
          <t>ТЭО</t>
        </is>
      </c>
      <c r="L251" s="18" t="inlineStr">
        <is>
          <t xml:space="preserve">Оплата согласно счета № 170 от 29.06.2026 г,.Сумма 16 860 000-00 те?ге без НДС Платежи за </t>
        </is>
      </c>
    </row>
    <row r="252">
      <c r="A252" s="18" t="inlineStr">
        <is>
          <t>RBK</t>
        </is>
      </c>
      <c r="B252" s="19" t="inlineStr">
        <is>
          <t>01.07.2026</t>
        </is>
      </c>
      <c r="C252" s="18" t="inlineStr">
        <is>
          <t>ТОО "QAZAQ-ASTYQ GROUP"</t>
        </is>
      </c>
      <c r="D252" s="18" t="inlineStr">
        <is>
          <t>QAZAQ-ASTYQ GROUP</t>
        </is>
      </c>
      <c r="E252" s="18" t="inlineStr">
        <is>
          <t>180240007079</t>
        </is>
      </c>
      <c r="F252" s="20" t="n">
        <v>50000000</v>
      </c>
      <c r="G252" s="20" t="n"/>
      <c r="H252" s="19" t="inlineStr"/>
      <c r="I252" s="18" t="inlineStr">
        <is>
          <t>REVENUE</t>
        </is>
      </c>
      <c r="J252" s="18" t="inlineStr">
        <is>
          <t>Выручка: транспортно-логистические услуги</t>
        </is>
      </c>
      <c r="K252" s="19" t="inlineStr">
        <is>
          <t>ТЭО</t>
        </is>
      </c>
      <c r="L252" s="18" t="inlineStr">
        <is>
          <t xml:space="preserve">Оплата по ТЭО (предоставление цистерн) договор №ТЭО 573/2024/ОУ от 26.11.2024г. Счет №167 </t>
        </is>
      </c>
    </row>
    <row r="253">
      <c r="A253" s="18" t="inlineStr">
        <is>
          <t>RBK</t>
        </is>
      </c>
      <c r="B253" s="19" t="inlineStr">
        <is>
          <t>01.07.2026</t>
        </is>
      </c>
      <c r="C253" s="18" t="inlineStr">
        <is>
          <t>ТОО "QAZAQ-ASTYQ GROUP"</t>
        </is>
      </c>
      <c r="D253" s="18" t="inlineStr">
        <is>
          <t>QAZAQ-ASTYQ GROUP</t>
        </is>
      </c>
      <c r="E253" s="18" t="inlineStr">
        <is>
          <t>180240007079</t>
        </is>
      </c>
      <c r="F253" s="20" t="n">
        <v>57819620</v>
      </c>
      <c r="G253" s="20" t="n"/>
      <c r="H253" s="19" t="inlineStr"/>
      <c r="I253" s="18" t="inlineStr">
        <is>
          <t>REVENUE</t>
        </is>
      </c>
      <c r="J253" s="18" t="inlineStr">
        <is>
          <t>Выручка: транспортно-логистические услуги</t>
        </is>
      </c>
      <c r="K253" s="19" t="inlineStr">
        <is>
          <t>ТЭО</t>
        </is>
      </c>
      <c r="L253" s="18" t="inlineStr">
        <is>
          <t>Оплата по ТЭО (предоставление цистерн) РАФ договор №ТЭО 573/2024/ОУ от 26.11.2024г. Счет №</t>
        </is>
      </c>
    </row>
    <row r="254">
      <c r="A254" s="18" t="inlineStr">
        <is>
          <t>RBK</t>
        </is>
      </c>
      <c r="B254" s="19" t="inlineStr">
        <is>
          <t>01.07.2026</t>
        </is>
      </c>
      <c r="C254" s="18" t="inlineStr">
        <is>
          <t>ФИЛИАЛ АО "BANK RBK" В Г.АСТАНА</t>
        </is>
      </c>
      <c r="D254" s="18" t="inlineStr">
        <is>
          <t>ФИЛИАЛ АО "BANK RBK" В Г.АСТАНА</t>
        </is>
      </c>
      <c r="E254" s="18" t="inlineStr">
        <is>
          <t>111141019679</t>
        </is>
      </c>
      <c r="F254" s="20" t="n"/>
      <c r="G254" s="20" t="n">
        <v>645.2</v>
      </c>
      <c r="H254" s="19" t="inlineStr"/>
      <c r="I254" s="18" t="inlineStr">
        <is>
          <t>OPEX</t>
        </is>
      </c>
      <c r="J254" s="18" t="inlineStr">
        <is>
          <t>Прочие услуги и расходы</t>
        </is>
      </c>
      <c r="K254" s="19" t="inlineStr"/>
      <c r="L254" s="18" t="inlineStr">
        <is>
          <t>Комиссия Банка за переводные операции по платежному документу № 1185 от 01/07/2026, в т.ч.</t>
        </is>
      </c>
    </row>
    <row r="255">
      <c r="A255" s="18" t="inlineStr">
        <is>
          <t>RBK</t>
        </is>
      </c>
      <c r="B255" s="19" t="inlineStr">
        <is>
          <t>01.07.2026</t>
        </is>
      </c>
      <c r="C255" s="18" t="inlineStr">
        <is>
          <t>ФИЛИАЛ АО "BANK RBK" В Г.АСТАНА</t>
        </is>
      </c>
      <c r="D255" s="18" t="inlineStr">
        <is>
          <t>ФИЛИАЛ АО "BANK RBK" В Г.АСТАНА</t>
        </is>
      </c>
      <c r="E255" s="18" t="inlineStr">
        <is>
          <t>111141019679</t>
        </is>
      </c>
      <c r="F255" s="20" t="n"/>
      <c r="G255" s="20" t="n">
        <v>654.8</v>
      </c>
      <c r="H255" s="19" t="inlineStr"/>
      <c r="I255" s="18" t="inlineStr">
        <is>
          <t>OPEX</t>
        </is>
      </c>
      <c r="J255" s="18" t="inlineStr">
        <is>
          <t>Прочие услуги и расходы</t>
        </is>
      </c>
      <c r="K255" s="19" t="inlineStr"/>
      <c r="L255" s="18" t="inlineStr">
        <is>
          <t>Комиссия Банка за переводные операции по платежному документу № 1185 от 01/07/2026, в т.ч.</t>
        </is>
      </c>
    </row>
    <row r="256">
      <c r="A256" s="18" t="inlineStr">
        <is>
          <t>RBK</t>
        </is>
      </c>
      <c r="B256" s="19" t="inlineStr">
        <is>
          <t>01.07.2026</t>
        </is>
      </c>
      <c r="C256" s="18" t="inlineStr">
        <is>
          <t>ФИЛИАЛ АО "BANK RBK" В Г.АСТАНА</t>
        </is>
      </c>
      <c r="D256" s="18" t="inlineStr">
        <is>
          <t>ФИЛИАЛ АО "BANK RBK" В Г.АСТАНА</t>
        </is>
      </c>
      <c r="E256" s="18" t="inlineStr">
        <is>
          <t>111141019679</t>
        </is>
      </c>
      <c r="F256" s="20" t="n"/>
      <c r="G256" s="20" t="n">
        <v>1300</v>
      </c>
      <c r="H256" s="19" t="inlineStr"/>
      <c r="I256" s="18" t="inlineStr">
        <is>
          <t>OPEX</t>
        </is>
      </c>
      <c r="J256" s="18" t="inlineStr">
        <is>
          <t>Прочие услуги и расходы</t>
        </is>
      </c>
      <c r="K256" s="19" t="inlineStr"/>
      <c r="L256" s="18" t="inlineStr">
        <is>
          <t>Комиссия Банка за переводные операции по платежному документу № 1375 от 01/07/2026, в т.ч.</t>
        </is>
      </c>
    </row>
    <row r="257">
      <c r="A257" s="18" t="inlineStr">
        <is>
          <t>RBK</t>
        </is>
      </c>
      <c r="B257" s="19" t="inlineStr">
        <is>
          <t>01.07.2026</t>
        </is>
      </c>
      <c r="C257" s="18" t="inlineStr">
        <is>
          <t>ФИЛИАЛ АО "BANK RBK" В Г.АСТАНА</t>
        </is>
      </c>
      <c r="D257" s="18" t="inlineStr">
        <is>
          <t>ФИЛИАЛ АО "BANK RBK" В Г.АСТАНА</t>
        </is>
      </c>
      <c r="E257" s="18" t="inlineStr">
        <is>
          <t>111141019679</t>
        </is>
      </c>
      <c r="F257" s="20" t="n"/>
      <c r="G257" s="20" t="n">
        <v>4000</v>
      </c>
      <c r="H257" s="19" t="inlineStr"/>
      <c r="I257" s="18" t="inlineStr">
        <is>
          <t>OPEX</t>
        </is>
      </c>
      <c r="J257" s="18" t="inlineStr">
        <is>
          <t>Прочие услуги и расходы</t>
        </is>
      </c>
      <c r="K257" s="19" t="inlineStr"/>
      <c r="L257" s="18" t="inlineStr">
        <is>
          <t>Комиссия Банка за переводные операции по платежному документу № 1376 от 01/07/2026, в т.ч.</t>
        </is>
      </c>
    </row>
    <row r="258">
      <c r="A258" s="18" t="inlineStr">
        <is>
          <t>RBK</t>
        </is>
      </c>
      <c r="B258" s="19" t="inlineStr">
        <is>
          <t>01.07.2026</t>
        </is>
      </c>
      <c r="C258" s="18" t="inlineStr">
        <is>
          <t>ТОО "WayStar Group"</t>
        </is>
      </c>
      <c r="D258" s="18" t="inlineStr">
        <is>
          <t>WayStar Group</t>
        </is>
      </c>
      <c r="E258" s="18" t="inlineStr">
        <is>
          <t>240340014287</t>
        </is>
      </c>
      <c r="F258" s="20" t="n"/>
      <c r="G258" s="20" t="n">
        <v>2626000</v>
      </c>
      <c r="H258" s="19" t="inlineStr"/>
      <c r="I258" s="18" t="inlineStr">
        <is>
          <t>INTERNAL</t>
        </is>
      </c>
      <c r="J258" s="18" t="inlineStr">
        <is>
          <t>Переводы между своими счетами</t>
        </is>
      </c>
      <c r="K258" s="19" t="inlineStr"/>
      <c r="L258" s="18" t="inlineStr">
        <is>
          <t>перевод на другой счет Переводы клиентом денег со своего текущего счета в одном банке, фил</t>
        </is>
      </c>
    </row>
    <row r="259">
      <c r="A259" s="18" t="inlineStr">
        <is>
          <t>RBK</t>
        </is>
      </c>
      <c r="B259" s="19" t="inlineStr">
        <is>
          <t>01.07.2026</t>
        </is>
      </c>
      <c r="C259" s="18" t="inlineStr">
        <is>
          <t>АО "Банк "Bank RBK"</t>
        </is>
      </c>
      <c r="D259" s="18" t="inlineStr">
        <is>
          <t>Банк "Bank RBK</t>
        </is>
      </c>
      <c r="E259" s="18" t="inlineStr">
        <is>
          <t>920440001102</t>
        </is>
      </c>
      <c r="F259" s="20" t="n"/>
      <c r="G259" s="20" t="n">
        <v>5945143</v>
      </c>
      <c r="H259" s="19" t="inlineStr"/>
      <c r="I259" s="18" t="inlineStr">
        <is>
          <t>OPEX</t>
        </is>
      </c>
      <c r="J259" s="18" t="inlineStr">
        <is>
          <t>Оплата труда</t>
        </is>
      </c>
      <c r="K259" s="19" t="inlineStr"/>
      <c r="L259" s="18" t="inlineStr">
        <is>
          <t>Для зачисления на картсчета сотрудникам согласно спискам  5 945 143-00  тенге. Перечислени</t>
        </is>
      </c>
    </row>
    <row r="260">
      <c r="A260" s="18" t="inlineStr">
        <is>
          <t>RBK</t>
        </is>
      </c>
      <c r="B260" s="19" t="inlineStr">
        <is>
          <t>01.07.2026</t>
        </is>
      </c>
      <c r="C260" s="18" t="inlineStr">
        <is>
          <t>ТОО "WayStar Group"</t>
        </is>
      </c>
      <c r="D260" s="18" t="inlineStr">
        <is>
          <t>WayStar Group</t>
        </is>
      </c>
      <c r="E260" s="18" t="inlineStr">
        <is>
          <t>240340014287</t>
        </is>
      </c>
      <c r="F260" s="20" t="n"/>
      <c r="G260" s="20" t="n">
        <v>10900000</v>
      </c>
      <c r="H260" s="19" t="inlineStr"/>
      <c r="I260" s="18" t="inlineStr">
        <is>
          <t>INTERNAL</t>
        </is>
      </c>
      <c r="J260" s="18" t="inlineStr">
        <is>
          <t>Переводы между своими счетами</t>
        </is>
      </c>
      <c r="K260" s="19" t="inlineStr"/>
      <c r="L260" s="18" t="inlineStr">
        <is>
          <t>перевод на другой счет Переводы клиентом денег со своего текущего счета в одном банке, фил</t>
        </is>
      </c>
    </row>
    <row r="261">
      <c r="A261" s="18" t="inlineStr">
        <is>
          <t>RBK</t>
        </is>
      </c>
      <c r="B261" s="19" t="inlineStr">
        <is>
          <t>01.07.2026</t>
        </is>
      </c>
      <c r="C261" s="18" t="inlineStr">
        <is>
          <t>ТОО "WayStar Group"</t>
        </is>
      </c>
      <c r="D261" s="18" t="inlineStr">
        <is>
          <t>WayStar Group</t>
        </is>
      </c>
      <c r="E261" s="18" t="inlineStr">
        <is>
          <t>240340014287</t>
        </is>
      </c>
      <c r="F261" s="20" t="n"/>
      <c r="G261" s="20" t="n">
        <v>109646000</v>
      </c>
      <c r="H261" s="19" t="inlineStr"/>
      <c r="I261" s="18" t="inlineStr">
        <is>
          <t>INTERNAL</t>
        </is>
      </c>
      <c r="J261" s="18" t="inlineStr">
        <is>
          <t>Переводы между своими счетами</t>
        </is>
      </c>
      <c r="K261" s="19" t="inlineStr"/>
      <c r="L261" s="18" t="inlineStr">
        <is>
          <t>перевод на другой счет Переводы клиентом денег со своего текущего счета в одном банке, фил</t>
        </is>
      </c>
    </row>
    <row r="262">
      <c r="A262" s="18" t="inlineStr">
        <is>
          <t>БЦК</t>
        </is>
      </c>
      <c r="B262" s="19" t="inlineStr">
        <is>
          <t>01.07.2026</t>
        </is>
      </c>
      <c r="C262" s="18" t="inlineStr">
        <is>
          <t xml:space="preserve">Товарищество с ограниченной ответственностью </t>
        </is>
      </c>
      <c r="D262" s="18" t="inlineStr">
        <is>
          <t>Shiny river</t>
        </is>
      </c>
      <c r="E262" s="18" t="inlineStr">
        <is>
          <t>251240008624</t>
        </is>
      </c>
      <c r="F262" s="20" t="n"/>
      <c r="G262" s="20" t="n">
        <v>39000</v>
      </c>
      <c r="H262" s="19" t="inlineStr">
        <is>
          <t>872</t>
        </is>
      </c>
      <c r="I262" s="18" t="inlineStr">
        <is>
          <t>OPEX</t>
        </is>
      </c>
      <c r="J262" s="18" t="inlineStr">
        <is>
          <t>Командировочные / поездки</t>
        </is>
      </c>
      <c r="K262" s="19" t="inlineStr"/>
      <c r="L262" s="18" t="inlineStr">
        <is>
          <t>Счет на оплату № 717 от 01.07.2026 г. Проживание в гостинице Унбетпаев / Доолоткулов с 01.</t>
        </is>
      </c>
    </row>
    <row r="263">
      <c r="A263" s="18" t="inlineStr">
        <is>
          <t>БЦК</t>
        </is>
      </c>
      <c r="B263" s="19" t="inlineStr">
        <is>
          <t>01.07.2026</t>
        </is>
      </c>
      <c r="C263" s="18" t="inlineStr">
        <is>
          <t>Доолоткулов Данияр Дулатбекович</t>
        </is>
      </c>
      <c r="D263" s="18" t="inlineStr">
        <is>
          <t>Доолоткулов Данияр Дулатбекович</t>
        </is>
      </c>
      <c r="E263" s="18" t="inlineStr">
        <is>
          <t>940502350175</t>
        </is>
      </c>
      <c r="F263" s="20" t="n"/>
      <c r="G263" s="20" t="n">
        <v>64875</v>
      </c>
      <c r="H263" s="19" t="inlineStr">
        <is>
          <t>871</t>
        </is>
      </c>
      <c r="I263" s="18" t="inlineStr">
        <is>
          <t>OPEX</t>
        </is>
      </c>
      <c r="J263" s="18" t="inlineStr">
        <is>
          <t>Командировочные / поездки</t>
        </is>
      </c>
      <c r="K263" s="19" t="inlineStr"/>
      <c r="L263" s="18" t="inlineStr">
        <is>
          <t>Суточные расходы на проезд в Астана-Усть-Каменогорск- Семей 30.06-04.07.2026 5 кд *15МРП (</t>
        </is>
      </c>
    </row>
    <row r="264">
      <c r="A264" s="18" t="inlineStr">
        <is>
          <t>БЦК</t>
        </is>
      </c>
      <c r="B264" s="19" t="inlineStr">
        <is>
          <t>01.07.2026</t>
        </is>
      </c>
      <c r="C264" s="18" t="inlineStr">
        <is>
          <t>Унбетпаев Ернар Байтасович</t>
        </is>
      </c>
      <c r="D264" s="18" t="inlineStr">
        <is>
          <t>Унбетпаев Ернар Байтасович</t>
        </is>
      </c>
      <c r="E264" s="18" t="inlineStr">
        <is>
          <t>840808300582</t>
        </is>
      </c>
      <c r="F264" s="20" t="n"/>
      <c r="G264" s="20" t="n">
        <v>86500</v>
      </c>
      <c r="H264" s="19" t="inlineStr">
        <is>
          <t>871</t>
        </is>
      </c>
      <c r="I264" s="18" t="inlineStr">
        <is>
          <t>OPEX</t>
        </is>
      </c>
      <c r="J264" s="18" t="inlineStr">
        <is>
          <t>Командировочные / поездки</t>
        </is>
      </c>
      <c r="K264" s="19" t="inlineStr"/>
      <c r="L264" s="18" t="inlineStr">
        <is>
          <t>Суточные расходы на проезд в Астана-Усть-Каменогорск- Семей 30.06-04.07.2026 5 кд *20МРП (</t>
        </is>
      </c>
    </row>
    <row r="265">
      <c r="A265" s="18" t="inlineStr">
        <is>
          <t>БЦК</t>
        </is>
      </c>
      <c r="B265" s="19" t="inlineStr">
        <is>
          <t>01.07.2026</t>
        </is>
      </c>
      <c r="C265" s="18" t="inlineStr">
        <is>
          <t xml:space="preserve">Товарищество с ограниченной ответственностью </t>
        </is>
      </c>
      <c r="D265" s="18" t="inlineStr">
        <is>
          <t>Olivin.kz (Оливин.кз)</t>
        </is>
      </c>
      <c r="E265" s="18" t="inlineStr">
        <is>
          <t>210240014486</t>
        </is>
      </c>
      <c r="F265" s="20" t="n"/>
      <c r="G265" s="20" t="n">
        <v>287400</v>
      </c>
      <c r="H265" s="19" t="inlineStr">
        <is>
          <t>710</t>
        </is>
      </c>
      <c r="I265" s="18" t="inlineStr">
        <is>
          <t>OPEX</t>
        </is>
      </c>
      <c r="J265" s="18" t="inlineStr">
        <is>
          <t>ТМЦ / офисные расходы</t>
        </is>
      </c>
      <c r="K265" s="19" t="inlineStr"/>
      <c r="L265" s="18" t="inlineStr">
        <is>
          <t>Счет на оплату № 177 от 25.06.2026 г. Магнитный внешний аккумулятор 30 шт</t>
        </is>
      </c>
    </row>
    <row r="266">
      <c r="A266" s="18" t="inlineStr">
        <is>
          <t>БЦК</t>
        </is>
      </c>
      <c r="B266" s="19" t="inlineStr">
        <is>
          <t>01.07.2026</t>
        </is>
      </c>
      <c r="C266" s="18" t="inlineStr">
        <is>
          <t xml:space="preserve">Товарищество с ограниченной ответственностью </t>
        </is>
      </c>
      <c r="D266" s="18" t="inlineStr">
        <is>
          <t>Asia Railways Tracking Service (Азия Рэилвейс Трекинг Сервис)</t>
        </is>
      </c>
      <c r="E266" s="18" t="inlineStr">
        <is>
          <t>130540005778</t>
        </is>
      </c>
      <c r="F266" s="20" t="n"/>
      <c r="G266" s="20" t="n">
        <v>500000</v>
      </c>
      <c r="H266" s="19" t="inlineStr">
        <is>
          <t>813</t>
        </is>
      </c>
      <c r="I266" s="18" t="inlineStr">
        <is>
          <t>COGS</t>
        </is>
      </c>
      <c r="J266" s="18" t="inlineStr">
        <is>
          <t>Ж/д тариф, вагоны, услуги перевозчиков</t>
        </is>
      </c>
      <c r="K266" s="19" t="inlineStr">
        <is>
          <t>ТЭО</t>
        </is>
      </c>
      <c r="L266" s="18" t="inlineStr">
        <is>
          <t>Счет на оплату № И-1792 от 01.07.2026 г. Договор № D-0071124 от 07.11.2024 г.Авансовая опл</t>
        </is>
      </c>
    </row>
    <row r="267">
      <c r="A267" s="18" t="inlineStr">
        <is>
          <t>БЦК</t>
        </is>
      </c>
      <c r="B267" s="19" t="inlineStr">
        <is>
          <t>01.07.2026</t>
        </is>
      </c>
      <c r="C267" s="18" t="inlineStr">
        <is>
          <t xml:space="preserve">Товарищество с ограниченной ответственностью </t>
        </is>
      </c>
      <c r="D267" s="18" t="inlineStr">
        <is>
          <t>Нұр-Альфинур</t>
        </is>
      </c>
      <c r="E267" s="18" t="inlineStr">
        <is>
          <t>111240015961</t>
        </is>
      </c>
      <c r="F267" s="20" t="n"/>
      <c r="G267" s="20" t="n">
        <v>2505840.78</v>
      </c>
      <c r="H267" s="19" t="inlineStr">
        <is>
          <t>822</t>
        </is>
      </c>
      <c r="I267" s="18" t="inlineStr">
        <is>
          <t>OPEX</t>
        </is>
      </c>
      <c r="J267" s="18" t="inlineStr">
        <is>
          <t>Прочие услуги и расходы</t>
        </is>
      </c>
      <c r="K267" s="19" t="inlineStr"/>
      <c r="L267" s="18" t="inlineStr">
        <is>
          <t>Оплата согласно акт сверки Сумма 2 505 840-78 тенге без налога</t>
        </is>
      </c>
    </row>
    <row r="268">
      <c r="A268" s="18" t="inlineStr">
        <is>
          <t>БЦК</t>
        </is>
      </c>
      <c r="B268" s="19" t="inlineStr">
        <is>
          <t>01.07.2026</t>
        </is>
      </c>
      <c r="C268" s="18" t="inlineStr">
        <is>
          <t>Банк ЦентрКредит для ЗП</t>
        </is>
      </c>
      <c r="D268" s="18" t="inlineStr">
        <is>
          <t>Банк ЦентрКредит для ЗП</t>
        </is>
      </c>
      <c r="E268" s="18" t="inlineStr">
        <is>
          <t>980640000093</t>
        </is>
      </c>
      <c r="F268" s="20" t="n"/>
      <c r="G268" s="20" t="n">
        <v>5500000</v>
      </c>
      <c r="H268" s="19" t="inlineStr">
        <is>
          <t>332</t>
        </is>
      </c>
      <c r="I268" s="18" t="inlineStr">
        <is>
          <t>OPEX</t>
        </is>
      </c>
      <c r="J268" s="18" t="inlineStr">
        <is>
          <t>Оплата труда</t>
        </is>
      </c>
      <c r="K268" s="19" t="inlineStr"/>
      <c r="L268" s="18" t="inlineStr">
        <is>
          <t>Для зачисления на картсчета сотрудникам согласно спискам 5 500 000-00 тенге.</t>
        </is>
      </c>
    </row>
    <row r="269">
      <c r="A269" s="18" t="inlineStr">
        <is>
          <t>БЦК</t>
        </is>
      </c>
      <c r="B269" s="19" t="inlineStr">
        <is>
          <t>01.07.2026</t>
        </is>
      </c>
      <c r="C269" s="18" t="inlineStr">
        <is>
          <t xml:space="preserve">Товарищество с ограниченной ответственностью </t>
        </is>
      </c>
      <c r="D269" s="18" t="inlineStr">
        <is>
          <t>ResursLogistiс (РесурсЛогистик)</t>
        </is>
      </c>
      <c r="E269" s="18" t="inlineStr">
        <is>
          <t>230940036377</t>
        </is>
      </c>
      <c r="F269" s="20" t="n"/>
      <c r="G269" s="20" t="n">
        <v>6724520</v>
      </c>
      <c r="H269" s="19" t="inlineStr">
        <is>
          <t>813</t>
        </is>
      </c>
      <c r="I269" s="18" t="inlineStr">
        <is>
          <t>COGS</t>
        </is>
      </c>
      <c r="J269" s="18" t="inlineStr">
        <is>
          <t>Ж/д тариф, вагоны, услуги перевозчиков</t>
        </is>
      </c>
      <c r="K269" s="19" t="inlineStr">
        <is>
          <t>Аренда</t>
        </is>
      </c>
      <c r="L269" s="18" t="inlineStr">
        <is>
          <t>Счет на оплату №124 от 22.06.2026 г. Счет на оплату №124 от 22.06.2026 г. Оплата за аренду</t>
        </is>
      </c>
    </row>
    <row r="270">
      <c r="A270" s="18" t="inlineStr">
        <is>
          <t>БЦК</t>
        </is>
      </c>
      <c r="B270" s="19" t="inlineStr">
        <is>
          <t>01.07.2026</t>
        </is>
      </c>
      <c r="C270" s="18" t="inlineStr">
        <is>
          <t xml:space="preserve">Товарищество с ограниченной ответственностью </t>
        </is>
      </c>
      <c r="D270" s="18" t="inlineStr">
        <is>
          <t>WayStar Group</t>
        </is>
      </c>
      <c r="E270" s="18" t="inlineStr">
        <is>
          <t>240340014287</t>
        </is>
      </c>
      <c r="F270" s="20" t="n"/>
      <c r="G270" s="20" t="n">
        <v>9371424.15</v>
      </c>
      <c r="H270" s="19" t="inlineStr">
        <is>
          <t>312</t>
        </is>
      </c>
      <c r="I270" s="18" t="inlineStr">
        <is>
          <t>TREASURY</t>
        </is>
      </c>
      <c r="J270" s="18" t="inlineStr">
        <is>
          <t>Размещение депозита</t>
        </is>
      </c>
      <c r="K270" s="19" t="inlineStr"/>
      <c r="L270" s="18" t="inlineStr">
        <is>
          <t>Размещение вклада</t>
        </is>
      </c>
    </row>
    <row r="271">
      <c r="A271" s="18" t="inlineStr">
        <is>
          <t>БЦК</t>
        </is>
      </c>
      <c r="B271" s="19" t="inlineStr">
        <is>
          <t>01.07.2026</t>
        </is>
      </c>
      <c r="C271" s="18" t="inlineStr">
        <is>
          <t xml:space="preserve">Товарищество с ограниченной ответственностью </t>
        </is>
      </c>
      <c r="D271" s="18" t="inlineStr">
        <is>
          <t>ResursLogistiс (РесурсЛогистик)</t>
        </is>
      </c>
      <c r="E271" s="18" t="inlineStr">
        <is>
          <t>230940036377</t>
        </is>
      </c>
      <c r="F271" s="20" t="n"/>
      <c r="G271" s="20" t="n">
        <v>10000000</v>
      </c>
      <c r="H271" s="19" t="inlineStr">
        <is>
          <t>880</t>
        </is>
      </c>
      <c r="I271" s="18" t="inlineStr">
        <is>
          <t>CONTRA</t>
        </is>
      </c>
      <c r="J271" s="18" t="inlineStr">
        <is>
          <t>Возврат средств клиенту</t>
        </is>
      </c>
      <c r="K271" s="19" t="inlineStr"/>
      <c r="L271" s="18" t="inlineStr">
        <is>
          <t>Возврат денежных средств Договор №2026/03-14 от 05.03.2026 г.</t>
        </is>
      </c>
    </row>
    <row r="272">
      <c r="A272" s="18" t="inlineStr">
        <is>
          <t>БЦК</t>
        </is>
      </c>
      <c r="B272" s="19" t="inlineStr">
        <is>
          <t>01.07.2026</t>
        </is>
      </c>
      <c r="C272" s="18" t="inlineStr">
        <is>
          <t xml:space="preserve">Товарищество с ограниченной ответственностью </t>
        </is>
      </c>
      <c r="D272" s="18" t="inlineStr">
        <is>
          <t>WayStar Group</t>
        </is>
      </c>
      <c r="E272" s="18" t="inlineStr">
        <is>
          <t>240340014287</t>
        </is>
      </c>
      <c r="F272" s="20" t="n"/>
      <c r="G272" s="20" t="n">
        <v>101543680</v>
      </c>
      <c r="H272" s="19" t="inlineStr">
        <is>
          <t>312</t>
        </is>
      </c>
      <c r="I272" s="18" t="inlineStr">
        <is>
          <t>TREASURY</t>
        </is>
      </c>
      <c r="J272" s="18" t="inlineStr">
        <is>
          <t>Размещение депозита</t>
        </is>
      </c>
      <c r="K272" s="19" t="inlineStr"/>
      <c r="L272" s="18" t="inlineStr">
        <is>
          <t>на депозит. Без НДС. Размещение краткосрочных вкладов (не более одного года)</t>
        </is>
      </c>
    </row>
    <row r="273">
      <c r="A273" s="18" t="inlineStr">
        <is>
          <t>БЦК</t>
        </is>
      </c>
      <c r="B273" s="19" t="inlineStr">
        <is>
          <t>01.07.2026</t>
        </is>
      </c>
      <c r="C273" s="18" t="inlineStr">
        <is>
          <t xml:space="preserve">Товарищество с ограниченной ответственностью </t>
        </is>
      </c>
      <c r="D273" s="18" t="inlineStr">
        <is>
          <t>WayStar Group</t>
        </is>
      </c>
      <c r="E273" s="18" t="inlineStr">
        <is>
          <t>240340014287</t>
        </is>
      </c>
      <c r="F273" s="20" t="n">
        <v>1328.33</v>
      </c>
      <c r="G273" s="20" t="n"/>
      <c r="H273" s="19" t="inlineStr">
        <is>
          <t>316</t>
        </is>
      </c>
      <c r="I273" s="18" t="inlineStr">
        <is>
          <t>FIN_INCOME</t>
        </is>
      </c>
      <c r="J273" s="18" t="inlineStr">
        <is>
          <t>% по депозиту</t>
        </is>
      </c>
      <c r="K273" s="19" t="inlineStr"/>
      <c r="L273" s="18" t="inlineStr">
        <is>
          <t>Выплата начисленного вознаграждения по депозитному договору № 01607034 от 24.07.2025 за пе</t>
        </is>
      </c>
    </row>
    <row r="274">
      <c r="A274" s="18" t="inlineStr">
        <is>
          <t>БЦК</t>
        </is>
      </c>
      <c r="B274" s="19" t="inlineStr">
        <is>
          <t>01.07.2026</t>
        </is>
      </c>
      <c r="C274" s="18" t="inlineStr">
        <is>
          <t xml:space="preserve">Товарищество с ограниченной ответственностью </t>
        </is>
      </c>
      <c r="D274" s="18" t="inlineStr">
        <is>
          <t>WayStar Group</t>
        </is>
      </c>
      <c r="E274" s="18" t="inlineStr">
        <is>
          <t>240340014287</t>
        </is>
      </c>
      <c r="F274" s="20" t="n">
        <v>500000</v>
      </c>
      <c r="G274" s="20" t="n"/>
      <c r="H274" s="19" t="inlineStr">
        <is>
          <t>322</t>
        </is>
      </c>
      <c r="I274" s="18" t="inlineStr">
        <is>
          <t>TREASURY</t>
        </is>
      </c>
      <c r="J274" s="18" t="inlineStr">
        <is>
          <t>Снятие/возврат депозита</t>
        </is>
      </c>
      <c r="K274" s="19" t="inlineStr"/>
      <c r="L274" s="18" t="inlineStr">
        <is>
          <t>Без НДС. Снятие с краткосрочного вклада (не более одного года)</t>
        </is>
      </c>
    </row>
    <row r="275">
      <c r="A275" s="18" t="inlineStr">
        <is>
          <t>БЦК</t>
        </is>
      </c>
      <c r="B275" s="19" t="inlineStr">
        <is>
          <t>01.07.2026</t>
        </is>
      </c>
      <c r="C275" s="18" t="inlineStr">
        <is>
          <t xml:space="preserve">Товарищество с ограниченной ответственностью </t>
        </is>
      </c>
      <c r="D275" s="18" t="inlineStr">
        <is>
          <t>WayStar Group</t>
        </is>
      </c>
      <c r="E275" s="18" t="inlineStr">
        <is>
          <t>240340014287</t>
        </is>
      </c>
      <c r="F275" s="20" t="n">
        <v>500000</v>
      </c>
      <c r="G275" s="20" t="n"/>
      <c r="H275" s="19" t="inlineStr">
        <is>
          <t>322</t>
        </is>
      </c>
      <c r="I275" s="18" t="inlineStr">
        <is>
          <t>TREASURY</t>
        </is>
      </c>
      <c r="J275" s="18" t="inlineStr">
        <is>
          <t>Снятие/возврат депозита</t>
        </is>
      </c>
      <c r="K275" s="19" t="inlineStr"/>
      <c r="L275" s="18" t="inlineStr">
        <is>
          <t>Без НДС. Снятие с краткосрочного вклада (не более одного года)</t>
        </is>
      </c>
    </row>
    <row r="276">
      <c r="A276" s="18" t="inlineStr">
        <is>
          <t>БЦК</t>
        </is>
      </c>
      <c r="B276" s="19" t="inlineStr">
        <is>
          <t>01.07.2026</t>
        </is>
      </c>
      <c r="C276" s="18" t="inlineStr">
        <is>
          <t>ТОО  "WayStar Group"</t>
        </is>
      </c>
      <c r="D276" s="18" t="inlineStr">
        <is>
          <t>WayStar Group</t>
        </is>
      </c>
      <c r="E276" s="18" t="inlineStr">
        <is>
          <t>240340014287</t>
        </is>
      </c>
      <c r="F276" s="20" t="n">
        <v>2626000</v>
      </c>
      <c r="G276" s="20" t="n"/>
      <c r="H276" s="19" t="inlineStr">
        <is>
          <t>343</t>
        </is>
      </c>
      <c r="I276" s="18" t="inlineStr">
        <is>
          <t>INTERNAL</t>
        </is>
      </c>
      <c r="J276" s="18" t="inlineStr">
        <is>
          <t>Переводы между своими счетами</t>
        </is>
      </c>
      <c r="K276" s="19" t="inlineStr"/>
      <c r="L276" s="18" t="inlineStr">
        <is>
          <t>перевод на другой счет Переводы клиентом денег со своего текущего счета в одном банке, фил</t>
        </is>
      </c>
    </row>
    <row r="277">
      <c r="A277" s="18" t="inlineStr">
        <is>
          <t>БЦК</t>
        </is>
      </c>
      <c r="B277" s="19" t="inlineStr">
        <is>
          <t>01.07.2026</t>
        </is>
      </c>
      <c r="C277" s="18" t="inlineStr">
        <is>
          <t xml:space="preserve">Товарищество с ограниченной ответственностью </t>
        </is>
      </c>
      <c r="D277" s="18" t="inlineStr">
        <is>
          <t>WayStar Group</t>
        </is>
      </c>
      <c r="E277" s="18" t="inlineStr">
        <is>
          <t>240340014287</t>
        </is>
      </c>
      <c r="F277" s="20" t="n">
        <v>3933799.78</v>
      </c>
      <c r="G277" s="20" t="n"/>
      <c r="H277" s="19" t="inlineStr">
        <is>
          <t>322</t>
        </is>
      </c>
      <c r="I277" s="18" t="inlineStr">
        <is>
          <t>TREASURY</t>
        </is>
      </c>
      <c r="J277" s="18" t="inlineStr">
        <is>
          <t>Снятие/возврат депозита</t>
        </is>
      </c>
      <c r="K277" s="19" t="inlineStr"/>
      <c r="L277" s="18" t="inlineStr">
        <is>
          <t>Частичная выплата вклада по депозитному договору № 01607034 от 01.07.2026 в размере 393379</t>
        </is>
      </c>
    </row>
    <row r="278">
      <c r="A278" s="18" t="inlineStr">
        <is>
          <t>БЦК</t>
        </is>
      </c>
      <c r="B278" s="19" t="inlineStr">
        <is>
          <t>01.07.2026</t>
        </is>
      </c>
      <c r="C278" s="18" t="inlineStr">
        <is>
          <t>ТОО WayStar Group</t>
        </is>
      </c>
      <c r="D278" s="18" t="inlineStr">
        <is>
          <t>WayStar Group</t>
        </is>
      </c>
      <c r="E278" s="18" t="inlineStr">
        <is>
          <t>240340014287</t>
        </is>
      </c>
      <c r="F278" s="20" t="n">
        <v>8448600</v>
      </c>
      <c r="G278" s="20" t="n"/>
      <c r="H278" s="19" t="inlineStr">
        <is>
          <t>343</t>
        </is>
      </c>
      <c r="I278" s="18" t="inlineStr">
        <is>
          <t>INTERNAL</t>
        </is>
      </c>
      <c r="J278" s="18" t="inlineStr">
        <is>
          <t>Переводы между своими счетами</t>
        </is>
      </c>
      <c r="K278" s="19" t="inlineStr"/>
      <c r="L278" s="18" t="inlineStr">
        <is>
          <t>перевод на другой счет Переводы клиентом денег со своего текущего счета в одном банке фили</t>
        </is>
      </c>
    </row>
    <row r="279">
      <c r="A279" s="18" t="inlineStr">
        <is>
          <t>БЦК</t>
        </is>
      </c>
      <c r="B279" s="19" t="inlineStr">
        <is>
          <t>01.07.2026</t>
        </is>
      </c>
      <c r="C279" s="18" t="inlineStr">
        <is>
          <t>ТОО  "WayStar Group"</t>
        </is>
      </c>
      <c r="D279" s="18" t="inlineStr">
        <is>
          <t>WayStar Group</t>
        </is>
      </c>
      <c r="E279" s="18" t="inlineStr">
        <is>
          <t>240340014287</t>
        </is>
      </c>
      <c r="F279" s="20" t="n">
        <v>10900000</v>
      </c>
      <c r="G279" s="20" t="n"/>
      <c r="H279" s="19" t="inlineStr">
        <is>
          <t>343</t>
        </is>
      </c>
      <c r="I279" s="18" t="inlineStr">
        <is>
          <t>INTERNAL</t>
        </is>
      </c>
      <c r="J279" s="18" t="inlineStr">
        <is>
          <t>Переводы между своими счетами</t>
        </is>
      </c>
      <c r="K279" s="19" t="inlineStr"/>
      <c r="L279" s="18" t="inlineStr">
        <is>
          <t>перевод на другой счет Переводы клиентом денег со своего текущего счета в одном банке, фил</t>
        </is>
      </c>
    </row>
    <row r="280">
      <c r="A280" s="18" t="inlineStr">
        <is>
          <t>БЦК</t>
        </is>
      </c>
      <c r="B280" s="19" t="inlineStr">
        <is>
          <t>01.07.2026</t>
        </is>
      </c>
      <c r="C280" s="18" t="inlineStr">
        <is>
          <t>ТОО  "WayStar Group"</t>
        </is>
      </c>
      <c r="D280" s="18" t="inlineStr">
        <is>
          <t>WayStar Group</t>
        </is>
      </c>
      <c r="E280" s="18" t="inlineStr">
        <is>
          <t>240340014287</t>
        </is>
      </c>
      <c r="F280" s="20" t="n">
        <v>109646000</v>
      </c>
      <c r="G280" s="20" t="n"/>
      <c r="H280" s="19" t="inlineStr">
        <is>
          <t>343</t>
        </is>
      </c>
      <c r="I280" s="18" t="inlineStr">
        <is>
          <t>INTERNAL</t>
        </is>
      </c>
      <c r="J280" s="18" t="inlineStr">
        <is>
          <t>Переводы между своими счетами</t>
        </is>
      </c>
      <c r="K280" s="19" t="inlineStr"/>
      <c r="L280" s="18" t="inlineStr">
        <is>
          <t>перевод на другой счет Переводы клиентом денег со своего текущего счета в одном банке, фил</t>
        </is>
      </c>
    </row>
    <row r="281">
      <c r="A281" s="18" t="inlineStr">
        <is>
          <t>Halyk</t>
        </is>
      </c>
      <c r="B281" s="19" t="inlineStr">
        <is>
          <t>02.07.2026</t>
        </is>
      </c>
      <c r="C281" s="18" t="inlineStr">
        <is>
          <t>ТОО "Global A Group (Глобал А Групп)"</t>
        </is>
      </c>
      <c r="D281" s="18" t="inlineStr">
        <is>
          <t>Global A Group (Глобал А Групп)</t>
        </is>
      </c>
      <c r="E281" s="18" t="inlineStr">
        <is>
          <t>190140015553</t>
        </is>
      </c>
      <c r="F281" s="20" t="n">
        <v>921375</v>
      </c>
      <c r="G281" s="20" t="n"/>
      <c r="H281" s="19" t="inlineStr">
        <is>
          <t>813</t>
        </is>
      </c>
      <c r="I281" s="18" t="inlineStr">
        <is>
          <t>REVENUE</t>
        </is>
      </c>
      <c r="J281" s="18" t="inlineStr">
        <is>
          <t>Выручка: транспортно-логистические услуги</t>
        </is>
      </c>
      <c r="K281" s="19" t="inlineStr">
        <is>
          <t>ТЭО</t>
        </is>
      </c>
      <c r="L281" s="18" t="inlineStr">
        <is>
          <t>Референс 4009474403 оперирование, АВР130 Платежи за услуги железнодорожного транспорта</t>
        </is>
      </c>
    </row>
    <row r="282">
      <c r="A282" s="18" t="inlineStr">
        <is>
          <t>Halyk</t>
        </is>
      </c>
      <c r="B282" s="19" t="inlineStr">
        <is>
          <t>02.07.2026</t>
        </is>
      </c>
      <c r="C282" s="18" t="inlineStr">
        <is>
          <t>ТОО "TN-TRANS GROUP"</t>
        </is>
      </c>
      <c r="D282" s="18" t="inlineStr">
        <is>
          <t>TN-TRANS GROUP</t>
        </is>
      </c>
      <c r="E282" s="18" t="inlineStr">
        <is>
          <t>161240004013</t>
        </is>
      </c>
      <c r="F282" s="20" t="n">
        <v>815000</v>
      </c>
      <c r="G282" s="20" t="n"/>
      <c r="H282" s="19" t="inlineStr">
        <is>
          <t>813</t>
        </is>
      </c>
      <c r="I282" s="18" t="inlineStr">
        <is>
          <t>REVENUE</t>
        </is>
      </c>
      <c r="J282" s="18" t="inlineStr">
        <is>
          <t>Выручка: транспортно-логистические услуги</t>
        </is>
      </c>
      <c r="K282" s="19" t="inlineStr">
        <is>
          <t>ТЭО</t>
        </is>
      </c>
      <c r="L282" s="18" t="inlineStr">
        <is>
          <t>Референс 4008840648 Предоставление вагона. Счет на оплату № 140 от 18 июня 2026 г. Платежи</t>
        </is>
      </c>
    </row>
    <row r="283">
      <c r="A283" s="18" t="inlineStr">
        <is>
          <t>RBK</t>
        </is>
      </c>
      <c r="B283" s="19" t="inlineStr">
        <is>
          <t>02.07.2026</t>
        </is>
      </c>
      <c r="C283" s="18" t="inlineStr">
        <is>
          <t>ТОО ROYAL EXPORT</t>
        </is>
      </c>
      <c r="D283" s="18" t="inlineStr">
        <is>
          <t>ROYAL EXPORT</t>
        </is>
      </c>
      <c r="E283" s="18" t="inlineStr">
        <is>
          <t>120740010650</t>
        </is>
      </c>
      <c r="F283" s="20" t="n">
        <v>6250000</v>
      </c>
      <c r="G283" s="20" t="n"/>
      <c r="H283" s="19" t="inlineStr"/>
      <c r="I283" s="18" t="inlineStr">
        <is>
          <t>REVENUE</t>
        </is>
      </c>
      <c r="J283" s="18" t="inlineStr">
        <is>
          <t>Выручка: транспортно-логистические услуги</t>
        </is>
      </c>
      <c r="K283" s="19" t="inlineStr">
        <is>
          <t>ТЭО</t>
        </is>
      </c>
      <c r="L283" s="18" t="inlineStr">
        <is>
          <t>За услуги. Оплата за предоставление вагонов, согласна счет на оплату №172 от 30.06.2026г.</t>
        </is>
      </c>
    </row>
    <row r="284">
      <c r="A284" s="18" t="inlineStr">
        <is>
          <t>RBK</t>
        </is>
      </c>
      <c r="B284" s="19" t="inlineStr">
        <is>
          <t>02.07.2026</t>
        </is>
      </c>
      <c r="C284" s="18" t="inlineStr">
        <is>
          <t>ТОО Altyn Shyghys</t>
        </is>
      </c>
      <c r="D284" s="18" t="inlineStr">
        <is>
          <t>Altyn Shyghys</t>
        </is>
      </c>
      <c r="E284" s="18" t="inlineStr">
        <is>
          <t>190140000545</t>
        </is>
      </c>
      <c r="F284" s="20" t="n">
        <v>24000000</v>
      </c>
      <c r="G284" s="20" t="n"/>
      <c r="H284" s="19" t="inlineStr"/>
      <c r="I284" s="18" t="inlineStr">
        <is>
          <t>REVENUE</t>
        </is>
      </c>
      <c r="J284" s="18" t="inlineStr">
        <is>
          <t>Выручка: транспортно-логистические услуги</t>
        </is>
      </c>
      <c r="K284" s="19" t="inlineStr">
        <is>
          <t>ТЭО</t>
        </is>
      </c>
      <c r="L284" s="18" t="inlineStr">
        <is>
          <t>Оплата за услуги предоставление цистерн по счету 168 от 29.06.2026 Без налога (НДС) Догово</t>
        </is>
      </c>
    </row>
    <row r="285">
      <c r="A285" s="18" t="inlineStr">
        <is>
          <t>RBK</t>
        </is>
      </c>
      <c r="B285" s="19" t="inlineStr">
        <is>
          <t>02.07.2026</t>
        </is>
      </c>
      <c r="C285" s="18" t="inlineStr">
        <is>
          <t>ТОО "QAZAQ-ASTYQ GROUP"</t>
        </is>
      </c>
      <c r="D285" s="18" t="inlineStr">
        <is>
          <t>QAZAQ-ASTYQ GROUP</t>
        </is>
      </c>
      <c r="E285" s="18" t="inlineStr">
        <is>
          <t>180240007079</t>
        </is>
      </c>
      <c r="F285" s="20" t="n">
        <v>50000000</v>
      </c>
      <c r="G285" s="20" t="n"/>
      <c r="H285" s="19" t="inlineStr"/>
      <c r="I285" s="18" t="inlineStr">
        <is>
          <t>REVENUE</t>
        </is>
      </c>
      <c r="J285" s="18" t="inlineStr">
        <is>
          <t>Выручка: транспортно-логистические услуги</t>
        </is>
      </c>
      <c r="K285" s="19" t="inlineStr">
        <is>
          <t>ТЭО</t>
        </is>
      </c>
      <c r="L285" s="18" t="inlineStr">
        <is>
          <t xml:space="preserve">Оплата по ТЭО (предоставление цистерн) договор №ТЭО 573/2024/ОУ от 26.11.2024г. Счет №167 </t>
        </is>
      </c>
    </row>
    <row r="286">
      <c r="A286" s="18" t="inlineStr">
        <is>
          <t>RBK</t>
        </is>
      </c>
      <c r="B286" s="19" t="inlineStr">
        <is>
          <t>02.07.2026</t>
        </is>
      </c>
      <c r="C286" s="18" t="inlineStr">
        <is>
          <t>ФИЛИАЛ АО "BANK RBK" В Г.АСТАНА</t>
        </is>
      </c>
      <c r="D286" s="18" t="inlineStr">
        <is>
          <t>ФИЛИАЛ АО "BANK RBK" В Г.АСТАНА</t>
        </is>
      </c>
      <c r="E286" s="18" t="inlineStr">
        <is>
          <t>111141019679</t>
        </is>
      </c>
      <c r="F286" s="20" t="n"/>
      <c r="G286" s="20" t="n">
        <v>1300</v>
      </c>
      <c r="H286" s="19" t="inlineStr"/>
      <c r="I286" s="18" t="inlineStr">
        <is>
          <t>OPEX</t>
        </is>
      </c>
      <c r="J286" s="18" t="inlineStr">
        <is>
          <t>Прочие услуги и расходы</t>
        </is>
      </c>
      <c r="K286" s="19" t="inlineStr"/>
      <c r="L286" s="18" t="inlineStr">
        <is>
          <t>Комиссия Банка за переводные операции по платежному документу № 1377 от 02/07/2026, в т.ч.</t>
        </is>
      </c>
    </row>
    <row r="287">
      <c r="A287" s="18" t="inlineStr">
        <is>
          <t>RBK</t>
        </is>
      </c>
      <c r="B287" s="19" t="inlineStr">
        <is>
          <t>02.07.2026</t>
        </is>
      </c>
      <c r="C287" s="18" t="inlineStr">
        <is>
          <t>ФИЛИАЛ АО "BANK RBK" В Г.АСТАНА</t>
        </is>
      </c>
      <c r="D287" s="18" t="inlineStr">
        <is>
          <t>ФИЛИАЛ АО "BANK RBK" В Г.АСТАНА</t>
        </is>
      </c>
      <c r="E287" s="18" t="inlineStr">
        <is>
          <t>111141019679</t>
        </is>
      </c>
      <c r="F287" s="20" t="n"/>
      <c r="G287" s="20" t="n">
        <v>4000</v>
      </c>
      <c r="H287" s="19" t="inlineStr"/>
      <c r="I287" s="18" t="inlineStr">
        <is>
          <t>OPEX</t>
        </is>
      </c>
      <c r="J287" s="18" t="inlineStr">
        <is>
          <t>Прочие услуги и расходы</t>
        </is>
      </c>
      <c r="K287" s="19" t="inlineStr"/>
      <c r="L287" s="18" t="inlineStr">
        <is>
          <t>Комиссия Банка за переводные операции по платежному документу № 1378 от 02/07/2026, в т.ч.</t>
        </is>
      </c>
    </row>
    <row r="288">
      <c r="A288" s="18" t="inlineStr">
        <is>
          <t>RBK</t>
        </is>
      </c>
      <c r="B288" s="19" t="inlineStr">
        <is>
          <t>02.07.2026</t>
        </is>
      </c>
      <c r="C288" s="18" t="inlineStr">
        <is>
          <t>ТОО "WayStar Group"</t>
        </is>
      </c>
      <c r="D288" s="18" t="inlineStr">
        <is>
          <t>WayStar Group</t>
        </is>
      </c>
      <c r="E288" s="18" t="inlineStr">
        <is>
          <t>240340014287</t>
        </is>
      </c>
      <c r="F288" s="20" t="n"/>
      <c r="G288" s="20" t="n">
        <v>24000000</v>
      </c>
      <c r="H288" s="19" t="inlineStr"/>
      <c r="I288" s="18" t="inlineStr">
        <is>
          <t>INTERNAL</t>
        </is>
      </c>
      <c r="J288" s="18" t="inlineStr">
        <is>
          <t>Переводы между своими счетами</t>
        </is>
      </c>
      <c r="K288" s="19" t="inlineStr"/>
      <c r="L288" s="18" t="inlineStr">
        <is>
          <t>перевод на другой счет Переводы клиентом денег со своего текущего счета в одном банке, фил</t>
        </is>
      </c>
    </row>
    <row r="289">
      <c r="A289" s="18" t="inlineStr">
        <is>
          <t>RBK</t>
        </is>
      </c>
      <c r="B289" s="19" t="inlineStr">
        <is>
          <t>02.07.2026</t>
        </is>
      </c>
      <c r="C289" s="18" t="inlineStr">
        <is>
          <t>ТОО "WayStar Group"</t>
        </is>
      </c>
      <c r="D289" s="18" t="inlineStr">
        <is>
          <t>WayStar Group</t>
        </is>
      </c>
      <c r="E289" s="18" t="inlineStr">
        <is>
          <t>240340014287</t>
        </is>
      </c>
      <c r="F289" s="20" t="n"/>
      <c r="G289" s="20" t="n">
        <v>82000000</v>
      </c>
      <c r="H289" s="19" t="inlineStr"/>
      <c r="I289" s="18" t="inlineStr">
        <is>
          <t>INTERNAL</t>
        </is>
      </c>
      <c r="J289" s="18" t="inlineStr">
        <is>
          <t>Переводы между своими счетами</t>
        </is>
      </c>
      <c r="K289" s="19" t="inlineStr"/>
      <c r="L289" s="18" t="inlineStr">
        <is>
          <t>перевод на другой счет Переводы клиентом денег со своего текущего счета в одном банке, фил</t>
        </is>
      </c>
    </row>
    <row r="290">
      <c r="A290" s="18" t="inlineStr">
        <is>
          <t>БЦК</t>
        </is>
      </c>
      <c r="B290" s="19" t="inlineStr">
        <is>
          <t>02.07.2026</t>
        </is>
      </c>
      <c r="C290" s="18" t="inlineStr">
        <is>
          <t>РГУ  УГД по Алмалинскому району ДГД по городу</t>
        </is>
      </c>
      <c r="D290" s="18" t="inlineStr">
        <is>
          <t>РГУ  УГД по Алмалинскому району ДГД по городу Алматы КГД МФ РК</t>
        </is>
      </c>
      <c r="E290" s="18" t="inlineStr">
        <is>
          <t>910740000153</t>
        </is>
      </c>
      <c r="F290" s="20" t="n"/>
      <c r="G290" s="20" t="n">
        <v>27641.25</v>
      </c>
      <c r="H290" s="19" t="inlineStr">
        <is>
          <t>911</t>
        </is>
      </c>
      <c r="I290" s="18" t="inlineStr">
        <is>
          <t>TAX</t>
        </is>
      </c>
      <c r="J290" s="18" t="inlineStr">
        <is>
          <t>Налоги и социальные платежи</t>
        </is>
      </c>
      <c r="K290" s="19" t="inlineStr"/>
      <c r="L290" s="18" t="inlineStr">
        <is>
          <t>гос пошлина. Начисленные (исчисленные) и иные обязательства в бюджет</t>
        </is>
      </c>
    </row>
    <row r="291">
      <c r="A291" s="18" t="inlineStr">
        <is>
          <t>БЦК</t>
        </is>
      </c>
      <c r="B291" s="19" t="inlineStr">
        <is>
          <t>02.07.2026</t>
        </is>
      </c>
      <c r="C291" s="18" t="inlineStr">
        <is>
          <t>Индивидуальный предприниматель "Саметханов Ал</t>
        </is>
      </c>
      <c r="D291" s="18" t="inlineStr">
        <is>
          <t>Саметханов Алихан Дарханұлы</t>
        </is>
      </c>
      <c r="E291" s="18" t="inlineStr">
        <is>
          <t>970527350974</t>
        </is>
      </c>
      <c r="F291" s="20" t="n"/>
      <c r="G291" s="20" t="n">
        <v>30000</v>
      </c>
      <c r="H291" s="19" t="inlineStr">
        <is>
          <t>872</t>
        </is>
      </c>
      <c r="I291" s="18" t="inlineStr">
        <is>
          <t>OPEX</t>
        </is>
      </c>
      <c r="J291" s="18" t="inlineStr">
        <is>
          <t>Командировочные / поездки</t>
        </is>
      </c>
      <c r="K291" s="19" t="inlineStr"/>
      <c r="L291" s="18" t="inlineStr">
        <is>
          <t>Без НДС. Платежи за услуги по проживанию и питанию</t>
        </is>
      </c>
    </row>
    <row r="292">
      <c r="A292" s="18" t="inlineStr">
        <is>
          <t>БЦК</t>
        </is>
      </c>
      <c r="B292" s="19" t="inlineStr">
        <is>
          <t>02.07.2026</t>
        </is>
      </c>
      <c r="C292" s="18" t="inlineStr">
        <is>
          <t>Индивидуальный предприниматель "Капизова"</t>
        </is>
      </c>
      <c r="D292" s="18" t="inlineStr">
        <is>
          <t>Капизова</t>
        </is>
      </c>
      <c r="E292" s="18" t="inlineStr">
        <is>
          <t>770127402766</t>
        </is>
      </c>
      <c r="F292" s="20" t="n"/>
      <c r="G292" s="20" t="n">
        <v>50000</v>
      </c>
      <c r="H292" s="19" t="inlineStr">
        <is>
          <t>859</t>
        </is>
      </c>
      <c r="I292" s="18" t="inlineStr">
        <is>
          <t>OPEX</t>
        </is>
      </c>
      <c r="J292" s="18" t="inlineStr">
        <is>
          <t>Прочие услуги и расходы</t>
        </is>
      </c>
      <c r="K292" s="19" t="inlineStr"/>
      <c r="L292" s="18" t="inlineStr">
        <is>
          <t>Без НДС. Платежи за профессиональные, научные и технические услуги</t>
        </is>
      </c>
    </row>
    <row r="293">
      <c r="A293" s="18" t="inlineStr">
        <is>
          <t>БЦК</t>
        </is>
      </c>
      <c r="B293" s="19" t="inlineStr">
        <is>
          <t>02.07.2026</t>
        </is>
      </c>
      <c r="C293" s="18" t="inlineStr">
        <is>
          <t>Акционерное Общество "Банк ЦентрКредит"</t>
        </is>
      </c>
      <c r="D293" s="18" t="inlineStr">
        <is>
          <t>Банк ЦентрКредит</t>
        </is>
      </c>
      <c r="E293" s="18" t="inlineStr">
        <is>
          <t>980640000093</t>
        </is>
      </c>
      <c r="F293" s="20" t="n"/>
      <c r="G293" s="20" t="n">
        <v>95852</v>
      </c>
      <c r="H293" s="19" t="inlineStr">
        <is>
          <t>841</t>
        </is>
      </c>
      <c r="I293" s="18" t="inlineStr">
        <is>
          <t>OPEX</t>
        </is>
      </c>
      <c r="J293" s="18" t="inlineStr">
        <is>
          <t>Банковские услуги</t>
        </is>
      </c>
      <c r="K293" s="19" t="inlineStr"/>
      <c r="L293" s="18" t="inlineStr">
        <is>
          <t>Интернет-банкинг. MIP. Международные платежи. Перевод OUR, кроме валют стран СНГ с 13:00 п</t>
        </is>
      </c>
    </row>
    <row r="294">
      <c r="A294" s="18" t="inlineStr">
        <is>
          <t>БЦК</t>
        </is>
      </c>
      <c r="B294" s="19" t="inlineStr">
        <is>
          <t>02.07.2026</t>
        </is>
      </c>
      <c r="C294" s="18" t="inlineStr">
        <is>
          <t>Алим</t>
        </is>
      </c>
      <c r="D294" s="18" t="inlineStr">
        <is>
          <t>Алим</t>
        </is>
      </c>
      <c r="E294" s="18" t="inlineStr">
        <is>
          <t>020420550046</t>
        </is>
      </c>
      <c r="F294" s="20" t="n"/>
      <c r="G294" s="20" t="n">
        <v>986100</v>
      </c>
      <c r="H294" s="19" t="inlineStr">
        <is>
          <t>871</t>
        </is>
      </c>
      <c r="I294" s="18" t="inlineStr">
        <is>
          <t>OPEX</t>
        </is>
      </c>
      <c r="J294" s="18" t="inlineStr">
        <is>
          <t>Командировочные / поездки</t>
        </is>
      </c>
      <c r="K294" s="19" t="inlineStr"/>
      <c r="L294" s="18" t="inlineStr">
        <is>
          <t>Данияр Алим подотчет. Без НДС. Платежи по поездкам</t>
        </is>
      </c>
    </row>
    <row r="295">
      <c r="A295" s="18" t="inlineStr">
        <is>
          <t>БЦК</t>
        </is>
      </c>
      <c r="B295" s="19" t="inlineStr">
        <is>
          <t>02.07.2026</t>
        </is>
      </c>
      <c r="C295" s="18" t="inlineStr">
        <is>
          <t xml:space="preserve">Товарищество с ограниченной ответственностью </t>
        </is>
      </c>
      <c r="D295" s="18" t="inlineStr">
        <is>
          <t>InterLog Co</t>
        </is>
      </c>
      <c r="E295" s="18" t="inlineStr">
        <is>
          <t>061040010307</t>
        </is>
      </c>
      <c r="F295" s="20" t="n"/>
      <c r="G295" s="20" t="n">
        <v>1648080</v>
      </c>
      <c r="H295" s="19" t="inlineStr">
        <is>
          <t>813</t>
        </is>
      </c>
      <c r="I295" s="18" t="inlineStr">
        <is>
          <t>COGS</t>
        </is>
      </c>
      <c r="J295" s="18" t="inlineStr">
        <is>
          <t>Ж/д тариф, вагоны, услуги перевозчиков</t>
        </is>
      </c>
      <c r="K295" s="19" t="inlineStr">
        <is>
          <t>ТЭО</t>
        </is>
      </c>
      <c r="L295" s="18" t="inlineStr">
        <is>
          <t>Договор №017 от 30.12.2025 г. Оплата долга по акту сверки. Без НДС. Платежи за услуги желе</t>
        </is>
      </c>
    </row>
    <row r="296">
      <c r="A296" s="18" t="inlineStr">
        <is>
          <t>БЦК</t>
        </is>
      </c>
      <c r="B296" s="19" t="inlineStr">
        <is>
          <t>02.07.2026</t>
        </is>
      </c>
      <c r="C296" s="18" t="inlineStr">
        <is>
          <t>ТОО КТЖ-Грузовые перевозки</t>
        </is>
      </c>
      <c r="D296" s="18" t="inlineStr">
        <is>
          <t>КТЖ-Грузовые перевозки</t>
        </is>
      </c>
      <c r="E296" s="18" t="inlineStr">
        <is>
          <t>031040001799</t>
        </is>
      </c>
      <c r="F296" s="20" t="n"/>
      <c r="G296" s="20" t="n">
        <v>10000000</v>
      </c>
      <c r="H296" s="19" t="inlineStr">
        <is>
          <t>813</t>
        </is>
      </c>
      <c r="I296" s="18" t="inlineStr">
        <is>
          <t>COGS</t>
        </is>
      </c>
      <c r="J296" s="18" t="inlineStr">
        <is>
          <t>Ж/д тариф, вагоны, услуги перевозчиков</t>
        </is>
      </c>
      <c r="K296" s="19" t="inlineStr">
        <is>
          <t>ТЭО</t>
        </is>
      </c>
      <c r="L296" s="18" t="inlineStr">
        <is>
          <t>Без НДС, 4185494, Платежи за услуги железнодорожного транспорта</t>
        </is>
      </c>
    </row>
    <row r="297">
      <c r="A297" s="18" t="inlineStr">
        <is>
          <t>БЦК</t>
        </is>
      </c>
      <c r="B297" s="19" t="inlineStr">
        <is>
          <t>02.07.2026</t>
        </is>
      </c>
      <c r="C297" s="18" t="inlineStr">
        <is>
          <t>Акционерное Общество "Банк ЦентрКредит"</t>
        </is>
      </c>
      <c r="D297" s="18" t="inlineStr">
        <is>
          <t>Банк ЦентрКредит</t>
        </is>
      </c>
      <c r="E297" s="18" t="inlineStr">
        <is>
          <t>980640000093</t>
        </is>
      </c>
      <c r="F297" s="20" t="n"/>
      <c r="G297" s="20" t="n">
        <v>47373000</v>
      </c>
      <c r="H297" s="19" t="inlineStr">
        <is>
          <t>213</t>
        </is>
      </c>
      <c r="I297" s="18" t="inlineStr">
        <is>
          <t>TREASURY</t>
        </is>
      </c>
      <c r="J297" s="18" t="inlineStr">
        <is>
          <t>Покупка валюты (FX)</t>
        </is>
      </c>
      <c r="K297" s="19" t="inlineStr"/>
      <c r="L297" s="18" t="inlineStr">
        <is>
          <t>Покупка иностранной валюты TOD (день в день), Товарищество с ограниченной ответственностью</t>
        </is>
      </c>
    </row>
    <row r="298">
      <c r="A298" s="18" t="inlineStr">
        <is>
          <t>БЦК</t>
        </is>
      </c>
      <c r="B298" s="19" t="inlineStr">
        <is>
          <t>02.07.2026</t>
        </is>
      </c>
      <c r="C298" s="18" t="inlineStr">
        <is>
          <t>ТОО "WayStar Group"</t>
        </is>
      </c>
      <c r="D298" s="18" t="inlineStr">
        <is>
          <t>WayStar Group</t>
        </is>
      </c>
      <c r="E298" s="18" t="inlineStr">
        <is>
          <t>240340014287</t>
        </is>
      </c>
      <c r="F298" s="20" t="n"/>
      <c r="G298" s="20" t="n">
        <v>155741546.07</v>
      </c>
      <c r="H298" s="19" t="inlineStr">
        <is>
          <t>312</t>
        </is>
      </c>
      <c r="I298" s="18" t="inlineStr">
        <is>
          <t>TREASURY</t>
        </is>
      </c>
      <c r="J298" s="18" t="inlineStr">
        <is>
          <t>Размещение депозита</t>
        </is>
      </c>
      <c r="K298" s="19" t="inlineStr"/>
      <c r="L298" s="18" t="inlineStr">
        <is>
          <t>Без НДС. Размещение краткосрочных вкладов (не более одного года)</t>
        </is>
      </c>
    </row>
    <row r="299">
      <c r="A299" s="18" t="inlineStr">
        <is>
          <t>БЦК</t>
        </is>
      </c>
      <c r="B299" s="19" t="inlineStr">
        <is>
          <t>02.07.2026</t>
        </is>
      </c>
      <c r="C299" s="18" t="inlineStr">
        <is>
          <t xml:space="preserve">Товарищество с ограниченной ответственностью </t>
        </is>
      </c>
      <c r="D299" s="18" t="inlineStr">
        <is>
          <t>WayStar Group</t>
        </is>
      </c>
      <c r="E299" s="18" t="inlineStr">
        <is>
          <t>240340014287</t>
        </is>
      </c>
      <c r="F299" s="20" t="n">
        <v>37115.17</v>
      </c>
      <c r="G299" s="20" t="n"/>
      <c r="H299" s="19" t="inlineStr">
        <is>
          <t>316</t>
        </is>
      </c>
      <c r="I299" s="18" t="inlineStr">
        <is>
          <t>FIN_INCOME</t>
        </is>
      </c>
      <c r="J299" s="18" t="inlineStr">
        <is>
          <t>% по депозиту</t>
        </is>
      </c>
      <c r="K299" s="19" t="inlineStr"/>
      <c r="L299" s="18" t="inlineStr">
        <is>
          <t>Выплата начисленного вознаграждения по депозитному договору № 01607034 от 24.07.2025 за пе</t>
        </is>
      </c>
    </row>
    <row r="300">
      <c r="A300" s="18" t="inlineStr">
        <is>
          <t>БЦК</t>
        </is>
      </c>
      <c r="B300" s="19" t="inlineStr">
        <is>
          <t>02.07.2026</t>
        </is>
      </c>
      <c r="C300" s="18" t="inlineStr">
        <is>
          <t>ТОО  "WayStar Group"</t>
        </is>
      </c>
      <c r="D300" s="18" t="inlineStr">
        <is>
          <t>WayStar Group</t>
        </is>
      </c>
      <c r="E300" s="18" t="inlineStr">
        <is>
          <t>240340014287</t>
        </is>
      </c>
      <c r="F300" s="20" t="n">
        <v>24000000</v>
      </c>
      <c r="G300" s="20" t="n"/>
      <c r="H300" s="19" t="inlineStr">
        <is>
          <t>343</t>
        </is>
      </c>
      <c r="I300" s="18" t="inlineStr">
        <is>
          <t>INTERNAL</t>
        </is>
      </c>
      <c r="J300" s="18" t="inlineStr">
        <is>
          <t>Переводы между своими счетами</t>
        </is>
      </c>
      <c r="K300" s="19" t="inlineStr"/>
      <c r="L300" s="18" t="inlineStr">
        <is>
          <t>перевод на другой счет Переводы клиентом денег со своего текущего счета в одном банке, фил</t>
        </is>
      </c>
    </row>
    <row r="301">
      <c r="A301" s="18" t="inlineStr">
        <is>
          <t>БЦК</t>
        </is>
      </c>
      <c r="B301" s="19" t="inlineStr">
        <is>
          <t>02.07.2026</t>
        </is>
      </c>
      <c r="C301" s="18" t="inlineStr">
        <is>
          <t>ТОО  "WayStar Group"</t>
        </is>
      </c>
      <c r="D301" s="18" t="inlineStr">
        <is>
          <t>WayStar Group</t>
        </is>
      </c>
      <c r="E301" s="18" t="inlineStr">
        <is>
          <t>240340014287</t>
        </is>
      </c>
      <c r="F301" s="20" t="n">
        <v>82000000</v>
      </c>
      <c r="G301" s="20" t="n"/>
      <c r="H301" s="19" t="inlineStr">
        <is>
          <t>343</t>
        </is>
      </c>
      <c r="I301" s="18" t="inlineStr">
        <is>
          <t>INTERNAL</t>
        </is>
      </c>
      <c r="J301" s="18" t="inlineStr">
        <is>
          <t>Переводы между своими счетами</t>
        </is>
      </c>
      <c r="K301" s="19" t="inlineStr"/>
      <c r="L301" s="18" t="inlineStr">
        <is>
          <t>перевод на другой счет Переводы клиентом денег со своего текущего счета в одном банке, фил</t>
        </is>
      </c>
    </row>
    <row r="302">
      <c r="A302" s="18" t="inlineStr">
        <is>
          <t>БЦК</t>
        </is>
      </c>
      <c r="B302" s="19" t="inlineStr">
        <is>
          <t>02.07.2026</t>
        </is>
      </c>
      <c r="C302" s="18" t="inlineStr">
        <is>
          <t xml:space="preserve">Товарищество с ограниченной ответственностью </t>
        </is>
      </c>
      <c r="D302" s="18" t="inlineStr">
        <is>
          <t>WayStar Group</t>
        </is>
      </c>
      <c r="E302" s="18" t="inlineStr">
        <is>
          <t>240340014287</t>
        </is>
      </c>
      <c r="F302" s="20" t="n">
        <v>109915104.15</v>
      </c>
      <c r="G302" s="20" t="n"/>
      <c r="H302" s="19" t="inlineStr">
        <is>
          <t>322</t>
        </is>
      </c>
      <c r="I302" s="18" t="inlineStr">
        <is>
          <t>TREASURY</t>
        </is>
      </c>
      <c r="J302" s="18" t="inlineStr">
        <is>
          <t>Снятие/возврат депозита</t>
        </is>
      </c>
      <c r="K302" s="19" t="inlineStr"/>
      <c r="L302" s="18" t="inlineStr">
        <is>
          <t>Частичная выплата вклада по депозитному договору № 01607034 от 02.07.2026 в размере 109915</t>
        </is>
      </c>
    </row>
    <row r="303">
      <c r="A303" s="18" t="inlineStr">
        <is>
          <t>Halyk</t>
        </is>
      </c>
      <c r="B303" s="19" t="inlineStr">
        <is>
          <t>03.07.2026</t>
        </is>
      </c>
      <c r="C303" s="18" t="inlineStr">
        <is>
          <t>ТОО "GREENLIGHTS (ГРИНЛАЙТС)"</t>
        </is>
      </c>
      <c r="D303" s="18" t="inlineStr">
        <is>
          <t>GREENLIGHTS (ГРИНЛАЙТС)</t>
        </is>
      </c>
      <c r="E303" s="18" t="inlineStr">
        <is>
          <t>210840025853</t>
        </is>
      </c>
      <c r="F303" s="20" t="n">
        <v>2000000</v>
      </c>
      <c r="G303" s="20" t="n"/>
      <c r="H303" s="19" t="inlineStr">
        <is>
          <t>813</t>
        </is>
      </c>
      <c r="I303" s="18" t="inlineStr">
        <is>
          <t>REVENUE</t>
        </is>
      </c>
      <c r="J303" s="18" t="inlineStr">
        <is>
          <t>Выручка: транспортно-логистические услуги</t>
        </is>
      </c>
      <c r="K303" s="19" t="inlineStr">
        <is>
          <t>ТЭО</t>
        </is>
      </c>
      <c r="L303" s="18" t="inlineStr">
        <is>
          <t>Референс 4011255056 Оперирование собстенным ПС согл счету №158 от 25.06.2026 Сумма 2000000</t>
        </is>
      </c>
    </row>
    <row r="304">
      <c r="A304" s="18" t="inlineStr">
        <is>
          <t>RBK</t>
        </is>
      </c>
      <c r="B304" s="19" t="inlineStr">
        <is>
          <t>03.07.2026</t>
        </is>
      </c>
      <c r="C304" s="18" t="inlineStr">
        <is>
          <t xml:space="preserve">Товарищество с ограниченной ответственностью </t>
        </is>
      </c>
      <c r="D304" s="18" t="inlineStr">
        <is>
          <t>QAZAQ-ASTYQ GROUP</t>
        </is>
      </c>
      <c r="E304" s="18" t="inlineStr">
        <is>
          <t>180240007079</t>
        </is>
      </c>
      <c r="F304" s="20" t="n">
        <v>200000000</v>
      </c>
      <c r="G304" s="20" t="n"/>
      <c r="H304" s="19" t="inlineStr"/>
      <c r="I304" s="18" t="inlineStr">
        <is>
          <t>REVENUE</t>
        </is>
      </c>
      <c r="J304" s="18" t="inlineStr">
        <is>
          <t>Выручка: транспортно-логистические услуги</t>
        </is>
      </c>
      <c r="K304" s="19" t="inlineStr">
        <is>
          <t>ТЭО</t>
        </is>
      </c>
      <c r="L304" s="18" t="inlineStr">
        <is>
          <t>Оплата по ТЭО (предоставление цистерн)  договор №ТЭО 573/2024/ОУ от 26.11.2024г. Счет №167</t>
        </is>
      </c>
    </row>
    <row r="305">
      <c r="A305" s="18" t="inlineStr">
        <is>
          <t>RBK</t>
        </is>
      </c>
      <c r="B305" s="19" t="inlineStr">
        <is>
          <t>03.07.2026</t>
        </is>
      </c>
      <c r="C305" s="18" t="inlineStr">
        <is>
          <t>ФИЛИАЛ АО "BANK RBK" В Г.АСТАНА</t>
        </is>
      </c>
      <c r="D305" s="18" t="inlineStr">
        <is>
          <t>ФИЛИАЛ АО "BANK RBK" В Г.АСТАНА</t>
        </is>
      </c>
      <c r="E305" s="18" t="inlineStr">
        <is>
          <t>111141019679</t>
        </is>
      </c>
      <c r="F305" s="20" t="n"/>
      <c r="G305" s="20" t="n">
        <v>4000</v>
      </c>
      <c r="H305" s="19" t="inlineStr"/>
      <c r="I305" s="18" t="inlineStr">
        <is>
          <t>OPEX</t>
        </is>
      </c>
      <c r="J305" s="18" t="inlineStr">
        <is>
          <t>Прочие услуги и расходы</t>
        </is>
      </c>
      <c r="K305" s="19" t="inlineStr"/>
      <c r="L305" s="18" t="inlineStr">
        <is>
          <t>Комиссия Банка за переводные операции по платежному документу № 1379 от 03/07/2026, в т.ч.</t>
        </is>
      </c>
    </row>
    <row r="306">
      <c r="A306" s="18" t="inlineStr">
        <is>
          <t>RBK</t>
        </is>
      </c>
      <c r="B306" s="19" t="inlineStr">
        <is>
          <t>03.07.2026</t>
        </is>
      </c>
      <c r="C306" s="18" t="inlineStr">
        <is>
          <t>ТОО "WayStar Group"</t>
        </is>
      </c>
      <c r="D306" s="18" t="inlineStr">
        <is>
          <t>WayStar Group</t>
        </is>
      </c>
      <c r="E306" s="18" t="inlineStr">
        <is>
          <t>240340014287</t>
        </is>
      </c>
      <c r="F306" s="20" t="n"/>
      <c r="G306" s="20" t="n">
        <v>200000000</v>
      </c>
      <c r="H306" s="19" t="inlineStr"/>
      <c r="I306" s="18" t="inlineStr">
        <is>
          <t>INTERNAL</t>
        </is>
      </c>
      <c r="J306" s="18" t="inlineStr">
        <is>
          <t>Переводы между своими счетами</t>
        </is>
      </c>
      <c r="K306" s="19" t="inlineStr"/>
      <c r="L306" s="18" t="inlineStr">
        <is>
          <t>перевод на другой счет Переводы клиентом денег со своего текущего счета в одном банке, фил</t>
        </is>
      </c>
    </row>
    <row r="307">
      <c r="A307" s="18" t="inlineStr">
        <is>
          <t>БЦК</t>
        </is>
      </c>
      <c r="B307" s="19" t="inlineStr">
        <is>
          <t>03.07.2026</t>
        </is>
      </c>
      <c r="C307" s="18" t="inlineStr">
        <is>
          <t>УГД по Есильскому району ДГД по городу Астане</t>
        </is>
      </c>
      <c r="D307" s="18" t="inlineStr">
        <is>
          <t>УГД по Есильскому району ДГД по городу Астане КГД МФ РК</t>
        </is>
      </c>
      <c r="E307" s="18" t="inlineStr">
        <is>
          <t>081240013779</t>
        </is>
      </c>
      <c r="F307" s="20" t="n"/>
      <c r="G307" s="20" t="n">
        <v>15843.69</v>
      </c>
      <c r="H307" s="19" t="inlineStr">
        <is>
          <t>911</t>
        </is>
      </c>
      <c r="I307" s="18" t="inlineStr">
        <is>
          <t>TAX</t>
        </is>
      </c>
      <c r="J307" s="18" t="inlineStr">
        <is>
          <t>Налоги и социальные платежи</t>
        </is>
      </c>
      <c r="K307" s="19" t="inlineStr"/>
      <c r="L307" s="18" t="inlineStr">
        <is>
          <t>КПН за нерезидента (доплата). Начисленные (исчисленные) и иные обязательства в бюджет</t>
        </is>
      </c>
    </row>
    <row r="308">
      <c r="A308" s="18" t="inlineStr">
        <is>
          <t>БЦК</t>
        </is>
      </c>
      <c r="B308" s="19" t="inlineStr">
        <is>
          <t>03.07.2026</t>
        </is>
      </c>
      <c r="C308" s="18" t="inlineStr">
        <is>
          <t xml:space="preserve">Товарищество с ограниченной ответственностью </t>
        </is>
      </c>
      <c r="D308" s="18" t="inlineStr">
        <is>
          <t>WayStar Group</t>
        </is>
      </c>
      <c r="E308" s="18" t="inlineStr">
        <is>
          <t>240340014287</t>
        </is>
      </c>
      <c r="F308" s="20" t="n"/>
      <c r="G308" s="20" t="n">
        <v>52589.43</v>
      </c>
      <c r="H308" s="19" t="inlineStr">
        <is>
          <t>423</t>
        </is>
      </c>
      <c r="I308" s="18" t="inlineStr">
        <is>
          <t>FIN_COST</t>
        </is>
      </c>
      <c r="J308" s="18" t="inlineStr">
        <is>
          <t>Проценты и пени по кредитам</t>
        </is>
      </c>
      <c r="K308" s="19" t="inlineStr"/>
      <c r="L308" s="18" t="inlineStr">
        <is>
          <t>Погашение вознаграждения по договору № AQ5/2024/U/S/120240/0001L от 06.01.25. Заемщик: Тов</t>
        </is>
      </c>
    </row>
    <row r="309">
      <c r="A309" s="18" t="inlineStr">
        <is>
          <t>БЦК</t>
        </is>
      </c>
      <c r="B309" s="19" t="inlineStr">
        <is>
          <t>03.07.2026</t>
        </is>
      </c>
      <c r="C309" s="18" t="inlineStr">
        <is>
          <t xml:space="preserve">Товарищество с ограниченной ответственностью </t>
        </is>
      </c>
      <c r="D309" s="18" t="inlineStr">
        <is>
          <t>WayStar Group</t>
        </is>
      </c>
      <c r="E309" s="18" t="inlineStr">
        <is>
          <t>240340014287</t>
        </is>
      </c>
      <c r="F309" s="20" t="n"/>
      <c r="G309" s="20" t="n">
        <v>113114.11</v>
      </c>
      <c r="H309" s="19" t="inlineStr">
        <is>
          <t>423</t>
        </is>
      </c>
      <c r="I309" s="18" t="inlineStr">
        <is>
          <t>FIN_COST</t>
        </is>
      </c>
      <c r="J309" s="18" t="inlineStr">
        <is>
          <t>Проценты и пени по кредитам</t>
        </is>
      </c>
      <c r="K309" s="19" t="inlineStr"/>
      <c r="L309" s="18" t="inlineStr">
        <is>
          <t>Погашение вознаграждения по договору № AQ5/2024/U/S/120240/0001L от 06.01.25. Заемщик: Тов</t>
        </is>
      </c>
    </row>
    <row r="310">
      <c r="A310" s="18" t="inlineStr">
        <is>
          <t>БЦК</t>
        </is>
      </c>
      <c r="B310" s="19" t="inlineStr">
        <is>
          <t>03.07.2026</t>
        </is>
      </c>
      <c r="C310" s="18" t="inlineStr">
        <is>
          <t xml:space="preserve">Товарищество с ограниченной ответственностью </t>
        </is>
      </c>
      <c r="D310" s="18" t="inlineStr">
        <is>
          <t>WayStar Group</t>
        </is>
      </c>
      <c r="E310" s="18" t="inlineStr">
        <is>
          <t>240340014287</t>
        </is>
      </c>
      <c r="F310" s="20" t="n"/>
      <c r="G310" s="20" t="n">
        <v>117081.71</v>
      </c>
      <c r="H310" s="19" t="inlineStr">
        <is>
          <t>423</t>
        </is>
      </c>
      <c r="I310" s="18" t="inlineStr">
        <is>
          <t>FIN_COST</t>
        </is>
      </c>
      <c r="J310" s="18" t="inlineStr">
        <is>
          <t>Проценты и пени по кредитам</t>
        </is>
      </c>
      <c r="K310" s="19" t="inlineStr"/>
      <c r="L310" s="18" t="inlineStr">
        <is>
          <t>Погашение вознаграждения по договору № AQ5/2024/U/S/120240/0001L от 06.01.25. Заемщик: Тов</t>
        </is>
      </c>
    </row>
    <row r="311">
      <c r="A311" s="18" t="inlineStr">
        <is>
          <t>БЦК</t>
        </is>
      </c>
      <c r="B311" s="19" t="inlineStr">
        <is>
          <t>03.07.2026</t>
        </is>
      </c>
      <c r="C311" s="18" t="inlineStr">
        <is>
          <t>УГД по Есильскому району ДГД по городу Астане</t>
        </is>
      </c>
      <c r="D311" s="18" t="inlineStr">
        <is>
          <t>УГД по Есильскому району ДГД по городу Астане КГД МФ РК</t>
        </is>
      </c>
      <c r="E311" s="18" t="inlineStr">
        <is>
          <t>081240013779</t>
        </is>
      </c>
      <c r="F311" s="20" t="n"/>
      <c r="G311" s="20" t="n">
        <v>2000000</v>
      </c>
      <c r="H311" s="19" t="inlineStr">
        <is>
          <t>911</t>
        </is>
      </c>
      <c r="I311" s="18" t="inlineStr">
        <is>
          <t>TAX</t>
        </is>
      </c>
      <c r="J311" s="18" t="inlineStr">
        <is>
          <t>Налоги и социальные платежи</t>
        </is>
      </c>
      <c r="K311" s="19" t="inlineStr"/>
      <c r="L311" s="18" t="inlineStr">
        <is>
          <t>ндс за нерезидента июнь 2026. Начисленные (исчисленные) и иные обязательства в бюджет</t>
        </is>
      </c>
    </row>
    <row r="312">
      <c r="A312" s="18" t="inlineStr">
        <is>
          <t>БЦК</t>
        </is>
      </c>
      <c r="B312" s="19" t="inlineStr">
        <is>
          <t>03.07.2026</t>
        </is>
      </c>
      <c r="C312" s="18" t="inlineStr">
        <is>
          <t xml:space="preserve">Товарищество с ограниченной ответственностью </t>
        </is>
      </c>
      <c r="D312" s="18" t="inlineStr">
        <is>
          <t>WayStar Group</t>
        </is>
      </c>
      <c r="E312" s="18" t="inlineStr">
        <is>
          <t>240340014287</t>
        </is>
      </c>
      <c r="F312" s="20" t="n"/>
      <c r="G312" s="20" t="n">
        <v>10662873.72</v>
      </c>
      <c r="H312" s="19" t="inlineStr">
        <is>
          <t>423</t>
        </is>
      </c>
      <c r="I312" s="18" t="inlineStr">
        <is>
          <t>FINANCING</t>
        </is>
      </c>
      <c r="J312" s="18" t="inlineStr">
        <is>
          <t>Погашение / выдача займов</t>
        </is>
      </c>
      <c r="K312" s="19" t="inlineStr"/>
      <c r="L312" s="18" t="inlineStr">
        <is>
          <t>Погашение основного долга по договору № AQ5/2024/U/S/120240/0001L от 06.01.25. Заемщик: То</t>
        </is>
      </c>
    </row>
    <row r="313">
      <c r="A313" s="18" t="inlineStr">
        <is>
          <t>БЦК</t>
        </is>
      </c>
      <c r="B313" s="19" t="inlineStr">
        <is>
          <t>03.07.2026</t>
        </is>
      </c>
      <c r="C313" s="18" t="inlineStr">
        <is>
          <t xml:space="preserve">Товарищество с ограниченной ответственностью </t>
        </is>
      </c>
      <c r="D313" s="18" t="inlineStr">
        <is>
          <t>WayStar Group</t>
        </is>
      </c>
      <c r="E313" s="18" t="inlineStr">
        <is>
          <t>240340014287</t>
        </is>
      </c>
      <c r="F313" s="20" t="n"/>
      <c r="G313" s="20" t="n">
        <v>142832632.84</v>
      </c>
      <c r="H313" s="19" t="inlineStr">
        <is>
          <t>312</t>
        </is>
      </c>
      <c r="I313" s="18" t="inlineStr">
        <is>
          <t>TREASURY</t>
        </is>
      </c>
      <c r="J313" s="18" t="inlineStr">
        <is>
          <t>Размещение депозита</t>
        </is>
      </c>
      <c r="K313" s="19" t="inlineStr"/>
      <c r="L313" s="18" t="inlineStr">
        <is>
          <t>Размещение вклада</t>
        </is>
      </c>
    </row>
    <row r="314">
      <c r="A314" s="18" t="inlineStr">
        <is>
          <t>БЦК</t>
        </is>
      </c>
      <c r="B314" s="19" t="inlineStr">
        <is>
          <t>03.07.2026</t>
        </is>
      </c>
      <c r="C314" s="18" t="inlineStr">
        <is>
          <t>ТОО "WayStar Group"</t>
        </is>
      </c>
      <c r="D314" s="18" t="inlineStr">
        <is>
          <t>WayStar Group</t>
        </is>
      </c>
      <c r="E314" s="18" t="inlineStr">
        <is>
          <t>240340014287</t>
        </is>
      </c>
      <c r="F314" s="20" t="n"/>
      <c r="G314" s="20" t="n">
        <v>200000000</v>
      </c>
      <c r="H314" s="19" t="inlineStr">
        <is>
          <t>312</t>
        </is>
      </c>
      <c r="I314" s="18" t="inlineStr">
        <is>
          <t>TREASURY</t>
        </is>
      </c>
      <c r="J314" s="18" t="inlineStr">
        <is>
          <t>Размещение депозита</t>
        </is>
      </c>
      <c r="K314" s="19" t="inlineStr"/>
      <c r="L314" s="18" t="inlineStr">
        <is>
          <t>Без НДС. Размещение краткосрочных вкладов (не более одного года)</t>
        </is>
      </c>
    </row>
    <row r="315">
      <c r="A315" s="18" t="inlineStr">
        <is>
          <t>БЦК</t>
        </is>
      </c>
      <c r="B315" s="19" t="inlineStr">
        <is>
          <t>03.07.2026</t>
        </is>
      </c>
      <c r="C315" s="18" t="inlineStr">
        <is>
          <t xml:space="preserve">Товарищество с ограниченной ответственностью </t>
        </is>
      </c>
      <c r="D315" s="18" t="inlineStr">
        <is>
          <t>WayStar Group</t>
        </is>
      </c>
      <c r="E315" s="18" t="inlineStr">
        <is>
          <t>240340014287</t>
        </is>
      </c>
      <c r="F315" s="20" t="n">
        <v>52589.43</v>
      </c>
      <c r="G315" s="20" t="n"/>
      <c r="H315" s="19" t="inlineStr">
        <is>
          <t>316</t>
        </is>
      </c>
      <c r="I315" s="18" t="inlineStr">
        <is>
          <t>FIN_INCOME</t>
        </is>
      </c>
      <c r="J315" s="18" t="inlineStr">
        <is>
          <t>% по депозиту</t>
        </is>
      </c>
      <c r="K315" s="19" t="inlineStr"/>
      <c r="L315" s="18" t="inlineStr">
        <is>
          <t>Выплата начисленного вознаграждения по депозитному договору № 01607034 от 24.07.2025 за пе</t>
        </is>
      </c>
    </row>
    <row r="316">
      <c r="A316" s="18" t="inlineStr">
        <is>
          <t>БЦК</t>
        </is>
      </c>
      <c r="B316" s="19" t="inlineStr">
        <is>
          <t>03.07.2026</t>
        </is>
      </c>
      <c r="C316" s="18" t="inlineStr">
        <is>
          <t xml:space="preserve">Товарищество с ограниченной ответственностью </t>
        </is>
      </c>
      <c r="D316" s="18" t="inlineStr">
        <is>
          <t>WayStar Group</t>
        </is>
      </c>
      <c r="E316" s="18" t="inlineStr">
        <is>
          <t>240340014287</t>
        </is>
      </c>
      <c r="F316" s="20" t="n">
        <v>155741546.07</v>
      </c>
      <c r="G316" s="20" t="n"/>
      <c r="H316" s="19" t="inlineStr">
        <is>
          <t>322</t>
        </is>
      </c>
      <c r="I316" s="18" t="inlineStr">
        <is>
          <t>TREASURY</t>
        </is>
      </c>
      <c r="J316" s="18" t="inlineStr">
        <is>
          <t>Снятие/возврат депозита</t>
        </is>
      </c>
      <c r="K316" s="19" t="inlineStr"/>
      <c r="L316" s="18" t="inlineStr">
        <is>
          <t>Частичная выплата вклада по депозитному договору № 01607034 от 03.07.2026 в размере 155741</t>
        </is>
      </c>
    </row>
    <row r="317">
      <c r="A317" s="18" t="inlineStr">
        <is>
          <t>БЦК</t>
        </is>
      </c>
      <c r="B317" s="19" t="inlineStr">
        <is>
          <t>03.07.2026</t>
        </is>
      </c>
      <c r="C317" s="18" t="inlineStr">
        <is>
          <t>ТОО  "WayStar Group"</t>
        </is>
      </c>
      <c r="D317" s="18" t="inlineStr">
        <is>
          <t>WayStar Group</t>
        </is>
      </c>
      <c r="E317" s="18" t="inlineStr">
        <is>
          <t>240340014287</t>
        </is>
      </c>
      <c r="F317" s="20" t="n">
        <v>200000000</v>
      </c>
      <c r="G317" s="20" t="n"/>
      <c r="H317" s="19" t="inlineStr">
        <is>
          <t>343</t>
        </is>
      </c>
      <c r="I317" s="18" t="inlineStr">
        <is>
          <t>INTERNAL</t>
        </is>
      </c>
      <c r="J317" s="18" t="inlineStr">
        <is>
          <t>Переводы между своими счетами</t>
        </is>
      </c>
      <c r="K317" s="19" t="inlineStr"/>
      <c r="L317" s="18" t="inlineStr">
        <is>
          <t>перевод на другой счет Переводы клиентом денег со своего текущего счета в одном банке, фил</t>
        </is>
      </c>
    </row>
    <row r="318">
      <c r="A318" s="18" t="inlineStr">
        <is>
          <t>БЦК</t>
        </is>
      </c>
      <c r="B318" s="19" t="inlineStr">
        <is>
          <t>04.07.2026</t>
        </is>
      </c>
      <c r="C318" s="18" t="inlineStr">
        <is>
          <t>ТОО КТЖ-Грузовые перевозки</t>
        </is>
      </c>
      <c r="D318" s="18" t="inlineStr">
        <is>
          <t>КТЖ-Грузовые перевозки</t>
        </is>
      </c>
      <c r="E318" s="18" t="inlineStr">
        <is>
          <t>031040001799</t>
        </is>
      </c>
      <c r="F318" s="20" t="n"/>
      <c r="G318" s="20" t="n">
        <v>5000000</v>
      </c>
      <c r="H318" s="19" t="inlineStr">
        <is>
          <t>813</t>
        </is>
      </c>
      <c r="I318" s="18" t="inlineStr">
        <is>
          <t>COGS</t>
        </is>
      </c>
      <c r="J318" s="18" t="inlineStr">
        <is>
          <t>Ж/д тариф, вагоны, услуги перевозчиков</t>
        </is>
      </c>
      <c r="K318" s="19" t="inlineStr">
        <is>
          <t>ТЭО</t>
        </is>
      </c>
      <c r="L318" s="18" t="inlineStr">
        <is>
          <t>Без НДС, 4185494, Платежи за услуги железнодорожного транспорта</t>
        </is>
      </c>
    </row>
    <row r="319">
      <c r="A319" s="18" t="inlineStr">
        <is>
          <t>БЦК</t>
        </is>
      </c>
      <c r="B319" s="19" t="inlineStr">
        <is>
          <t>04.07.2026</t>
        </is>
      </c>
      <c r="C319" s="18" t="inlineStr">
        <is>
          <t xml:space="preserve">Товарищество с ограниченной ответственностью </t>
        </is>
      </c>
      <c r="D319" s="18" t="inlineStr">
        <is>
          <t>WayStar Group</t>
        </is>
      </c>
      <c r="E319" s="18" t="inlineStr">
        <is>
          <t>240340014287</t>
        </is>
      </c>
      <c r="F319" s="20" t="n">
        <v>115764.72</v>
      </c>
      <c r="G319" s="20" t="n"/>
      <c r="H319" s="19" t="inlineStr">
        <is>
          <t>316</t>
        </is>
      </c>
      <c r="I319" s="18" t="inlineStr">
        <is>
          <t>FIN_INCOME</t>
        </is>
      </c>
      <c r="J319" s="18" t="inlineStr">
        <is>
          <t>% по депозиту</t>
        </is>
      </c>
      <c r="K319" s="19" t="inlineStr"/>
      <c r="L319" s="18" t="inlineStr">
        <is>
          <t>Выплата начисленного вознаграждения по депозитному договору № 01607034 от 24.07.2025 за пе</t>
        </is>
      </c>
    </row>
    <row r="320">
      <c r="A320" s="18" t="inlineStr">
        <is>
          <t>БЦК</t>
        </is>
      </c>
      <c r="B320" s="19" t="inlineStr">
        <is>
          <t>04.07.2026</t>
        </is>
      </c>
      <c r="C320" s="18" t="inlineStr">
        <is>
          <t>ТОО "WayStar Group"</t>
        </is>
      </c>
      <c r="D320" s="18" t="inlineStr">
        <is>
          <t>WayStar Group</t>
        </is>
      </c>
      <c r="E320" s="18" t="inlineStr">
        <is>
          <t>240340014287</t>
        </is>
      </c>
      <c r="F320" s="20" t="n">
        <v>5000000</v>
      </c>
      <c r="G320" s="20" t="n"/>
      <c r="H320" s="19" t="inlineStr">
        <is>
          <t>322</t>
        </is>
      </c>
      <c r="I320" s="18" t="inlineStr">
        <is>
          <t>TREASURY</t>
        </is>
      </c>
      <c r="J320" s="18" t="inlineStr">
        <is>
          <t>Снятие/возврат депозита</t>
        </is>
      </c>
      <c r="K320" s="19" t="inlineStr"/>
      <c r="L320" s="18" t="inlineStr">
        <is>
          <t>Без НДС. Снятие с краткосрочного вклада (не более одного года)</t>
        </is>
      </c>
    </row>
    <row r="321">
      <c r="A321" s="18" t="inlineStr">
        <is>
          <t>БЦК</t>
        </is>
      </c>
      <c r="B321" s="19" t="inlineStr">
        <is>
          <t>05.07.2026</t>
        </is>
      </c>
      <c r="C321" s="18" t="inlineStr">
        <is>
          <t xml:space="preserve">Товарищество с ограниченной ответственностью </t>
        </is>
      </c>
      <c r="D321" s="18" t="inlineStr">
        <is>
          <t>WayStar Group</t>
        </is>
      </c>
      <c r="E321" s="18" t="inlineStr">
        <is>
          <t>240340014287</t>
        </is>
      </c>
      <c r="F321" s="20" t="n">
        <v>114076.36</v>
      </c>
      <c r="G321" s="20" t="n"/>
      <c r="H321" s="19" t="inlineStr">
        <is>
          <t>316</t>
        </is>
      </c>
      <c r="I321" s="18" t="inlineStr">
        <is>
          <t>FIN_INCOME</t>
        </is>
      </c>
      <c r="J321" s="18" t="inlineStr">
        <is>
          <t>% по депозиту</t>
        </is>
      </c>
      <c r="K321" s="19" t="inlineStr"/>
      <c r="L321" s="18" t="inlineStr">
        <is>
          <t>Выплата начисленного вознаграждения по депозитному договору № 01607034 от 24.07.2025 за пе</t>
        </is>
      </c>
    </row>
    <row r="322">
      <c r="A322" s="18" t="inlineStr">
        <is>
          <t>БЦК</t>
        </is>
      </c>
      <c r="B322" s="19" t="inlineStr">
        <is>
          <t>06.07.2026</t>
        </is>
      </c>
      <c r="C322" s="18" t="inlineStr">
        <is>
          <t xml:space="preserve">Товарищество с ограниченной ответственностью </t>
        </is>
      </c>
      <c r="D322" s="18" t="inlineStr">
        <is>
          <t>WayStar Group</t>
        </is>
      </c>
      <c r="E322" s="18" t="inlineStr">
        <is>
          <t>240340014287</t>
        </is>
      </c>
      <c r="F322" s="20" t="n">
        <v>114076.37</v>
      </c>
      <c r="G322" s="20" t="n"/>
      <c r="H322" s="19" t="inlineStr">
        <is>
          <t>316</t>
        </is>
      </c>
      <c r="I322" s="18" t="inlineStr">
        <is>
          <t>FIN_INCOME</t>
        </is>
      </c>
      <c r="J322" s="18" t="inlineStr">
        <is>
          <t>% по депозиту</t>
        </is>
      </c>
      <c r="K322" s="19" t="inlineStr"/>
      <c r="L322" s="18" t="inlineStr">
        <is>
          <t>Выплата начисленного вознаграждения по депозитному договору № 01607034 от 24.07.2025 за пе</t>
        </is>
      </c>
    </row>
    <row r="323">
      <c r="A323" s="18" t="inlineStr">
        <is>
          <t>Halyk</t>
        </is>
      </c>
      <c r="B323" s="19" t="inlineStr">
        <is>
          <t>07.07.2026</t>
        </is>
      </c>
      <c r="C323" s="18" t="inlineStr">
        <is>
          <t>ТОО "WayStar Group"</t>
        </is>
      </c>
      <c r="D323" s="18" t="inlineStr">
        <is>
          <t>WayStar Group</t>
        </is>
      </c>
      <c r="E323" s="18" t="inlineStr">
        <is>
          <t>240340014287</t>
        </is>
      </c>
      <c r="F323" s="20" t="n"/>
      <c r="G323" s="20" t="n">
        <v>3736375</v>
      </c>
      <c r="H323" s="19" t="inlineStr">
        <is>
          <t>343</t>
        </is>
      </c>
      <c r="I323" s="18" t="inlineStr">
        <is>
          <t>INTERNAL</t>
        </is>
      </c>
      <c r="J323" s="18" t="inlineStr">
        <is>
          <t>Переводы между своими счетами</t>
        </is>
      </c>
      <c r="K323" s="19" t="inlineStr"/>
      <c r="L323" s="18" t="inlineStr">
        <is>
          <t>Референс 4015729097 перевод на другой счет Переводы клиентом денег со своего текущего счет</t>
        </is>
      </c>
    </row>
    <row r="324">
      <c r="A324" s="18" t="inlineStr">
        <is>
          <t>RBK</t>
        </is>
      </c>
      <c r="B324" s="19" t="inlineStr">
        <is>
          <t>07.07.2026</t>
        </is>
      </c>
      <c r="C324" s="18" t="inlineStr">
        <is>
          <t>ТОО "QAZAQ-ASTYQ GROUP"</t>
        </is>
      </c>
      <c r="D324" s="18" t="inlineStr">
        <is>
          <t>QAZAQ-ASTYQ GROUP</t>
        </is>
      </c>
      <c r="E324" s="18" t="inlineStr">
        <is>
          <t>180240007079</t>
        </is>
      </c>
      <c r="F324" s="20" t="n">
        <v>160074143</v>
      </c>
      <c r="G324" s="20" t="n"/>
      <c r="H324" s="19" t="inlineStr"/>
      <c r="I324" s="18" t="inlineStr">
        <is>
          <t>REVENUE</t>
        </is>
      </c>
      <c r="J324" s="18" t="inlineStr">
        <is>
          <t>Выручка: транспортно-логистические услуги</t>
        </is>
      </c>
      <c r="K324" s="19" t="inlineStr">
        <is>
          <t>ТЭО</t>
        </is>
      </c>
      <c r="L324" s="18" t="inlineStr">
        <is>
          <t xml:space="preserve">Оплата по ТЭО (предоставление цистерн) Счет №167 от 29.06.2026 160074143-00 тенге. В т.ч. </t>
        </is>
      </c>
    </row>
    <row r="325">
      <c r="A325" s="18" t="inlineStr">
        <is>
          <t>RBK</t>
        </is>
      </c>
      <c r="B325" s="19" t="inlineStr">
        <is>
          <t>07.07.2026</t>
        </is>
      </c>
      <c r="C325" s="18" t="inlineStr">
        <is>
          <t>ФИЛИАЛ АО "BANK RBK" В Г.АСТАНА</t>
        </is>
      </c>
      <c r="D325" s="18" t="inlineStr">
        <is>
          <t>ФИЛИАЛ АО "BANK RBK" В Г.АСТАНА</t>
        </is>
      </c>
      <c r="E325" s="18" t="inlineStr">
        <is>
          <t>111141019679</t>
        </is>
      </c>
      <c r="F325" s="20" t="n"/>
      <c r="G325" s="20" t="n">
        <v>1300</v>
      </c>
      <c r="H325" s="19" t="inlineStr"/>
      <c r="I325" s="18" t="inlineStr">
        <is>
          <t>OPEX</t>
        </is>
      </c>
      <c r="J325" s="18" t="inlineStr">
        <is>
          <t>Прочие услуги и расходы</t>
        </is>
      </c>
      <c r="K325" s="19" t="inlineStr"/>
      <c r="L325" s="18" t="inlineStr">
        <is>
          <t>Комиссия Банка за переводные операции по платежному документу № 1380 от 07/07/2026, в т.ч.</t>
        </is>
      </c>
    </row>
    <row r="326">
      <c r="A326" s="18" t="inlineStr">
        <is>
          <t>RBK</t>
        </is>
      </c>
      <c r="B326" s="19" t="inlineStr">
        <is>
          <t>07.07.2026</t>
        </is>
      </c>
      <c r="C326" s="18" t="inlineStr">
        <is>
          <t>ТОО "WayStar Group"</t>
        </is>
      </c>
      <c r="D326" s="18" t="inlineStr">
        <is>
          <t>WayStar Group</t>
        </is>
      </c>
      <c r="E326" s="18" t="inlineStr">
        <is>
          <t>240340014287</t>
        </is>
      </c>
      <c r="F326" s="20" t="n"/>
      <c r="G326" s="20" t="n">
        <v>160100000</v>
      </c>
      <c r="H326" s="19" t="inlineStr"/>
      <c r="I326" s="18" t="inlineStr">
        <is>
          <t>INTERNAL</t>
        </is>
      </c>
      <c r="J326" s="18" t="inlineStr">
        <is>
          <t>Переводы между своими счетами</t>
        </is>
      </c>
      <c r="K326" s="19" t="inlineStr"/>
      <c r="L326" s="18" t="inlineStr">
        <is>
          <t>перевод на другой счет Переводы клиентом денег со своего текущего счета в одном банке, фил</t>
        </is>
      </c>
    </row>
    <row r="327">
      <c r="A327" s="18" t="inlineStr">
        <is>
          <t>БЦК</t>
        </is>
      </c>
      <c r="B327" s="19" t="inlineStr">
        <is>
          <t>07.07.2026</t>
        </is>
      </c>
      <c r="C327" s="18" t="inlineStr">
        <is>
          <t xml:space="preserve">Товарищество с ограниченной ответственностью </t>
        </is>
      </c>
      <c r="D327" s="18" t="inlineStr">
        <is>
          <t>Мобайл Телеком - Сервис</t>
        </is>
      </c>
      <c r="E327" s="18" t="inlineStr">
        <is>
          <t>041140004799</t>
        </is>
      </c>
      <c r="F327" s="20" t="n"/>
      <c r="G327" s="20" t="n">
        <v>9320</v>
      </c>
      <c r="H327" s="19" t="inlineStr">
        <is>
          <t>851</t>
        </is>
      </c>
      <c r="I327" s="18" t="inlineStr">
        <is>
          <t>OPEX</t>
        </is>
      </c>
      <c r="J327" s="18" t="inlineStr">
        <is>
          <t>Прочие услуги и расходы</t>
        </is>
      </c>
      <c r="K327" s="19" t="inlineStr"/>
      <c r="L327" s="18" t="inlineStr">
        <is>
          <t>Договор №00016379 от 21.10.2025 услуги связи июнь 2026</t>
        </is>
      </c>
    </row>
    <row r="328">
      <c r="A328" s="18" t="inlineStr">
        <is>
          <t>БЦК</t>
        </is>
      </c>
      <c r="B328" s="19" t="inlineStr">
        <is>
          <t>07.07.2026</t>
        </is>
      </c>
      <c r="C328" s="18" t="inlineStr">
        <is>
          <t xml:space="preserve">Товарищество с ограниченной ответственностью </t>
        </is>
      </c>
      <c r="D328" s="18" t="inlineStr">
        <is>
          <t>Современные Печатные технологии</t>
        </is>
      </c>
      <c r="E328" s="18" t="inlineStr">
        <is>
          <t>151140003068</t>
        </is>
      </c>
      <c r="F328" s="20" t="n"/>
      <c r="G328" s="20" t="n">
        <v>11760</v>
      </c>
      <c r="H328" s="19" t="inlineStr">
        <is>
          <t>710</t>
        </is>
      </c>
      <c r="I328" s="18" t="inlineStr">
        <is>
          <t>OPEX</t>
        </is>
      </c>
      <c r="J328" s="18" t="inlineStr">
        <is>
          <t>ТМЦ / офисные расходы</t>
        </is>
      </c>
      <c r="K328" s="19" t="inlineStr"/>
      <c r="L328" s="18" t="inlineStr">
        <is>
          <t>Счет на оплату № 1311-2495 от 3 июля 2026 г. Визитки 84 шт</t>
        </is>
      </c>
    </row>
    <row r="329">
      <c r="A329" s="18" t="inlineStr">
        <is>
          <t>БЦК</t>
        </is>
      </c>
      <c r="B329" s="19" t="inlineStr">
        <is>
          <t>07.07.2026</t>
        </is>
      </c>
      <c r="C329" s="18" t="inlineStr">
        <is>
          <t>Акционерное Общество "Банк ЦентрКредит"</t>
        </is>
      </c>
      <c r="D329" s="18" t="inlineStr">
        <is>
          <t>Банк ЦентрКредит</t>
        </is>
      </c>
      <c r="E329" s="18" t="inlineStr">
        <is>
          <t>980741000260</t>
        </is>
      </c>
      <c r="F329" s="20" t="n"/>
      <c r="G329" s="20" t="n">
        <v>30000</v>
      </c>
      <c r="H329" s="19" t="inlineStr">
        <is>
          <t>841</t>
        </is>
      </c>
      <c r="I329" s="18" t="inlineStr">
        <is>
          <t>OPEX</t>
        </is>
      </c>
      <c r="J329" s="18" t="inlineStr">
        <is>
          <t>Банковские услуги</t>
        </is>
      </c>
      <c r="K329" s="19" t="inlineStr"/>
      <c r="L329" s="18" t="inlineStr">
        <is>
          <t xml:space="preserve">Интернет-банкинг. MIP. Международные платежи. Перевод в валютах стран СНГ, OUR  с 9:00 до </t>
        </is>
      </c>
    </row>
    <row r="330">
      <c r="A330" s="18" t="inlineStr">
        <is>
          <t>БЦК</t>
        </is>
      </c>
      <c r="B330" s="19" t="inlineStr">
        <is>
          <t>07.07.2026</t>
        </is>
      </c>
      <c r="C330" s="18" t="inlineStr">
        <is>
          <t>Индивидуальный предприниматель "Катрышева"</t>
        </is>
      </c>
      <c r="D330" s="18" t="inlineStr">
        <is>
          <t>Катрышева</t>
        </is>
      </c>
      <c r="E330" s="18" t="inlineStr">
        <is>
          <t>900902450133</t>
        </is>
      </c>
      <c r="F330" s="20" t="n"/>
      <c r="G330" s="20" t="n">
        <v>35700</v>
      </c>
      <c r="H330" s="19" t="inlineStr">
        <is>
          <t>859</t>
        </is>
      </c>
      <c r="I330" s="18" t="inlineStr">
        <is>
          <t>OPEX</t>
        </is>
      </c>
      <c r="J330" s="18" t="inlineStr">
        <is>
          <t>Прочие услуги и расходы</t>
        </is>
      </c>
      <c r="K330" s="19" t="inlineStr"/>
      <c r="L330" s="18" t="inlineStr">
        <is>
          <t>Счет на оплату № 568 от 03.07.2026 г. Изготовление флага, флагштоков</t>
        </is>
      </c>
    </row>
    <row r="331">
      <c r="A331" s="18" t="inlineStr">
        <is>
          <t>БЦК</t>
        </is>
      </c>
      <c r="B331" s="19" t="inlineStr">
        <is>
          <t>07.07.2026</t>
        </is>
      </c>
      <c r="C331" s="18" t="inlineStr">
        <is>
          <t xml:space="preserve">Товарищество с ограниченной ответственностью </t>
        </is>
      </c>
      <c r="D331" s="18" t="inlineStr">
        <is>
          <t>ALDAR EUROASIA PROPERTY MANAGEMENT</t>
        </is>
      </c>
      <c r="E331" s="18" t="inlineStr">
        <is>
          <t>191040020896</t>
        </is>
      </c>
      <c r="F331" s="20" t="n"/>
      <c r="G331" s="20" t="n">
        <v>38905.08</v>
      </c>
      <c r="H331" s="19" t="inlineStr">
        <is>
          <t>855</t>
        </is>
      </c>
      <c r="I331" s="18" t="inlineStr">
        <is>
          <t>OPEX</t>
        </is>
      </c>
      <c r="J331" s="18" t="inlineStr">
        <is>
          <t>Аренда офиса</t>
        </is>
      </c>
      <c r="K331" s="19" t="inlineStr"/>
      <c r="L331" s="18" t="inlineStr">
        <is>
          <t>Договор субаренды №SLA-Y-1107-02052025 от 02.05.2025г Счет на оплату № 00000004125 от 2 ию</t>
        </is>
      </c>
    </row>
    <row r="332">
      <c r="A332" s="18" t="inlineStr">
        <is>
          <t>БЦК</t>
        </is>
      </c>
      <c r="B332" s="19" t="inlineStr">
        <is>
          <t>07.07.2026</t>
        </is>
      </c>
      <c r="C332" s="18" t="inlineStr">
        <is>
          <t>Акционерное Общество "Банк ЦентрКредит"</t>
        </is>
      </c>
      <c r="D332" s="18" t="inlineStr">
        <is>
          <t>Банк ЦентрКредит</t>
        </is>
      </c>
      <c r="E332" s="18" t="inlineStr">
        <is>
          <t>980640000093</t>
        </is>
      </c>
      <c r="F332" s="20" t="n"/>
      <c r="G332" s="20" t="n">
        <v>43148.26</v>
      </c>
      <c r="H332" s="19" t="inlineStr">
        <is>
          <t>841</t>
        </is>
      </c>
      <c r="I332" s="18" t="inlineStr">
        <is>
          <t>OPEX</t>
        </is>
      </c>
      <c r="J332" s="18" t="inlineStr">
        <is>
          <t>Банковские услуги</t>
        </is>
      </c>
      <c r="K332" s="19" t="inlineStr"/>
      <c r="L332" s="18" t="inlineStr">
        <is>
          <t>Интернет-банкинг. MIP. Международные платежи. Перевод OUR, кроме валют стран СНГ с 9:00  д</t>
        </is>
      </c>
    </row>
    <row r="333">
      <c r="A333" s="18" t="inlineStr">
        <is>
          <t>БЦК</t>
        </is>
      </c>
      <c r="B333" s="19" t="inlineStr">
        <is>
          <t>07.07.2026</t>
        </is>
      </c>
      <c r="C333" s="18" t="inlineStr">
        <is>
          <t>Акционерное общество "Jusan Mobile"</t>
        </is>
      </c>
      <c r="D333" s="18" t="inlineStr">
        <is>
          <t>Jusan Mobile</t>
        </is>
      </c>
      <c r="E333" s="18" t="inlineStr">
        <is>
          <t>960340000405</t>
        </is>
      </c>
      <c r="F333" s="20" t="n"/>
      <c r="G333" s="20" t="n">
        <v>81392.56</v>
      </c>
      <c r="H333" s="19" t="inlineStr">
        <is>
          <t>851</t>
        </is>
      </c>
      <c r="I333" s="18" t="inlineStr">
        <is>
          <t>OPEX</t>
        </is>
      </c>
      <c r="J333" s="18" t="inlineStr">
        <is>
          <t>Прочие услуги и расходы</t>
        </is>
      </c>
      <c r="K333" s="19" t="inlineStr"/>
      <c r="L333" s="18" t="inlineStr">
        <is>
          <t>Договор №22/ДКП B2B-25 от 21.05.2025г за июнь 2026</t>
        </is>
      </c>
    </row>
    <row r="334">
      <c r="A334" s="18" t="inlineStr">
        <is>
          <t>БЦК</t>
        </is>
      </c>
      <c r="B334" s="19" t="inlineStr">
        <is>
          <t>07.07.2026</t>
        </is>
      </c>
      <c r="C334" s="18" t="inlineStr">
        <is>
          <t>Унбетпаев Ернар Байтасович</t>
        </is>
      </c>
      <c r="D334" s="18" t="inlineStr">
        <is>
          <t>Унбетпаев Ернар Байтасович</t>
        </is>
      </c>
      <c r="E334" s="18" t="inlineStr">
        <is>
          <t>840808300582</t>
        </is>
      </c>
      <c r="F334" s="20" t="n"/>
      <c r="G334" s="20" t="n">
        <v>103800</v>
      </c>
      <c r="H334" s="19" t="inlineStr">
        <is>
          <t>871</t>
        </is>
      </c>
      <c r="I334" s="18" t="inlineStr">
        <is>
          <t>OPEX</t>
        </is>
      </c>
      <c r="J334" s="18" t="inlineStr">
        <is>
          <t>Командировочные / поездки</t>
        </is>
      </c>
      <c r="K334" s="19" t="inlineStr"/>
      <c r="L334" s="18" t="inlineStr">
        <is>
          <t>Суточные расходы на проезд Астана- Саранск-Астана 07.07-09.07.2026 3 кд *24МРП (4325тг МРП</t>
        </is>
      </c>
    </row>
    <row r="335">
      <c r="A335" s="18" t="inlineStr">
        <is>
          <t>БЦК</t>
        </is>
      </c>
      <c r="B335" s="19" t="inlineStr">
        <is>
          <t>07.07.2026</t>
        </is>
      </c>
      <c r="C335" s="18" t="inlineStr">
        <is>
          <t xml:space="preserve">Товарищество с ограниченной ответственностью </t>
        </is>
      </c>
      <c r="D335" s="18" t="inlineStr">
        <is>
          <t>ALDAR EUROASIA PROPERTY MANAGEMENT</t>
        </is>
      </c>
      <c r="E335" s="18" t="inlineStr">
        <is>
          <t>191040020896</t>
        </is>
      </c>
      <c r="F335" s="20" t="n"/>
      <c r="G335" s="20" t="n">
        <v>121800</v>
      </c>
      <c r="H335" s="19" t="inlineStr">
        <is>
          <t>855</t>
        </is>
      </c>
      <c r="I335" s="18" t="inlineStr">
        <is>
          <t>OPEX</t>
        </is>
      </c>
      <c r="J335" s="18" t="inlineStr">
        <is>
          <t>Аренда офиса</t>
        </is>
      </c>
      <c r="K335" s="19" t="inlineStr"/>
      <c r="L335" s="18" t="inlineStr">
        <is>
          <t>Договор субаренды №SLA-Y-1107-02052025 от 02.05.2025г Счет на оплату № 00000003857 от 18 и</t>
        </is>
      </c>
    </row>
    <row r="336">
      <c r="A336" s="18" t="inlineStr">
        <is>
          <t>БЦК</t>
        </is>
      </c>
      <c r="B336" s="19" t="inlineStr">
        <is>
          <t>07.07.2026</t>
        </is>
      </c>
      <c r="C336" s="18" t="inlineStr">
        <is>
          <t>Банк ЦентрКредит для ЗП</t>
        </is>
      </c>
      <c r="D336" s="18" t="inlineStr">
        <is>
          <t>Банк ЦентрКредит для ЗП</t>
        </is>
      </c>
      <c r="E336" s="18" t="inlineStr">
        <is>
          <t>980640000093</t>
        </is>
      </c>
      <c r="F336" s="20" t="n"/>
      <c r="G336" s="20" t="n">
        <v>159091</v>
      </c>
      <c r="H336" s="19" t="inlineStr">
        <is>
          <t>332</t>
        </is>
      </c>
      <c r="I336" s="18" t="inlineStr">
        <is>
          <t>OPEX</t>
        </is>
      </c>
      <c r="J336" s="18" t="inlineStr">
        <is>
          <t>Оплата труда</t>
        </is>
      </c>
      <c r="K336" s="19" t="inlineStr"/>
      <c r="L336" s="18" t="inlineStr">
        <is>
          <t>Для зачисления на картсчета сотрудникам согласно спискам 159 091-00 тенге.</t>
        </is>
      </c>
    </row>
    <row r="337">
      <c r="A337" s="18" t="inlineStr">
        <is>
          <t>БЦК</t>
        </is>
      </c>
      <c r="B337" s="19" t="inlineStr">
        <is>
          <t>07.07.2026</t>
        </is>
      </c>
      <c r="C337" s="18" t="inlineStr">
        <is>
          <t xml:space="preserve">Товарищество с ограниченной ответственностью </t>
        </is>
      </c>
      <c r="D337" s="18" t="inlineStr">
        <is>
          <t>АВИАТУРАГЕНТСТВО ПАКС</t>
        </is>
      </c>
      <c r="E337" s="18" t="inlineStr">
        <is>
          <t>181040009040</t>
        </is>
      </c>
      <c r="F337" s="20" t="n"/>
      <c r="G337" s="20" t="n">
        <v>194096</v>
      </c>
      <c r="H337" s="19" t="inlineStr">
        <is>
          <t>811</t>
        </is>
      </c>
      <c r="I337" s="18" t="inlineStr">
        <is>
          <t>COGS</t>
        </is>
      </c>
      <c r="J337" s="18" t="inlineStr">
        <is>
          <t>Ж/д тариф, вагоны, услуги перевозчиков</t>
        </is>
      </c>
      <c r="K337" s="19" t="inlineStr">
        <is>
          <t>ТЭО</t>
        </is>
      </c>
      <c r="L337" s="18" t="inlineStr">
        <is>
          <t>Счет на оплату № 158 от 15 июня 2026 г. Договор №KZ 01/01/2025 от 14.07.2025 NQZ-ALA-NQZ /</t>
        </is>
      </c>
    </row>
    <row r="338">
      <c r="A338" s="18" t="inlineStr">
        <is>
          <t>БЦК</t>
        </is>
      </c>
      <c r="B338" s="19" t="inlineStr">
        <is>
          <t>07.07.2026</t>
        </is>
      </c>
      <c r="C338" s="18" t="inlineStr">
        <is>
          <t>Частная компания WayStar Service Limited</t>
        </is>
      </c>
      <c r="D338" s="18" t="inlineStr">
        <is>
          <t>WayStar Service Limited</t>
        </is>
      </c>
      <c r="E338" s="18" t="inlineStr">
        <is>
          <t>260540900770</t>
        </is>
      </c>
      <c r="F338" s="20" t="n"/>
      <c r="G338" s="20" t="n">
        <v>200000</v>
      </c>
      <c r="H338" s="19" t="inlineStr">
        <is>
          <t>411</t>
        </is>
      </c>
      <c r="I338" s="18" t="inlineStr">
        <is>
          <t>FINANCING</t>
        </is>
      </c>
      <c r="J338" s="18" t="inlineStr">
        <is>
          <t>Погашение / выдача займов</t>
        </is>
      </c>
      <c r="K338" s="19" t="inlineStr"/>
      <c r="L338" s="18" t="inlineStr">
        <is>
          <t>выдача займа. Без НДС. Выдача краткосрочных займов (не более одного года)</t>
        </is>
      </c>
    </row>
    <row r="339">
      <c r="A339" s="18" t="inlineStr">
        <is>
          <t>БЦК</t>
        </is>
      </c>
      <c r="B339" s="19" t="inlineStr">
        <is>
          <t>07.07.2026</t>
        </is>
      </c>
      <c r="C339" s="18" t="inlineStr">
        <is>
          <t>Акционерное общество "Транстелеком"</t>
        </is>
      </c>
      <c r="D339" s="18" t="inlineStr">
        <is>
          <t>Транстелеком</t>
        </is>
      </c>
      <c r="E339" s="18" t="inlineStr">
        <is>
          <t>991140001226</t>
        </is>
      </c>
      <c r="F339" s="20" t="n"/>
      <c r="G339" s="20" t="n">
        <v>201723.41</v>
      </c>
      <c r="H339" s="19" t="inlineStr">
        <is>
          <t>859</t>
        </is>
      </c>
      <c r="I339" s="18" t="inlineStr">
        <is>
          <t>OPEX</t>
        </is>
      </c>
      <c r="J339" s="18" t="inlineStr">
        <is>
          <t>Прочие услуги и расходы</t>
        </is>
      </c>
      <c r="K339" s="19" t="inlineStr"/>
      <c r="L339" s="18" t="inlineStr">
        <is>
          <t>Договор №ТТС/582-22/АСТ от 02.10.2024 г. платежи за услуги связи за май 2026Сумма 201 723-</t>
        </is>
      </c>
    </row>
    <row r="340">
      <c r="A340" s="18" t="inlineStr">
        <is>
          <t>БЦК</t>
        </is>
      </c>
      <c r="B340" s="19" t="inlineStr">
        <is>
          <t>07.07.2026</t>
        </is>
      </c>
      <c r="C340" s="18" t="inlineStr">
        <is>
          <t xml:space="preserve">Товарищество с ограниченной ответственностью </t>
        </is>
      </c>
      <c r="D340" s="18" t="inlineStr">
        <is>
          <t>АФ АГМ-Табыс</t>
        </is>
      </c>
      <c r="E340" s="18" t="inlineStr">
        <is>
          <t>190940030685</t>
        </is>
      </c>
      <c r="F340" s="20" t="n"/>
      <c r="G340" s="20" t="n">
        <v>207649.28</v>
      </c>
      <c r="H340" s="19" t="inlineStr">
        <is>
          <t>822</t>
        </is>
      </c>
      <c r="I340" s="18" t="inlineStr">
        <is>
          <t>COGS</t>
        </is>
      </c>
      <c r="J340" s="18" t="inlineStr">
        <is>
          <t>Ремонт и ТО вагонов</t>
        </is>
      </c>
      <c r="K340" s="19" t="inlineStr">
        <is>
          <t>ТЭО</t>
        </is>
      </c>
      <c r="L340" s="18" t="inlineStr">
        <is>
          <t>Оплата согл акта сверки от 07.07.2026 Текущий ремонт колесных пар с обточкой 0005.889560.1</t>
        </is>
      </c>
    </row>
    <row r="341">
      <c r="A341" s="18" t="inlineStr">
        <is>
          <t>БЦК</t>
        </is>
      </c>
      <c r="B341" s="19" t="inlineStr">
        <is>
          <t>07.07.2026</t>
        </is>
      </c>
      <c r="C341" s="18" t="inlineStr">
        <is>
          <t xml:space="preserve">Товарищество с ограниченной ответственностью </t>
        </is>
      </c>
      <c r="D341" s="18" t="inlineStr">
        <is>
          <t>Объединенное железнодорожное хозяйство</t>
        </is>
      </c>
      <c r="E341" s="18" t="inlineStr">
        <is>
          <t>950440001742</t>
        </is>
      </c>
      <c r="F341" s="20" t="n"/>
      <c r="G341" s="20" t="n">
        <v>213075.76</v>
      </c>
      <c r="H341" s="19" t="inlineStr">
        <is>
          <t>819</t>
        </is>
      </c>
      <c r="I341" s="18" t="inlineStr">
        <is>
          <t>COGS</t>
        </is>
      </c>
      <c r="J341" s="18" t="inlineStr">
        <is>
          <t>Ремонт и ТО вагонов</t>
        </is>
      </c>
      <c r="K341" s="19" t="inlineStr">
        <is>
          <t>ТЭО</t>
        </is>
      </c>
      <c r="L341" s="18" t="inlineStr">
        <is>
          <t>Договор № 37-ОЖДХ Счет на оплату № 515 от 03.07.2026 г, ТОР №51261774</t>
        </is>
      </c>
    </row>
    <row r="342">
      <c r="A342" s="18" t="inlineStr">
        <is>
          <t>БЦК</t>
        </is>
      </c>
      <c r="B342" s="19" t="inlineStr">
        <is>
          <t>07.07.2026</t>
        </is>
      </c>
      <c r="C342" s="18" t="inlineStr">
        <is>
          <t xml:space="preserve">Товарищество с ограниченной ответственностью </t>
        </is>
      </c>
      <c r="D342" s="18" t="inlineStr">
        <is>
          <t>Нұр-Альфинур</t>
        </is>
      </c>
      <c r="E342" s="18" t="inlineStr">
        <is>
          <t>111240015961</t>
        </is>
      </c>
      <c r="F342" s="20" t="n"/>
      <c r="G342" s="20" t="n">
        <v>290874</v>
      </c>
      <c r="H342" s="19" t="inlineStr">
        <is>
          <t>822</t>
        </is>
      </c>
      <c r="I342" s="18" t="inlineStr">
        <is>
          <t>COGS</t>
        </is>
      </c>
      <c r="J342" s="18" t="inlineStr">
        <is>
          <t>Ремонт и ТО вагонов</t>
        </is>
      </c>
      <c r="K342" s="19" t="inlineStr">
        <is>
          <t>ТЭО</t>
        </is>
      </c>
      <c r="L342" s="18" t="inlineStr">
        <is>
          <t>Счет на оплату № 10000000114 от 30.06.2026 г. Средний ремонт колесной парыСумма 290 874-00</t>
        </is>
      </c>
    </row>
    <row r="343">
      <c r="A343" s="18" t="inlineStr">
        <is>
          <t>БЦК</t>
        </is>
      </c>
      <c r="B343" s="19" t="inlineStr">
        <is>
          <t>07.07.2026</t>
        </is>
      </c>
      <c r="C343" s="18" t="inlineStr">
        <is>
          <t xml:space="preserve">Товарищество с ограниченной ответственностью </t>
        </is>
      </c>
      <c r="D343" s="18" t="inlineStr">
        <is>
          <t>LogiSoft" (ЛогиСофт)</t>
        </is>
      </c>
      <c r="E343" s="18" t="inlineStr">
        <is>
          <t>121240002971</t>
        </is>
      </c>
      <c r="F343" s="20" t="n"/>
      <c r="G343" s="20" t="n">
        <v>300008.48</v>
      </c>
      <c r="H343" s="19" t="inlineStr">
        <is>
          <t>851</t>
        </is>
      </c>
      <c r="I343" s="18" t="inlineStr">
        <is>
          <t>OPEX</t>
        </is>
      </c>
      <c r="J343" s="18" t="inlineStr">
        <is>
          <t>Прочие услуги и расходы</t>
        </is>
      </c>
      <c r="K343" s="19" t="inlineStr"/>
      <c r="L343" s="18" t="inlineStr">
        <is>
          <t>Договор №633 от 14.02.2025г Счет на оплату № 633/7 от «07» июля 2026 г. Информационные усл</t>
        </is>
      </c>
    </row>
    <row r="344">
      <c r="A344" s="18" t="inlineStr">
        <is>
          <t>БЦК</t>
        </is>
      </c>
      <c r="B344" s="19" t="inlineStr">
        <is>
          <t>07.07.2026</t>
        </is>
      </c>
      <c r="C344" s="18" t="inlineStr">
        <is>
          <t xml:space="preserve">Товарищество с ограниченной ответственностью </t>
        </is>
      </c>
      <c r="D344" s="18" t="inlineStr">
        <is>
          <t>ALDAR EUROASIA PROPERTY MANAGEMENT</t>
        </is>
      </c>
      <c r="E344" s="18" t="inlineStr">
        <is>
          <t>191040020896</t>
        </is>
      </c>
      <c r="F344" s="20" t="n"/>
      <c r="G344" s="20" t="n">
        <v>4617380</v>
      </c>
      <c r="H344" s="19" t="inlineStr">
        <is>
          <t>855</t>
        </is>
      </c>
      <c r="I344" s="18" t="inlineStr">
        <is>
          <t>OPEX</t>
        </is>
      </c>
      <c r="J344" s="18" t="inlineStr">
        <is>
          <t>Аренда офиса</t>
        </is>
      </c>
      <c r="K344" s="19" t="inlineStr"/>
      <c r="L344" s="18" t="inlineStr">
        <is>
          <t>Договор субаренды №SLA-Y-1107-02052025 от 02.05.2025г Счет на оплату № 00000003856 от 18 и</t>
        </is>
      </c>
    </row>
    <row r="345">
      <c r="A345" s="18" t="inlineStr">
        <is>
          <t>БЦК</t>
        </is>
      </c>
      <c r="B345" s="19" t="inlineStr">
        <is>
          <t>07.07.2026</t>
        </is>
      </c>
      <c r="C345" s="18" t="inlineStr">
        <is>
          <t>Банк ЦентрКредит для ЗП</t>
        </is>
      </c>
      <c r="D345" s="18" t="inlineStr">
        <is>
          <t>Банк ЦентрКредит для ЗП</t>
        </is>
      </c>
      <c r="E345" s="18" t="inlineStr">
        <is>
          <t>980640000093</t>
        </is>
      </c>
      <c r="F345" s="20" t="n"/>
      <c r="G345" s="20" t="n">
        <v>5000000</v>
      </c>
      <c r="H345" s="19" t="inlineStr">
        <is>
          <t>332</t>
        </is>
      </c>
      <c r="I345" s="18" t="inlineStr">
        <is>
          <t>OPEX</t>
        </is>
      </c>
      <c r="J345" s="18" t="inlineStr">
        <is>
          <t>Оплата труда</t>
        </is>
      </c>
      <c r="K345" s="19" t="inlineStr"/>
      <c r="L345" s="18" t="inlineStr">
        <is>
          <t>Для зачисления на картсчета сотрудникам согласно спискам 5 000 000-00 тенге.</t>
        </is>
      </c>
    </row>
    <row r="346">
      <c r="A346" s="18" t="inlineStr">
        <is>
          <t>БЦК</t>
        </is>
      </c>
      <c r="B346" s="19" t="inlineStr">
        <is>
          <t>07.07.2026</t>
        </is>
      </c>
      <c r="C346" s="18" t="inlineStr">
        <is>
          <t>ТОО КТЖ-Грузовые перевозки</t>
        </is>
      </c>
      <c r="D346" s="18" t="inlineStr">
        <is>
          <t>КТЖ-Грузовые перевозки</t>
        </is>
      </c>
      <c r="E346" s="18" t="inlineStr">
        <is>
          <t>031040001799</t>
        </is>
      </c>
      <c r="F346" s="20" t="n"/>
      <c r="G346" s="20" t="n">
        <v>6000000</v>
      </c>
      <c r="H346" s="19" t="inlineStr">
        <is>
          <t>813</t>
        </is>
      </c>
      <c r="I346" s="18" t="inlineStr">
        <is>
          <t>COGS</t>
        </is>
      </c>
      <c r="J346" s="18" t="inlineStr">
        <is>
          <t>Ж/д тариф, вагоны, услуги перевозчиков</t>
        </is>
      </c>
      <c r="K346" s="19" t="inlineStr">
        <is>
          <t>ТЭО</t>
        </is>
      </c>
      <c r="L346" s="18" t="inlineStr">
        <is>
          <t>Без НДС, 4185494, Платежи за услуги железнодорожного транспорта</t>
        </is>
      </c>
    </row>
    <row r="347">
      <c r="A347" s="18" t="inlineStr">
        <is>
          <t>БЦК</t>
        </is>
      </c>
      <c r="B347" s="19" t="inlineStr">
        <is>
          <t>07.07.2026</t>
        </is>
      </c>
      <c r="C347" s="18" t="inlineStr">
        <is>
          <t>КТТ (ҚАЗТЕМІРТРАНС) АО</t>
        </is>
      </c>
      <c r="D347" s="18" t="inlineStr">
        <is>
          <t>КТТ (ҚАЗТЕМІРТРАНС) АО</t>
        </is>
      </c>
      <c r="E347" s="18" t="inlineStr">
        <is>
          <t>031040000572</t>
        </is>
      </c>
      <c r="F347" s="20" t="n"/>
      <c r="G347" s="20" t="n">
        <v>10450442.4</v>
      </c>
      <c r="H347" s="19" t="inlineStr">
        <is>
          <t>813</t>
        </is>
      </c>
      <c r="I347" s="18" t="inlineStr">
        <is>
          <t>COGS</t>
        </is>
      </c>
      <c r="J347" s="18" t="inlineStr">
        <is>
          <t>Ж/д тариф, вагоны, услуги перевозчиков</t>
        </is>
      </c>
      <c r="K347" s="19" t="inlineStr">
        <is>
          <t>ТЭО</t>
        </is>
      </c>
      <c r="L347" s="18" t="inlineStr">
        <is>
          <t>Счета на оплату № К-211120/26 , К-211122/26 , К-211124/26 , К-211126/26 от 07.07.2026 г. п</t>
        </is>
      </c>
    </row>
    <row r="348">
      <c r="A348" s="18" t="inlineStr">
        <is>
          <t>БЦК</t>
        </is>
      </c>
      <c r="B348" s="19" t="inlineStr">
        <is>
          <t>07.07.2026</t>
        </is>
      </c>
      <c r="C348" s="18" t="inlineStr">
        <is>
          <t>КТТ (ҚАЗТЕМІРТРАНС) АО</t>
        </is>
      </c>
      <c r="D348" s="18" t="inlineStr">
        <is>
          <t>КТТ (ҚАЗТЕМІРТРАНС) АО</t>
        </is>
      </c>
      <c r="E348" s="18" t="inlineStr">
        <is>
          <t>031040000572</t>
        </is>
      </c>
      <c r="F348" s="20" t="n"/>
      <c r="G348" s="20" t="n">
        <v>12696894</v>
      </c>
      <c r="H348" s="19" t="inlineStr">
        <is>
          <t>813</t>
        </is>
      </c>
      <c r="I348" s="18" t="inlineStr">
        <is>
          <t>COGS</t>
        </is>
      </c>
      <c r="J348" s="18" t="inlineStr">
        <is>
          <t>Ж/д тариф, вагоны, услуги перевозчиков</t>
        </is>
      </c>
      <c r="K348" s="19" t="inlineStr">
        <is>
          <t>ТЭО</t>
        </is>
      </c>
      <c r="L348" s="18" t="inlineStr">
        <is>
          <t>К-211272/26 от 07.07.2026 по Договору № 20-02-2026/14989-НПрк от 20 февраля 2026 от 20.02.</t>
        </is>
      </c>
    </row>
    <row r="349">
      <c r="A349" s="18" t="inlineStr">
        <is>
          <t>БЦК</t>
        </is>
      </c>
      <c r="B349" s="19" t="inlineStr">
        <is>
          <t>07.07.2026</t>
        </is>
      </c>
      <c r="C349" s="18" t="inlineStr">
        <is>
          <t xml:space="preserve">Товарищество с ограниченной ответственностью </t>
        </is>
      </c>
      <c r="D349" s="18" t="inlineStr">
        <is>
          <t>PetroComLogistics</t>
        </is>
      </c>
      <c r="E349" s="18" t="inlineStr">
        <is>
          <t>170540018330</t>
        </is>
      </c>
      <c r="F349" s="20" t="n"/>
      <c r="G349" s="20" t="n">
        <v>14384000</v>
      </c>
      <c r="H349" s="19" t="inlineStr">
        <is>
          <t>855</t>
        </is>
      </c>
      <c r="I349" s="18" t="inlineStr">
        <is>
          <t>COGS</t>
        </is>
      </c>
      <c r="J349" s="18" t="inlineStr">
        <is>
          <t>Ж/д тариф, вагоны, услуги перевозчиков</t>
        </is>
      </c>
      <c r="K349" s="19" t="inlineStr">
        <is>
          <t>Аренда</t>
        </is>
      </c>
      <c r="L349" s="18" t="inlineStr">
        <is>
          <t xml:space="preserve">Договор аренды подвижного состава №04/27112025 Счет на оплату №44 от 01.07.2026 г. Аренда </t>
        </is>
      </c>
    </row>
    <row r="350">
      <c r="A350" s="18" t="inlineStr">
        <is>
          <t>БЦК</t>
        </is>
      </c>
      <c r="B350" s="19" t="inlineStr">
        <is>
          <t>07.07.2026</t>
        </is>
      </c>
      <c r="C350" s="18" t="inlineStr">
        <is>
          <t>Акционерное Общество "Банк ЦентрКредит"</t>
        </is>
      </c>
      <c r="D350" s="18" t="inlineStr">
        <is>
          <t>Банк ЦентрКредит</t>
        </is>
      </c>
      <c r="E350" s="18" t="inlineStr">
        <is>
          <t>980640000093</t>
        </is>
      </c>
      <c r="F350" s="20" t="n"/>
      <c r="G350" s="20" t="n">
        <v>21602121.78</v>
      </c>
      <c r="H350" s="19" t="inlineStr">
        <is>
          <t>213</t>
        </is>
      </c>
      <c r="I350" s="18" t="inlineStr">
        <is>
          <t>TREASURY</t>
        </is>
      </c>
      <c r="J350" s="18" t="inlineStr">
        <is>
          <t>Покупка валюты (FX)</t>
        </is>
      </c>
      <c r="K350" s="19" t="inlineStr"/>
      <c r="L350" s="18" t="inlineStr">
        <is>
          <t>Покупка иностранной валюты TOD (день в день), ТОО "WayStar Group", БИН 240340014287. Заявк</t>
        </is>
      </c>
    </row>
    <row r="351">
      <c r="A351" s="18" t="inlineStr">
        <is>
          <t>БЦК</t>
        </is>
      </c>
      <c r="B351" s="19" t="inlineStr">
        <is>
          <t>07.07.2026</t>
        </is>
      </c>
      <c r="C351" s="18" t="inlineStr">
        <is>
          <t>Акционерное Общество "Банк ЦентрКредит"</t>
        </is>
      </c>
      <c r="D351" s="18" t="inlineStr">
        <is>
          <t>Банк ЦентрКредит</t>
        </is>
      </c>
      <c r="E351" s="18" t="inlineStr">
        <is>
          <t>980640000093</t>
        </is>
      </c>
      <c r="F351" s="20" t="n"/>
      <c r="G351" s="20" t="n">
        <v>55818019.39</v>
      </c>
      <c r="H351" s="19" t="inlineStr">
        <is>
          <t>213</t>
        </is>
      </c>
      <c r="I351" s="18" t="inlineStr">
        <is>
          <t>TREASURY</t>
        </is>
      </c>
      <c r="J351" s="18" t="inlineStr">
        <is>
          <t>Покупка валюты (FX)</t>
        </is>
      </c>
      <c r="K351" s="19" t="inlineStr"/>
      <c r="L351" s="18" t="inlineStr">
        <is>
          <t>Покупка иностранной валюты TOD (день в день), ТОО "WayStar Group", БИН 240340014287. Заявк</t>
        </is>
      </c>
    </row>
    <row r="352">
      <c r="A352" s="18" t="inlineStr">
        <is>
          <t>БЦК</t>
        </is>
      </c>
      <c r="B352" s="19" t="inlineStr">
        <is>
          <t>07.07.2026</t>
        </is>
      </c>
      <c r="C352" s="18" t="inlineStr">
        <is>
          <t xml:space="preserve">Товарищество с ограниченной ответственностью </t>
        </is>
      </c>
      <c r="D352" s="18" t="inlineStr">
        <is>
          <t>WayStar Group</t>
        </is>
      </c>
      <c r="E352" s="18" t="inlineStr">
        <is>
          <t>240340014287</t>
        </is>
      </c>
      <c r="F352" s="20" t="n"/>
      <c r="G352" s="20" t="n">
        <v>369608236.22</v>
      </c>
      <c r="H352" s="19" t="inlineStr">
        <is>
          <t>312</t>
        </is>
      </c>
      <c r="I352" s="18" t="inlineStr">
        <is>
          <t>TREASURY</t>
        </is>
      </c>
      <c r="J352" s="18" t="inlineStr">
        <is>
          <t>Размещение депозита</t>
        </is>
      </c>
      <c r="K352" s="19" t="inlineStr"/>
      <c r="L352" s="18" t="inlineStr">
        <is>
          <t>Размещение вклада</t>
        </is>
      </c>
    </row>
    <row r="353">
      <c r="A353" s="18" t="inlineStr">
        <is>
          <t>БЦК</t>
        </is>
      </c>
      <c r="B353" s="19" t="inlineStr">
        <is>
          <t>07.07.2026</t>
        </is>
      </c>
      <c r="C353" s="18" t="inlineStr">
        <is>
          <t>Акционерное общество "Фонд развития предприни</t>
        </is>
      </c>
      <c r="D353" s="18" t="inlineStr">
        <is>
          <t>Фонд развития предпринимательства "Даму</t>
        </is>
      </c>
      <c r="E353" s="18" t="inlineStr">
        <is>
          <t>970840000277</t>
        </is>
      </c>
      <c r="F353" s="20" t="n">
        <v>113114.11</v>
      </c>
      <c r="G353" s="20" t="n"/>
      <c r="H353" s="19" t="inlineStr">
        <is>
          <t>490</t>
        </is>
      </c>
      <c r="I353" s="18" t="inlineStr">
        <is>
          <t>OTHER_IN</t>
        </is>
      </c>
      <c r="J353" s="18" t="inlineStr">
        <is>
          <t>Прочие поступления</t>
        </is>
      </c>
      <c r="K353" s="19" t="inlineStr"/>
      <c r="L353" s="18" t="inlineStr">
        <is>
          <t>Возврат клиенту ранее погашенной задолженности по субсидированному начисленному вознагражд</t>
        </is>
      </c>
    </row>
    <row r="354">
      <c r="A354" s="18" t="inlineStr">
        <is>
          <t>БЦК</t>
        </is>
      </c>
      <c r="B354" s="19" t="inlineStr">
        <is>
          <t>07.07.2026</t>
        </is>
      </c>
      <c r="C354" s="18" t="inlineStr">
        <is>
          <t xml:space="preserve">Товарищество с ограниченной ответственностью </t>
        </is>
      </c>
      <c r="D354" s="18" t="inlineStr">
        <is>
          <t>WayStar Group</t>
        </is>
      </c>
      <c r="E354" s="18" t="inlineStr">
        <is>
          <t>240340014287</t>
        </is>
      </c>
      <c r="F354" s="20" t="n">
        <v>114076.36</v>
      </c>
      <c r="G354" s="20" t="n"/>
      <c r="H354" s="19" t="inlineStr">
        <is>
          <t>316</t>
        </is>
      </c>
      <c r="I354" s="18" t="inlineStr">
        <is>
          <t>FIN_INCOME</t>
        </is>
      </c>
      <c r="J354" s="18" t="inlineStr">
        <is>
          <t>% по депозиту</t>
        </is>
      </c>
      <c r="K354" s="19" t="inlineStr"/>
      <c r="L354" s="18" t="inlineStr">
        <is>
          <t>Выплата начисленного вознаграждения по депозитному договору № 01607034 от 24.07.2025 за пе</t>
        </is>
      </c>
    </row>
    <row r="355">
      <c r="A355" s="18" t="inlineStr">
        <is>
          <t>БЦК</t>
        </is>
      </c>
      <c r="B355" s="19" t="inlineStr">
        <is>
          <t>07.07.2026</t>
        </is>
      </c>
      <c r="C355" s="18" t="inlineStr">
        <is>
          <t>ТОО "WayStar Group"</t>
        </is>
      </c>
      <c r="D355" s="18" t="inlineStr">
        <is>
          <t>WayStar Group</t>
        </is>
      </c>
      <c r="E355" s="18" t="inlineStr">
        <is>
          <t>240340014287</t>
        </is>
      </c>
      <c r="F355" s="20" t="n">
        <v>310000</v>
      </c>
      <c r="G355" s="20" t="n"/>
      <c r="H355" s="19" t="inlineStr">
        <is>
          <t>322</t>
        </is>
      </c>
      <c r="I355" s="18" t="inlineStr">
        <is>
          <t>TREASURY</t>
        </is>
      </c>
      <c r="J355" s="18" t="inlineStr">
        <is>
          <t>Снятие/возврат депозита</t>
        </is>
      </c>
      <c r="K355" s="19" t="inlineStr"/>
      <c r="L355" s="18" t="inlineStr">
        <is>
          <t>Без НДС. Снятие с краткосрочного вклада (не более одного года)</t>
        </is>
      </c>
    </row>
    <row r="356">
      <c r="A356" s="18" t="inlineStr">
        <is>
          <t>БЦК</t>
        </is>
      </c>
      <c r="B356" s="19" t="inlineStr">
        <is>
          <t>07.07.2026</t>
        </is>
      </c>
      <c r="C356" s="18" t="inlineStr">
        <is>
          <t>ТОО WayStar Group</t>
        </is>
      </c>
      <c r="D356" s="18" t="inlineStr">
        <is>
          <t>WayStar Group</t>
        </is>
      </c>
      <c r="E356" s="18" t="inlineStr">
        <is>
          <t>240340014287</t>
        </is>
      </c>
      <c r="F356" s="20" t="n">
        <v>3736375</v>
      </c>
      <c r="G356" s="20" t="n"/>
      <c r="H356" s="19" t="inlineStr">
        <is>
          <t>343</t>
        </is>
      </c>
      <c r="I356" s="18" t="inlineStr">
        <is>
          <t>INTERNAL</t>
        </is>
      </c>
      <c r="J356" s="18" t="inlineStr">
        <is>
          <t>Переводы между своими счетами</t>
        </is>
      </c>
      <c r="K356" s="19" t="inlineStr"/>
      <c r="L356" s="18" t="inlineStr">
        <is>
          <t>перевод на другой счет Переводы клиентом денег со своего текущего счета в одном банке фили</t>
        </is>
      </c>
    </row>
    <row r="357">
      <c r="A357" s="18" t="inlineStr">
        <is>
          <t>БЦК</t>
        </is>
      </c>
      <c r="B357" s="19" t="inlineStr">
        <is>
          <t>07.07.2026</t>
        </is>
      </c>
      <c r="C357" s="18" t="inlineStr">
        <is>
          <t>ТОО  "WayStar Group"</t>
        </is>
      </c>
      <c r="D357" s="18" t="inlineStr">
        <is>
          <t>WayStar Group</t>
        </is>
      </c>
      <c r="E357" s="18" t="inlineStr">
        <is>
          <t>240340014287</t>
        </is>
      </c>
      <c r="F357" s="20" t="n">
        <v>160100000</v>
      </c>
      <c r="G357" s="20" t="n"/>
      <c r="H357" s="19" t="inlineStr">
        <is>
          <t>343</t>
        </is>
      </c>
      <c r="I357" s="18" t="inlineStr">
        <is>
          <t>INTERNAL</t>
        </is>
      </c>
      <c r="J357" s="18" t="inlineStr">
        <is>
          <t>Переводы между своими счетами</t>
        </is>
      </c>
      <c r="K357" s="19" t="inlineStr"/>
      <c r="L357" s="18" t="inlineStr">
        <is>
          <t>перевод на другой счет Переводы клиентом денег со своего текущего счета в одном банке, фил</t>
        </is>
      </c>
    </row>
    <row r="358">
      <c r="A358" s="18" t="inlineStr">
        <is>
          <t>БЦК</t>
        </is>
      </c>
      <c r="B358" s="19" t="inlineStr">
        <is>
          <t>07.07.2026</t>
        </is>
      </c>
      <c r="C358" s="18" t="inlineStr">
        <is>
          <t xml:space="preserve">Товарищество с ограниченной ответственностью </t>
        </is>
      </c>
      <c r="D358" s="18" t="inlineStr">
        <is>
          <t>WayStar Group</t>
        </is>
      </c>
      <c r="E358" s="18" t="inlineStr">
        <is>
          <t>240340014287</t>
        </is>
      </c>
      <c r="F358" s="20" t="n">
        <v>337832632.84</v>
      </c>
      <c r="G358" s="20" t="n"/>
      <c r="H358" s="19" t="inlineStr">
        <is>
          <t>322</t>
        </is>
      </c>
      <c r="I358" s="18" t="inlineStr">
        <is>
          <t>TREASURY</t>
        </is>
      </c>
      <c r="J358" s="18" t="inlineStr">
        <is>
          <t>Снятие/возврат депозита</t>
        </is>
      </c>
      <c r="K358" s="19" t="inlineStr"/>
      <c r="L358" s="18" t="inlineStr">
        <is>
          <t>Частичная выплата вклада по депозитному договору № 01607034 от 07.07.2026 в размере 337832</t>
        </is>
      </c>
    </row>
    <row r="359">
      <c r="A359" s="18" t="inlineStr">
        <is>
          <t>Halyk</t>
        </is>
      </c>
      <c r="B359" s="19" t="inlineStr">
        <is>
          <t>08.07.2026</t>
        </is>
      </c>
      <c r="C359" s="18" t="inlineStr">
        <is>
          <t>ТОО "WayStar Group"</t>
        </is>
      </c>
      <c r="D359" s="18" t="inlineStr">
        <is>
          <t>WayStar Group</t>
        </is>
      </c>
      <c r="E359" s="18" t="inlineStr">
        <is>
          <t>240340014287</t>
        </is>
      </c>
      <c r="F359" s="20" t="n"/>
      <c r="G359" s="20" t="n">
        <v>6177500</v>
      </c>
      <c r="H359" s="19" t="inlineStr">
        <is>
          <t>343</t>
        </is>
      </c>
      <c r="I359" s="18" t="inlineStr">
        <is>
          <t>INTERNAL</t>
        </is>
      </c>
      <c r="J359" s="18" t="inlineStr">
        <is>
          <t>Переводы между своими счетами</t>
        </is>
      </c>
      <c r="K359" s="19" t="inlineStr"/>
      <c r="L359" s="18" t="inlineStr">
        <is>
          <t>Референс 4017834299 перевод на другой счет Переводы клиентом денег со своего текущего счет</t>
        </is>
      </c>
    </row>
    <row r="360">
      <c r="A360" s="18" t="inlineStr">
        <is>
          <t>Halyk</t>
        </is>
      </c>
      <c r="B360" s="19" t="inlineStr">
        <is>
          <t>08.07.2026</t>
        </is>
      </c>
      <c r="C360" s="18" t="inlineStr">
        <is>
          <t>АРАЙ ТОО</t>
        </is>
      </c>
      <c r="D360" s="18" t="inlineStr">
        <is>
          <t>АРАЙ ТОО</t>
        </is>
      </c>
      <c r="E360" s="18" t="inlineStr">
        <is>
          <t>980640000162</t>
        </is>
      </c>
      <c r="F360" s="20" t="n">
        <v>4800000</v>
      </c>
      <c r="G360" s="20" t="n"/>
      <c r="H360" s="19" t="inlineStr">
        <is>
          <t>813</t>
        </is>
      </c>
      <c r="I360" s="18" t="inlineStr">
        <is>
          <t>REVENUE</t>
        </is>
      </c>
      <c r="J360" s="18" t="inlineStr">
        <is>
          <t>Выручка: транспортно-логистические услуги</t>
        </is>
      </c>
      <c r="K360" s="19" t="inlineStr">
        <is>
          <t>ТЭО</t>
        </is>
      </c>
      <c r="L360" s="18" t="inlineStr">
        <is>
          <t>Референс 4017765022 За услуги. Оплата за за услуги железнодорожного транспорта. согласно с</t>
        </is>
      </c>
    </row>
    <row r="361">
      <c r="A361" s="18" t="inlineStr">
        <is>
          <t>Halyk</t>
        </is>
      </c>
      <c r="B361" s="19" t="inlineStr">
        <is>
          <t>08.07.2026</t>
        </is>
      </c>
      <c r="C361" s="18" t="inlineStr">
        <is>
          <t>ТОО "GREENLIGHTS (ГРИНЛАЙТС)"</t>
        </is>
      </c>
      <c r="D361" s="18" t="inlineStr">
        <is>
          <t>GREENLIGHTS (ГРИНЛАЙТС)</t>
        </is>
      </c>
      <c r="E361" s="18" t="inlineStr">
        <is>
          <t>210840025853</t>
        </is>
      </c>
      <c r="F361" s="20" t="n">
        <v>1377500</v>
      </c>
      <c r="G361" s="20" t="n"/>
      <c r="H361" s="19" t="inlineStr">
        <is>
          <t>813</t>
        </is>
      </c>
      <c r="I361" s="18" t="inlineStr">
        <is>
          <t>REVENUE</t>
        </is>
      </c>
      <c r="J361" s="18" t="inlineStr">
        <is>
          <t>Выручка: транспортно-логистические услуги</t>
        </is>
      </c>
      <c r="K361" s="19" t="inlineStr">
        <is>
          <t>ТЭО</t>
        </is>
      </c>
      <c r="L361" s="18" t="inlineStr">
        <is>
          <t>Референс 4017733984 Оперирование собстенным ПС согл счету №158 от 25.06.2026 Сумма 1377500</t>
        </is>
      </c>
    </row>
    <row r="362">
      <c r="A362" s="18" t="inlineStr">
        <is>
          <t>RBK</t>
        </is>
      </c>
      <c r="B362" s="19" t="inlineStr">
        <is>
          <t>08.07.2026</t>
        </is>
      </c>
      <c r="C362" s="18" t="inlineStr">
        <is>
          <t>ТОО "TimeAgro"</t>
        </is>
      </c>
      <c r="D362" s="18" t="inlineStr">
        <is>
          <t>TimeAgro</t>
        </is>
      </c>
      <c r="E362" s="18" t="inlineStr">
        <is>
          <t>251040022945</t>
        </is>
      </c>
      <c r="F362" s="20" t="n">
        <v>2200000</v>
      </c>
      <c r="G362" s="20" t="n"/>
      <c r="H362" s="19" t="inlineStr"/>
      <c r="I362" s="18" t="inlineStr">
        <is>
          <t>REVENUE</t>
        </is>
      </c>
      <c r="J362" s="18" t="inlineStr">
        <is>
          <t>Выручка: транспортно-логистические услуги</t>
        </is>
      </c>
      <c r="K362" s="19" t="inlineStr">
        <is>
          <t>ТЭО</t>
        </is>
      </c>
      <c r="L362" s="18" t="inlineStr">
        <is>
          <t>За услуги. Оплата согласно счета на оплату №173 от 30.06.2026 года/предоставление и жд тар</t>
        </is>
      </c>
    </row>
    <row r="363">
      <c r="A363" s="18" t="inlineStr">
        <is>
          <t>RBK</t>
        </is>
      </c>
      <c r="B363" s="19" t="inlineStr">
        <is>
          <t>08.07.2026</t>
        </is>
      </c>
      <c r="C363" s="18" t="inlineStr">
        <is>
          <t>ТОО ROYAL EXPORT</t>
        </is>
      </c>
      <c r="D363" s="18" t="inlineStr">
        <is>
          <t>ROYAL EXPORT</t>
        </is>
      </c>
      <c r="E363" s="18" t="inlineStr">
        <is>
          <t>120740010650</t>
        </is>
      </c>
      <c r="F363" s="20" t="n">
        <v>5234000</v>
      </c>
      <c r="G363" s="20" t="n"/>
      <c r="H363" s="19" t="inlineStr"/>
      <c r="I363" s="18" t="inlineStr">
        <is>
          <t>REVENUE</t>
        </is>
      </c>
      <c r="J363" s="18" t="inlineStr">
        <is>
          <t>Выручка: транспортно-логистические услуги</t>
        </is>
      </c>
      <c r="K363" s="19" t="inlineStr">
        <is>
          <t>ТЭО</t>
        </is>
      </c>
      <c r="L363" s="18" t="inlineStr">
        <is>
          <t>За услуги. Оплата за предоставление вагонов, согласна счет на оплату №172 от 30.06.2026г.</t>
        </is>
      </c>
    </row>
    <row r="364">
      <c r="A364" s="18" t="inlineStr">
        <is>
          <t>RBK</t>
        </is>
      </c>
      <c r="B364" s="19" t="inlineStr">
        <is>
          <t>08.07.2026</t>
        </is>
      </c>
      <c r="C364" s="18" t="inlineStr">
        <is>
          <t>ФИЛИАЛ АО "BANK RBK" В Г.АСТАНА</t>
        </is>
      </c>
      <c r="D364" s="18" t="inlineStr">
        <is>
          <t>ФИЛИАЛ АО "BANK RBK" В Г.АСТАНА</t>
        </is>
      </c>
      <c r="E364" s="18" t="inlineStr">
        <is>
          <t>111141019679</t>
        </is>
      </c>
      <c r="F364" s="20" t="n"/>
      <c r="G364" s="20" t="n">
        <v>3816.05</v>
      </c>
      <c r="H364" s="19" t="inlineStr"/>
      <c r="I364" s="18" t="inlineStr">
        <is>
          <t>OPEX</t>
        </is>
      </c>
      <c r="J364" s="18" t="inlineStr">
        <is>
          <t>Прочие услуги и расходы</t>
        </is>
      </c>
      <c r="K364" s="19" t="inlineStr"/>
      <c r="L364" s="18" t="inlineStr">
        <is>
          <t>Комиссия Банка за переводные операции по платежному документу № 1381 от 08/07/2026, в т.ч.</t>
        </is>
      </c>
    </row>
    <row r="365">
      <c r="A365" s="18" t="inlineStr">
        <is>
          <t>RBK</t>
        </is>
      </c>
      <c r="B365" s="19" t="inlineStr">
        <is>
          <t>08.07.2026</t>
        </is>
      </c>
      <c r="C365" s="18" t="inlineStr">
        <is>
          <t>ТОО "WayStar Group"</t>
        </is>
      </c>
      <c r="D365" s="18" t="inlineStr">
        <is>
          <t>WayStar Group</t>
        </is>
      </c>
      <c r="E365" s="18" t="inlineStr">
        <is>
          <t>240340014287</t>
        </is>
      </c>
      <c r="F365" s="20" t="n"/>
      <c r="G365" s="20" t="n">
        <v>7450000</v>
      </c>
      <c r="H365" s="19" t="inlineStr"/>
      <c r="I365" s="18" t="inlineStr">
        <is>
          <t>INTERNAL</t>
        </is>
      </c>
      <c r="J365" s="18" t="inlineStr">
        <is>
          <t>Переводы между своими счетами</t>
        </is>
      </c>
      <c r="K365" s="19" t="inlineStr"/>
      <c r="L365" s="18" t="inlineStr">
        <is>
          <t>перевод на другой счет Переводы клиентом денег со своего текущего счета в одном банке, фил</t>
        </is>
      </c>
    </row>
    <row r="366">
      <c r="A366" s="18" t="inlineStr">
        <is>
          <t>БЦК</t>
        </is>
      </c>
      <c r="B366" s="19" t="inlineStr">
        <is>
          <t>08.07.2026</t>
        </is>
      </c>
      <c r="C366" s="18" t="inlineStr">
        <is>
          <t xml:space="preserve">Товарищество с ограниченной ответственностью </t>
        </is>
      </c>
      <c r="D366" s="18" t="inlineStr">
        <is>
          <t>Office-Expert.kz</t>
        </is>
      </c>
      <c r="E366" s="18" t="inlineStr">
        <is>
          <t>110840005091</t>
        </is>
      </c>
      <c r="F366" s="20" t="n"/>
      <c r="G366" s="20" t="n">
        <v>21655</v>
      </c>
      <c r="H366" s="19" t="inlineStr">
        <is>
          <t>710</t>
        </is>
      </c>
      <c r="I366" s="18" t="inlineStr">
        <is>
          <t>OPEX</t>
        </is>
      </c>
      <c r="J366" s="18" t="inlineStr">
        <is>
          <t>ТМЦ / офисные расходы</t>
        </is>
      </c>
      <c r="K366" s="19" t="inlineStr"/>
      <c r="L366" s="18" t="inlineStr">
        <is>
          <t>Счет на оплату № 897396 от 03 июля 2026 г. КанцтоварыСумма 21 655-00 тенге в т.ч. НДС(16%)</t>
        </is>
      </c>
    </row>
    <row r="367">
      <c r="A367" s="18" t="inlineStr">
        <is>
          <t>БЦК</t>
        </is>
      </c>
      <c r="B367" s="19" t="inlineStr">
        <is>
          <t>08.07.2026</t>
        </is>
      </c>
      <c r="C367" s="18" t="inlineStr">
        <is>
          <t>ТОО КТЖ-Грузовые перевозки</t>
        </is>
      </c>
      <c r="D367" s="18" t="inlineStr">
        <is>
          <t>КТЖ-Грузовые перевозки</t>
        </is>
      </c>
      <c r="E367" s="18" t="inlineStr">
        <is>
          <t>031040001799</t>
        </is>
      </c>
      <c r="F367" s="20" t="n"/>
      <c r="G367" s="20" t="n">
        <v>15000000</v>
      </c>
      <c r="H367" s="19" t="inlineStr">
        <is>
          <t>813</t>
        </is>
      </c>
      <c r="I367" s="18" t="inlineStr">
        <is>
          <t>COGS</t>
        </is>
      </c>
      <c r="J367" s="18" t="inlineStr">
        <is>
          <t>Ж/д тариф, вагоны, услуги перевозчиков</t>
        </is>
      </c>
      <c r="K367" s="19" t="inlineStr">
        <is>
          <t>ТЭО</t>
        </is>
      </c>
      <c r="L367" s="18" t="inlineStr">
        <is>
          <t>Без НДС, 4185494, Платежи за услуги железнодорожного транспорта</t>
        </is>
      </c>
    </row>
    <row r="368">
      <c r="A368" s="18" t="inlineStr">
        <is>
          <t>БЦК</t>
        </is>
      </c>
      <c r="B368" s="19" t="inlineStr">
        <is>
          <t>08.07.2026</t>
        </is>
      </c>
      <c r="C368" s="18" t="inlineStr">
        <is>
          <t xml:space="preserve">Товарищество с ограниченной ответственностью </t>
        </is>
      </c>
      <c r="D368" s="18" t="inlineStr">
        <is>
          <t>WayStar Group</t>
        </is>
      </c>
      <c r="E368" s="18" t="inlineStr">
        <is>
          <t>240340014287</t>
        </is>
      </c>
      <c r="F368" s="20" t="n"/>
      <c r="G368" s="20" t="n">
        <v>369080835.75</v>
      </c>
      <c r="H368" s="19" t="inlineStr">
        <is>
          <t>312</t>
        </is>
      </c>
      <c r="I368" s="18" t="inlineStr">
        <is>
          <t>TREASURY</t>
        </is>
      </c>
      <c r="J368" s="18" t="inlineStr">
        <is>
          <t>Размещение депозита</t>
        </is>
      </c>
      <c r="K368" s="19" t="inlineStr"/>
      <c r="L368" s="18" t="inlineStr">
        <is>
          <t>Размещение вклада</t>
        </is>
      </c>
    </row>
    <row r="369">
      <c r="A369" s="18" t="inlineStr">
        <is>
          <t>БЦК</t>
        </is>
      </c>
      <c r="B369" s="19" t="inlineStr">
        <is>
          <t>08.07.2026</t>
        </is>
      </c>
      <c r="C369" s="18" t="inlineStr">
        <is>
          <t xml:space="preserve">Товарищество с ограниченной ответственностью </t>
        </is>
      </c>
      <c r="D369" s="18" t="inlineStr">
        <is>
          <t>WayStar Group</t>
        </is>
      </c>
      <c r="E369" s="18" t="inlineStr">
        <is>
          <t>240340014287</t>
        </is>
      </c>
      <c r="F369" s="20" t="n">
        <v>124701.39</v>
      </c>
      <c r="G369" s="20" t="n"/>
      <c r="H369" s="19" t="inlineStr">
        <is>
          <t>316</t>
        </is>
      </c>
      <c r="I369" s="18" t="inlineStr">
        <is>
          <t>FIN_INCOME</t>
        </is>
      </c>
      <c r="J369" s="18" t="inlineStr">
        <is>
          <t>% по депозиту</t>
        </is>
      </c>
      <c r="K369" s="19" t="inlineStr"/>
      <c r="L369" s="18" t="inlineStr">
        <is>
          <t>Выплата начисленного вознаграждения по депозитному договору № 01607034 от 24.07.2025 за пе</t>
        </is>
      </c>
    </row>
    <row r="370">
      <c r="A370" s="18" t="inlineStr">
        <is>
          <t>БЦК</t>
        </is>
      </c>
      <c r="B370" s="19" t="inlineStr">
        <is>
          <t>08.07.2026</t>
        </is>
      </c>
      <c r="C370" s="18" t="inlineStr">
        <is>
          <t>ТОО EASY BOX</t>
        </is>
      </c>
      <c r="D370" s="18" t="inlineStr">
        <is>
          <t>EASY BOX</t>
        </is>
      </c>
      <c r="E370" s="18" t="inlineStr">
        <is>
          <t>220640049871</t>
        </is>
      </c>
      <c r="F370" s="20" t="n">
        <v>921375</v>
      </c>
      <c r="G370" s="20" t="n"/>
      <c r="H370" s="19" t="inlineStr">
        <is>
          <t>813</t>
        </is>
      </c>
      <c r="I370" s="18" t="inlineStr">
        <is>
          <t>REVENUE</t>
        </is>
      </c>
      <c r="J370" s="18" t="inlineStr">
        <is>
          <t>Выручка: транспортно-логистические услуги</t>
        </is>
      </c>
      <c r="K370" s="19" t="inlineStr">
        <is>
          <t>ТЭО</t>
        </is>
      </c>
      <c r="L370" s="18" t="inlineStr">
        <is>
          <t>Оплата согласно эсф № 00000000131 от 19.05.2026г., за услуги оперирования Платежи за услуг</t>
        </is>
      </c>
    </row>
    <row r="371">
      <c r="A371" s="18" t="inlineStr">
        <is>
          <t>БЦК</t>
        </is>
      </c>
      <c r="B371" s="19" t="inlineStr">
        <is>
          <t>08.07.2026</t>
        </is>
      </c>
      <c r="C371" s="18" t="inlineStr">
        <is>
          <t>ТОО WayStar Group</t>
        </is>
      </c>
      <c r="D371" s="18" t="inlineStr">
        <is>
          <t>WayStar Group</t>
        </is>
      </c>
      <c r="E371" s="18" t="inlineStr">
        <is>
          <t>240340014287</t>
        </is>
      </c>
      <c r="F371" s="20" t="n">
        <v>6177500</v>
      </c>
      <c r="G371" s="20" t="n"/>
      <c r="H371" s="19" t="inlineStr">
        <is>
          <t>343</t>
        </is>
      </c>
      <c r="I371" s="18" t="inlineStr">
        <is>
          <t>INTERNAL</t>
        </is>
      </c>
      <c r="J371" s="18" t="inlineStr">
        <is>
          <t>Переводы между своими счетами</t>
        </is>
      </c>
      <c r="K371" s="19" t="inlineStr"/>
      <c r="L371" s="18" t="inlineStr">
        <is>
          <t>перевод на другой счет Переводы клиентом денег со своего текущего счета в одном банке фили</t>
        </is>
      </c>
    </row>
    <row r="372">
      <c r="A372" s="18" t="inlineStr">
        <is>
          <t>БЦК</t>
        </is>
      </c>
      <c r="B372" s="19" t="inlineStr">
        <is>
          <t>08.07.2026</t>
        </is>
      </c>
      <c r="C372" s="18" t="inlineStr">
        <is>
          <t>ТОО  "WayStar Group"</t>
        </is>
      </c>
      <c r="D372" s="18" t="inlineStr">
        <is>
          <t>WayStar Group</t>
        </is>
      </c>
      <c r="E372" s="18" t="inlineStr">
        <is>
          <t>240340014287</t>
        </is>
      </c>
      <c r="F372" s="20" t="n">
        <v>7450000</v>
      </c>
      <c r="G372" s="20" t="n"/>
      <c r="H372" s="19" t="inlineStr">
        <is>
          <t>343</t>
        </is>
      </c>
      <c r="I372" s="18" t="inlineStr">
        <is>
          <t>INTERNAL</t>
        </is>
      </c>
      <c r="J372" s="18" t="inlineStr">
        <is>
          <t>Переводы между своими счетами</t>
        </is>
      </c>
      <c r="K372" s="19" t="inlineStr"/>
      <c r="L372" s="18" t="inlineStr">
        <is>
          <t>перевод на другой счет Переводы клиентом денег со своего текущего счета в одном банке, фил</t>
        </is>
      </c>
    </row>
    <row r="373">
      <c r="A373" s="18" t="inlineStr">
        <is>
          <t>БЦК</t>
        </is>
      </c>
      <c r="B373" s="19" t="inlineStr">
        <is>
          <t>08.07.2026</t>
        </is>
      </c>
      <c r="C373" s="18" t="inlineStr">
        <is>
          <t xml:space="preserve">Товарищество с ограниченной ответственностью </t>
        </is>
      </c>
      <c r="D373" s="18" t="inlineStr">
        <is>
          <t>WayStar Group</t>
        </is>
      </c>
      <c r="E373" s="18" t="inlineStr">
        <is>
          <t>240340014287</t>
        </is>
      </c>
      <c r="F373" s="20" t="n">
        <v>369298236.22</v>
      </c>
      <c r="G373" s="20" t="n"/>
      <c r="H373" s="19" t="inlineStr">
        <is>
          <t>322</t>
        </is>
      </c>
      <c r="I373" s="18" t="inlineStr">
        <is>
          <t>TREASURY</t>
        </is>
      </c>
      <c r="J373" s="18" t="inlineStr">
        <is>
          <t>Снятие/возврат депозита</t>
        </is>
      </c>
      <c r="K373" s="19" t="inlineStr"/>
      <c r="L373" s="18" t="inlineStr">
        <is>
          <t>Частичная выплата вклада по депозитному договору № 01607034 от 08.07.2026 в размере 369298</t>
        </is>
      </c>
    </row>
    <row r="374">
      <c r="A374" s="18" t="inlineStr">
        <is>
          <t>RBK</t>
        </is>
      </c>
      <c r="B374" s="19" t="inlineStr">
        <is>
          <t>09.07.2026</t>
        </is>
      </c>
      <c r="C374" s="18" t="inlineStr">
        <is>
          <t>ТОО Каз Алтын Групп</t>
        </is>
      </c>
      <c r="D374" s="18" t="inlineStr">
        <is>
          <t>Каз Алтын Групп</t>
        </is>
      </c>
      <c r="E374" s="18" t="inlineStr">
        <is>
          <t>140940002482</t>
        </is>
      </c>
      <c r="F374" s="20" t="n">
        <v>550000</v>
      </c>
      <c r="G374" s="20" t="n"/>
      <c r="H374" s="19" t="inlineStr"/>
      <c r="I374" s="18" t="inlineStr">
        <is>
          <t>REVENUE</t>
        </is>
      </c>
      <c r="J374" s="18" t="inlineStr">
        <is>
          <t>Выручка: транспортно-логистические услуги</t>
        </is>
      </c>
      <c r="K374" s="19" t="inlineStr">
        <is>
          <t>ТЭО</t>
        </is>
      </c>
      <c r="L374" s="18" t="inlineStr">
        <is>
          <t>Оплата за услуги по счету № 144 от 23.06.2026г. Без НДС. Платежи за услуги железнодорожног</t>
        </is>
      </c>
    </row>
    <row r="375">
      <c r="A375" s="18" t="inlineStr">
        <is>
          <t>RBK</t>
        </is>
      </c>
      <c r="B375" s="19" t="inlineStr">
        <is>
          <t>09.07.2026</t>
        </is>
      </c>
      <c r="C375" s="18" t="inlineStr">
        <is>
          <t>ТОО East Agro Company</t>
        </is>
      </c>
      <c r="D375" s="18" t="inlineStr">
        <is>
          <t>East Agro Company</t>
        </is>
      </c>
      <c r="E375" s="18" t="inlineStr">
        <is>
          <t>230340042290</t>
        </is>
      </c>
      <c r="F375" s="20" t="n">
        <v>12700440</v>
      </c>
      <c r="G375" s="20" t="n"/>
      <c r="H375" s="19" t="inlineStr"/>
      <c r="I375" s="18" t="inlineStr">
        <is>
          <t>REVENUE</t>
        </is>
      </c>
      <c r="J375" s="18" t="inlineStr">
        <is>
          <t>Выручка: транспортно-логистические услуги</t>
        </is>
      </c>
      <c r="K375" s="19" t="inlineStr">
        <is>
          <t>ТЭО</t>
        </is>
      </c>
      <c r="L375" s="18" t="inlineStr">
        <is>
          <t>Оплата за услуги по счету 180 от 07.07.2026 Без налога (НДС) Договор: 2026/06-45 от 11.06.</t>
        </is>
      </c>
    </row>
    <row r="376">
      <c r="A376" s="18" t="inlineStr">
        <is>
          <t>RBK</t>
        </is>
      </c>
      <c r="B376" s="19" t="inlineStr">
        <is>
          <t>09.07.2026</t>
        </is>
      </c>
      <c r="C376" s="18" t="inlineStr">
        <is>
          <t>ТОО Altyn Shyghys</t>
        </is>
      </c>
      <c r="D376" s="18" t="inlineStr">
        <is>
          <t>Altyn Shyghys</t>
        </is>
      </c>
      <c r="E376" s="18" t="inlineStr">
        <is>
          <t>190140000545</t>
        </is>
      </c>
      <c r="F376" s="20" t="n">
        <v>44100000</v>
      </c>
      <c r="G376" s="20" t="n"/>
      <c r="H376" s="19" t="inlineStr"/>
      <c r="I376" s="18" t="inlineStr">
        <is>
          <t>REVENUE</t>
        </is>
      </c>
      <c r="J376" s="18" t="inlineStr">
        <is>
          <t>Выручка: транспортно-логистические услуги</t>
        </is>
      </c>
      <c r="K376" s="19" t="inlineStr">
        <is>
          <t>ТЭО</t>
        </is>
      </c>
      <c r="L376" s="18" t="inlineStr">
        <is>
          <t>Оплата за услуги по счету 179 от 07.07.2026 Без налога (НДС) Договор: 2026/01-04 ТЭУ от 13</t>
        </is>
      </c>
    </row>
    <row r="377">
      <c r="A377" s="18" t="inlineStr">
        <is>
          <t>RBK</t>
        </is>
      </c>
      <c r="B377" s="19" t="inlineStr">
        <is>
          <t>09.07.2026</t>
        </is>
      </c>
      <c r="C377" s="18" t="inlineStr">
        <is>
          <t>ФИЛИАЛ АО "BANK RBK" В Г.АСТАНА</t>
        </is>
      </c>
      <c r="D377" s="18" t="inlineStr">
        <is>
          <t>ФИЛИАЛ АО "BANK RBK" В Г.АСТАНА</t>
        </is>
      </c>
      <c r="E377" s="18" t="inlineStr">
        <is>
          <t>111141019679</t>
        </is>
      </c>
      <c r="F377" s="20" t="n"/>
      <c r="G377" s="20" t="n">
        <v>183.95</v>
      </c>
      <c r="H377" s="19" t="inlineStr"/>
      <c r="I377" s="18" t="inlineStr">
        <is>
          <t>OPEX</t>
        </is>
      </c>
      <c r="J377" s="18" t="inlineStr">
        <is>
          <t>Прочие услуги и расходы</t>
        </is>
      </c>
      <c r="K377" s="19" t="inlineStr"/>
      <c r="L377" s="18" t="inlineStr">
        <is>
          <t>Комиссия Банка за переводные операции по платежному документу № 1381 от 08/07/2026, в т.ч.</t>
        </is>
      </c>
    </row>
    <row r="378">
      <c r="A378" s="18" t="inlineStr">
        <is>
          <t>RBK</t>
        </is>
      </c>
      <c r="B378" s="19" t="inlineStr">
        <is>
          <t>09.07.2026</t>
        </is>
      </c>
      <c r="C378" s="18" t="inlineStr">
        <is>
          <t>ФИЛИАЛ АО "BANK RBK" В Г.АСТАНА</t>
        </is>
      </c>
      <c r="D378" s="18" t="inlineStr">
        <is>
          <t>ФИЛИАЛ АО "BANK RBK" В Г.АСТАНА</t>
        </is>
      </c>
      <c r="E378" s="18" t="inlineStr">
        <is>
          <t>111141019679</t>
        </is>
      </c>
      <c r="F378" s="20" t="n"/>
      <c r="G378" s="20" t="n">
        <v>4000</v>
      </c>
      <c r="H378" s="19" t="inlineStr"/>
      <c r="I378" s="18" t="inlineStr">
        <is>
          <t>OPEX</t>
        </is>
      </c>
      <c r="J378" s="18" t="inlineStr">
        <is>
          <t>Прочие услуги и расходы</t>
        </is>
      </c>
      <c r="K378" s="19" t="inlineStr"/>
      <c r="L378" s="18" t="inlineStr">
        <is>
          <t>Комиссия Банка за переводные операции по платежному документу № 1382 от 09/07/2026, в т.ч.</t>
        </is>
      </c>
    </row>
    <row r="379">
      <c r="A379" s="18" t="inlineStr">
        <is>
          <t>RBK</t>
        </is>
      </c>
      <c r="B379" s="19" t="inlineStr">
        <is>
          <t>09.07.2026</t>
        </is>
      </c>
      <c r="C379" s="18" t="inlineStr">
        <is>
          <t>ТОО "WayStar Group"</t>
        </is>
      </c>
      <c r="D379" s="18" t="inlineStr">
        <is>
          <t>WayStar Group</t>
        </is>
      </c>
      <c r="E379" s="18" t="inlineStr">
        <is>
          <t>240340014287</t>
        </is>
      </c>
      <c r="F379" s="20" t="n"/>
      <c r="G379" s="20" t="n">
        <v>57300000</v>
      </c>
      <c r="H379" s="19" t="inlineStr"/>
      <c r="I379" s="18" t="inlineStr">
        <is>
          <t>INTERNAL</t>
        </is>
      </c>
      <c r="J379" s="18" t="inlineStr">
        <is>
          <t>Переводы между своими счетами</t>
        </is>
      </c>
      <c r="K379" s="19" t="inlineStr"/>
      <c r="L379" s="18" t="inlineStr">
        <is>
          <t>перевод на другой счет Переводы клиентом денег со своего текущего счета в одном банке, фил</t>
        </is>
      </c>
    </row>
    <row r="380">
      <c r="A380" s="18" t="inlineStr">
        <is>
          <t>БЦК</t>
        </is>
      </c>
      <c r="B380" s="19" t="inlineStr">
        <is>
          <t>09.07.2026</t>
        </is>
      </c>
      <c r="C380" s="18" t="inlineStr">
        <is>
          <t>Акционерное Общество "Банк ЦентрКредит"</t>
        </is>
      </c>
      <c r="D380" s="18" t="inlineStr">
        <is>
          <t>Банк ЦентрКредит</t>
        </is>
      </c>
      <c r="E380" s="18" t="inlineStr">
        <is>
          <t>980741000260</t>
        </is>
      </c>
      <c r="F380" s="20" t="n"/>
      <c r="G380" s="20" t="n">
        <v>100000</v>
      </c>
      <c r="H380" s="19" t="inlineStr">
        <is>
          <t>841</t>
        </is>
      </c>
      <c r="I380" s="18" t="inlineStr">
        <is>
          <t>OPEX</t>
        </is>
      </c>
      <c r="J380" s="18" t="inlineStr">
        <is>
          <t>Банковские услуги</t>
        </is>
      </c>
      <c r="K380" s="19" t="inlineStr"/>
      <c r="L380" s="18" t="inlineStr">
        <is>
          <t>Интернет-банкинг. MIP. Международные платежи. Перевод OUR, кроме валют стран СНГ с 9:00  д</t>
        </is>
      </c>
    </row>
    <row r="381">
      <c r="A381" s="18" t="inlineStr">
        <is>
          <t>БЦК</t>
        </is>
      </c>
      <c r="B381" s="19" t="inlineStr">
        <is>
          <t>09.07.2026</t>
        </is>
      </c>
      <c r="C381" s="18" t="inlineStr">
        <is>
          <t>Алим</t>
        </is>
      </c>
      <c r="D381" s="18" t="inlineStr">
        <is>
          <t>Алим</t>
        </is>
      </c>
      <c r="E381" s="18" t="inlineStr">
        <is>
          <t>020420550046</t>
        </is>
      </c>
      <c r="F381" s="20" t="n"/>
      <c r="G381" s="20" t="n">
        <v>111979</v>
      </c>
      <c r="H381" s="19" t="inlineStr">
        <is>
          <t>871</t>
        </is>
      </c>
      <c r="I381" s="18" t="inlineStr">
        <is>
          <t>OPEX</t>
        </is>
      </c>
      <c r="J381" s="18" t="inlineStr">
        <is>
          <t>Командировочные / поездки</t>
        </is>
      </c>
      <c r="K381" s="19" t="inlineStr"/>
      <c r="L381" s="18" t="inlineStr">
        <is>
          <t>Данияр Алим подотчет. Без НДС. Платежи по поездкам</t>
        </is>
      </c>
    </row>
    <row r="382">
      <c r="A382" s="18" t="inlineStr">
        <is>
          <t>БЦК</t>
        </is>
      </c>
      <c r="B382" s="19" t="inlineStr">
        <is>
          <t>09.07.2026</t>
        </is>
      </c>
      <c r="C382" s="18" t="inlineStr">
        <is>
          <t>Индивидуальный предприниматель "JOINMEDIA"</t>
        </is>
      </c>
      <c r="D382" s="18" t="inlineStr">
        <is>
          <t>JOINMEDIA</t>
        </is>
      </c>
      <c r="E382" s="18" t="inlineStr">
        <is>
          <t>970710351144</t>
        </is>
      </c>
      <c r="F382" s="20" t="n"/>
      <c r="G382" s="20" t="n">
        <v>1150000</v>
      </c>
      <c r="H382" s="19" t="inlineStr">
        <is>
          <t>859</t>
        </is>
      </c>
      <c r="I382" s="18" t="inlineStr">
        <is>
          <t>OPEX</t>
        </is>
      </c>
      <c r="J382" s="18" t="inlineStr">
        <is>
          <t>Прочие услуги и расходы</t>
        </is>
      </c>
      <c r="K382" s="19" t="inlineStr"/>
      <c r="L382" s="18" t="inlineStr">
        <is>
          <t>Счет на оплату №6 от 09.07.2026 г. Договор № 14/12-25 от 29.12.2025 г.Сумма 1 150 000-00 т</t>
        </is>
      </c>
    </row>
    <row r="383">
      <c r="A383" s="18" t="inlineStr">
        <is>
          <t>БЦК</t>
        </is>
      </c>
      <c r="B383" s="19" t="inlineStr">
        <is>
          <t>09.07.2026</t>
        </is>
      </c>
      <c r="C383" s="18" t="inlineStr">
        <is>
          <t>ТОО КТЖ-Грузовые перевозки</t>
        </is>
      </c>
      <c r="D383" s="18" t="inlineStr">
        <is>
          <t>КТЖ-Грузовые перевозки</t>
        </is>
      </c>
      <c r="E383" s="18" t="inlineStr">
        <is>
          <t>031040001799</t>
        </is>
      </c>
      <c r="F383" s="20" t="n"/>
      <c r="G383" s="20" t="n">
        <v>1900000</v>
      </c>
      <c r="H383" s="19" t="inlineStr">
        <is>
          <t>813</t>
        </is>
      </c>
      <c r="I383" s="18" t="inlineStr">
        <is>
          <t>COGS</t>
        </is>
      </c>
      <c r="J383" s="18" t="inlineStr">
        <is>
          <t>Ж/д тариф, вагоны, услуги перевозчиков</t>
        </is>
      </c>
      <c r="K383" s="19" t="inlineStr">
        <is>
          <t>ТЭО</t>
        </is>
      </c>
      <c r="L383" s="18" t="inlineStr">
        <is>
          <t>Без НДС, 4792940, Платежи за услуги железнодорожного транспорта, 150240031511</t>
        </is>
      </c>
    </row>
    <row r="384">
      <c r="A384" s="18" t="inlineStr">
        <is>
          <t>БЦК</t>
        </is>
      </c>
      <c r="B384" s="19" t="inlineStr">
        <is>
          <t>09.07.2026</t>
        </is>
      </c>
      <c r="C384" s="18" t="inlineStr">
        <is>
          <t>Банк ЦентрКредит для ЗП</t>
        </is>
      </c>
      <c r="D384" s="18" t="inlineStr">
        <is>
          <t>Банк ЦентрКредит для ЗП</t>
        </is>
      </c>
      <c r="E384" s="18" t="inlineStr">
        <is>
          <t>980640000093</t>
        </is>
      </c>
      <c r="F384" s="20" t="n"/>
      <c r="G384" s="20" t="n">
        <v>2000000</v>
      </c>
      <c r="H384" s="19" t="inlineStr">
        <is>
          <t>332</t>
        </is>
      </c>
      <c r="I384" s="18" t="inlineStr">
        <is>
          <t>OPEX</t>
        </is>
      </c>
      <c r="J384" s="18" t="inlineStr">
        <is>
          <t>Оплата труда</t>
        </is>
      </c>
      <c r="K384" s="19" t="inlineStr"/>
      <c r="L384" s="18" t="inlineStr">
        <is>
          <t>Для зачисления на картсчета сотрудникам согласно спискам 2 000 000-00 теңге.</t>
        </is>
      </c>
    </row>
    <row r="385">
      <c r="A385" s="18" t="inlineStr">
        <is>
          <t>БЦК</t>
        </is>
      </c>
      <c r="B385" s="19" t="inlineStr">
        <is>
          <t>09.07.2026</t>
        </is>
      </c>
      <c r="C385" s="18" t="inlineStr">
        <is>
          <t xml:space="preserve">Товарищество с ограниченной ответственностью </t>
        </is>
      </c>
      <c r="D385" s="18" t="inlineStr">
        <is>
          <t>Рейл Транспортейшн</t>
        </is>
      </c>
      <c r="E385" s="18" t="inlineStr">
        <is>
          <t>221040045601</t>
        </is>
      </c>
      <c r="F385" s="20" t="n"/>
      <c r="G385" s="20" t="n">
        <v>4366833.75</v>
      </c>
      <c r="H385" s="19" t="inlineStr">
        <is>
          <t>813</t>
        </is>
      </c>
      <c r="I385" s="18" t="inlineStr">
        <is>
          <t>COGS</t>
        </is>
      </c>
      <c r="J385" s="18" t="inlineStr">
        <is>
          <t>Ж/д тариф, вагоны, услуги перевозчиков</t>
        </is>
      </c>
      <c r="K385" s="19" t="inlineStr">
        <is>
          <t>ТЭО</t>
        </is>
      </c>
      <c r="L385" s="18" t="inlineStr">
        <is>
          <t>Договор RT/151 от 12.11.2024 г INVOICE N 1353 от 03.07.2026 INVOICE N 1282 от 24/06/2026Су</t>
        </is>
      </c>
    </row>
    <row r="386">
      <c r="A386" s="18" t="inlineStr">
        <is>
          <t>БЦК</t>
        </is>
      </c>
      <c r="B386" s="19" t="inlineStr">
        <is>
          <t>09.07.2026</t>
        </is>
      </c>
      <c r="C386" s="18" t="inlineStr">
        <is>
          <t xml:space="preserve">Товарищество с ограниченной ответственностью </t>
        </is>
      </c>
      <c r="D386" s="18" t="inlineStr">
        <is>
          <t>InterLog Co</t>
        </is>
      </c>
      <c r="E386" s="18" t="inlineStr">
        <is>
          <t>061040010307</t>
        </is>
      </c>
      <c r="F386" s="20" t="n"/>
      <c r="G386" s="20" t="n">
        <v>26350000</v>
      </c>
      <c r="H386" s="19" t="inlineStr">
        <is>
          <t>813</t>
        </is>
      </c>
      <c r="I386" s="18" t="inlineStr">
        <is>
          <t>COGS</t>
        </is>
      </c>
      <c r="J386" s="18" t="inlineStr">
        <is>
          <t>Ж/д тариф, вагоны, услуги перевозчиков</t>
        </is>
      </c>
      <c r="K386" s="19" t="inlineStr">
        <is>
          <t>ТЭО</t>
        </is>
      </c>
      <c r="L386" s="18" t="inlineStr">
        <is>
          <t>Договор №017 от 30.12.2025 г. Счет на оплату №30 от 02.07.2026 г. ТЭУ за зерновозы</t>
        </is>
      </c>
    </row>
    <row r="387">
      <c r="A387" s="18" t="inlineStr">
        <is>
          <t>БЦК</t>
        </is>
      </c>
      <c r="B387" s="19" t="inlineStr">
        <is>
          <t>09.07.2026</t>
        </is>
      </c>
      <c r="C387" s="18" t="inlineStr">
        <is>
          <t xml:space="preserve">Товарищество с ограниченной ответственностью </t>
        </is>
      </c>
      <c r="D387" s="18" t="inlineStr">
        <is>
          <t>PRATA</t>
        </is>
      </c>
      <c r="E387" s="18" t="inlineStr">
        <is>
          <t>120540009510</t>
        </is>
      </c>
      <c r="F387" s="20" t="n"/>
      <c r="G387" s="20" t="n">
        <v>27590000</v>
      </c>
      <c r="H387" s="19" t="inlineStr">
        <is>
          <t>813</t>
        </is>
      </c>
      <c r="I387" s="18" t="inlineStr">
        <is>
          <t>COGS</t>
        </is>
      </c>
      <c r="J387" s="18" t="inlineStr">
        <is>
          <t>Ж/д тариф, вагоны, услуги перевозчиков</t>
        </is>
      </c>
      <c r="K387" s="19" t="inlineStr">
        <is>
          <t>ТЭО</t>
        </is>
      </c>
      <c r="L387" s="18" t="inlineStr">
        <is>
          <t>Договор №PR-007/2025 от 03.11.2025 г.Счет на оплату № 17 от 02.07.2026 г. ТЭУ</t>
        </is>
      </c>
    </row>
    <row r="388">
      <c r="A388" s="18" t="inlineStr">
        <is>
          <t>БЦК</t>
        </is>
      </c>
      <c r="B388" s="19" t="inlineStr">
        <is>
          <t>09.07.2026</t>
        </is>
      </c>
      <c r="C388" s="18" t="inlineStr">
        <is>
          <t xml:space="preserve">Товарищество с ограниченной ответственностью </t>
        </is>
      </c>
      <c r="D388" s="18" t="inlineStr">
        <is>
          <t>АРНА</t>
        </is>
      </c>
      <c r="E388" s="18" t="inlineStr">
        <is>
          <t>970640001862</t>
        </is>
      </c>
      <c r="F388" s="20" t="n"/>
      <c r="G388" s="20" t="n">
        <v>33227040</v>
      </c>
      <c r="H388" s="19" t="inlineStr">
        <is>
          <t>819</t>
        </is>
      </c>
      <c r="I388" s="18" t="inlineStr">
        <is>
          <t>COGS</t>
        </is>
      </c>
      <c r="J388" s="18" t="inlineStr">
        <is>
          <t>Ж/д тариф, вагоны, услуги перевозчиков</t>
        </is>
      </c>
      <c r="K388" s="19" t="inlineStr">
        <is>
          <t>ТЭО</t>
        </is>
      </c>
      <c r="L388" s="18" t="inlineStr">
        <is>
          <t>счет на оплату № 69 от 29.06.2026 г Договор №5 от 05.02.2025г Предоставление вагонов в июл</t>
        </is>
      </c>
    </row>
    <row r="389">
      <c r="A389" s="18" t="inlineStr">
        <is>
          <t>БЦК</t>
        </is>
      </c>
      <c r="B389" s="19" t="inlineStr">
        <is>
          <t>09.07.2026</t>
        </is>
      </c>
      <c r="C389" s="18" t="inlineStr">
        <is>
          <t>ТОО "WayStar Group"</t>
        </is>
      </c>
      <c r="D389" s="18" t="inlineStr">
        <is>
          <t>WayStar Group</t>
        </is>
      </c>
      <c r="E389" s="18" t="inlineStr">
        <is>
          <t>240340014287</t>
        </is>
      </c>
      <c r="F389" s="20" t="n"/>
      <c r="G389" s="20" t="n">
        <v>49174488.66</v>
      </c>
      <c r="H389" s="19" t="inlineStr">
        <is>
          <t>342</t>
        </is>
      </c>
      <c r="I389" s="18" t="inlineStr">
        <is>
          <t>INTERNAL</t>
        </is>
      </c>
      <c r="J389" s="18" t="inlineStr">
        <is>
          <t>Переводы между своими счетами</t>
        </is>
      </c>
      <c r="K389" s="19" t="inlineStr"/>
      <c r="L389" s="18" t="inlineStr">
        <is>
          <t xml:space="preserve">перевод в КЛС. Без НДС. Переводы клиентом денег с одного своего текущего счета, открытого </t>
        </is>
      </c>
    </row>
    <row r="390">
      <c r="A390" s="18" t="inlineStr">
        <is>
          <t>БЦК</t>
        </is>
      </c>
      <c r="B390" s="19" t="inlineStr">
        <is>
          <t>09.07.2026</t>
        </is>
      </c>
      <c r="C390" s="18" t="inlineStr">
        <is>
          <t>ТОО КТЖ-Грузовые перевозки</t>
        </is>
      </c>
      <c r="D390" s="18" t="inlineStr">
        <is>
          <t>КТЖ-Грузовые перевозки</t>
        </is>
      </c>
      <c r="E390" s="18" t="inlineStr">
        <is>
          <t>031040001799</t>
        </is>
      </c>
      <c r="F390" s="20" t="n"/>
      <c r="G390" s="20" t="n">
        <v>50000000</v>
      </c>
      <c r="H390" s="19" t="inlineStr">
        <is>
          <t>813</t>
        </is>
      </c>
      <c r="I390" s="18" t="inlineStr">
        <is>
          <t>COGS</t>
        </is>
      </c>
      <c r="J390" s="18" t="inlineStr">
        <is>
          <t>Ж/д тариф, вагоны, услуги перевозчиков</t>
        </is>
      </c>
      <c r="K390" s="19" t="inlineStr">
        <is>
          <t>ТЭО</t>
        </is>
      </c>
      <c r="L390" s="18" t="inlineStr">
        <is>
          <t>Без НДС, 4185494, Платежи за услуги железнодорожного транспорта</t>
        </is>
      </c>
    </row>
    <row r="391">
      <c r="A391" s="18" t="inlineStr">
        <is>
          <t>БЦК</t>
        </is>
      </c>
      <c r="B391" s="19" t="inlineStr">
        <is>
          <t>09.07.2026</t>
        </is>
      </c>
      <c r="C391" s="18" t="inlineStr">
        <is>
          <t xml:space="preserve">Товарищество с ограниченной ответственностью </t>
        </is>
      </c>
      <c r="D391" s="18" t="inlineStr">
        <is>
          <t>WayStar Group</t>
        </is>
      </c>
      <c r="E391" s="18" t="inlineStr">
        <is>
          <t>240340014287</t>
        </is>
      </c>
      <c r="F391" s="20" t="n"/>
      <c r="G391" s="20" t="n">
        <v>55300000</v>
      </c>
      <c r="H391" s="19" t="inlineStr">
        <is>
          <t>312</t>
        </is>
      </c>
      <c r="I391" s="18" t="inlineStr">
        <is>
          <t>TREASURY</t>
        </is>
      </c>
      <c r="J391" s="18" t="inlineStr">
        <is>
          <t>Размещение депозита</t>
        </is>
      </c>
      <c r="K391" s="19" t="inlineStr"/>
      <c r="L391" s="18" t="inlineStr">
        <is>
          <t>Размещение вклада</t>
        </is>
      </c>
    </row>
    <row r="392">
      <c r="A392" s="18" t="inlineStr">
        <is>
          <t>БЦК</t>
        </is>
      </c>
      <c r="B392" s="19" t="inlineStr">
        <is>
          <t>09.07.2026</t>
        </is>
      </c>
      <c r="C392" s="18" t="inlineStr">
        <is>
          <t>Акционерное Общество "Банк ЦентрКредит"</t>
        </is>
      </c>
      <c r="D392" s="18" t="inlineStr">
        <is>
          <t>Банк ЦентрКредит</t>
        </is>
      </c>
      <c r="E392" s="18" t="inlineStr">
        <is>
          <t>980640000093</t>
        </is>
      </c>
      <c r="F392" s="20" t="n"/>
      <c r="G392" s="20" t="n">
        <v>84299400</v>
      </c>
      <c r="H392" s="19" t="inlineStr">
        <is>
          <t>213</t>
        </is>
      </c>
      <c r="I392" s="18" t="inlineStr">
        <is>
          <t>TREASURY</t>
        </is>
      </c>
      <c r="J392" s="18" t="inlineStr">
        <is>
          <t>Покупка валюты (FX)</t>
        </is>
      </c>
      <c r="K392" s="19" t="inlineStr"/>
      <c r="L392" s="18" t="inlineStr">
        <is>
          <t>Покупка иностранной валюты TOD (день в день), ТОО "WayStar Group", БИН 240340014287. Заявк</t>
        </is>
      </c>
    </row>
    <row r="393">
      <c r="A393" s="18" t="inlineStr">
        <is>
          <t>БЦК</t>
        </is>
      </c>
      <c r="B393" s="19" t="inlineStr">
        <is>
          <t>09.07.2026</t>
        </is>
      </c>
      <c r="C393" s="18" t="inlineStr">
        <is>
          <t xml:space="preserve">Товарищество с ограниченной ответственностью </t>
        </is>
      </c>
      <c r="D393" s="18" t="inlineStr">
        <is>
          <t>WayStar Group</t>
        </is>
      </c>
      <c r="E393" s="18" t="inlineStr">
        <is>
          <t>240340014287</t>
        </is>
      </c>
      <c r="F393" s="20" t="n"/>
      <c r="G393" s="20" t="n">
        <v>92688764.93000001</v>
      </c>
      <c r="H393" s="19" t="inlineStr">
        <is>
          <t>312</t>
        </is>
      </c>
      <c r="I393" s="18" t="inlineStr">
        <is>
          <t>TREASURY</t>
        </is>
      </c>
      <c r="J393" s="18" t="inlineStr">
        <is>
          <t>Размещение депозита</t>
        </is>
      </c>
      <c r="K393" s="19" t="inlineStr"/>
      <c r="L393" s="18" t="inlineStr">
        <is>
          <t>Размещение вклада</t>
        </is>
      </c>
    </row>
    <row r="394">
      <c r="A394" s="18" t="inlineStr">
        <is>
          <t>БЦК</t>
        </is>
      </c>
      <c r="B394" s="19" t="inlineStr">
        <is>
          <t>09.07.2026</t>
        </is>
      </c>
      <c r="C394" s="18" t="inlineStr">
        <is>
          <t xml:space="preserve">Товарищество с ограниченной ответственностью </t>
        </is>
      </c>
      <c r="D394" s="18" t="inlineStr">
        <is>
          <t>WayStar Group</t>
        </is>
      </c>
      <c r="E394" s="18" t="inlineStr">
        <is>
          <t>240340014287</t>
        </is>
      </c>
      <c r="F394" s="20" t="n">
        <v>124627.99</v>
      </c>
      <c r="G394" s="20" t="n"/>
      <c r="H394" s="19" t="inlineStr">
        <is>
          <t>316</t>
        </is>
      </c>
      <c r="I394" s="18" t="inlineStr">
        <is>
          <t>FIN_INCOME</t>
        </is>
      </c>
      <c r="J394" s="18" t="inlineStr">
        <is>
          <t>% по депозиту</t>
        </is>
      </c>
      <c r="K394" s="19" t="inlineStr"/>
      <c r="L394" s="18" t="inlineStr">
        <is>
          <t>Выплата начисленного вознаграждения по депозитному договору № 01607034 от 24.07.2025 за пе</t>
        </is>
      </c>
    </row>
    <row r="395">
      <c r="A395" s="18" t="inlineStr">
        <is>
          <t>БЦК</t>
        </is>
      </c>
      <c r="B395" s="19" t="inlineStr">
        <is>
          <t>09.07.2026</t>
        </is>
      </c>
      <c r="C395" s="18" t="inlineStr">
        <is>
          <t>ТОО "WayStar Group"</t>
        </is>
      </c>
      <c r="D395" s="18" t="inlineStr">
        <is>
          <t>WayStar Group</t>
        </is>
      </c>
      <c r="E395" s="18" t="inlineStr">
        <is>
          <t>240340014287</t>
        </is>
      </c>
      <c r="F395" s="20" t="n">
        <v>1900000</v>
      </c>
      <c r="G395" s="20" t="n"/>
      <c r="H395" s="19" t="inlineStr">
        <is>
          <t>322</t>
        </is>
      </c>
      <c r="I395" s="18" t="inlineStr">
        <is>
          <t>TREASURY</t>
        </is>
      </c>
      <c r="J395" s="18" t="inlineStr">
        <is>
          <t>Снятие/возврат депозита</t>
        </is>
      </c>
      <c r="K395" s="19" t="inlineStr"/>
      <c r="L395" s="18" t="inlineStr">
        <is>
          <t>Без НДС. Снятие с краткосрочного вклада (не более одного года)</t>
        </is>
      </c>
    </row>
    <row r="396">
      <c r="A396" s="18" t="inlineStr">
        <is>
          <t>БЦК</t>
        </is>
      </c>
      <c r="B396" s="19" t="inlineStr">
        <is>
          <t>09.07.2026</t>
        </is>
      </c>
      <c r="C396" s="18" t="inlineStr">
        <is>
          <t>ТОО  "WayStar Group"</t>
        </is>
      </c>
      <c r="D396" s="18" t="inlineStr">
        <is>
          <t>WayStar Group</t>
        </is>
      </c>
      <c r="E396" s="18" t="inlineStr">
        <is>
          <t>240340014287</t>
        </is>
      </c>
      <c r="F396" s="20" t="n">
        <v>57300000</v>
      </c>
      <c r="G396" s="20" t="n"/>
      <c r="H396" s="19" t="inlineStr">
        <is>
          <t>343</t>
        </is>
      </c>
      <c r="I396" s="18" t="inlineStr">
        <is>
          <t>INTERNAL</t>
        </is>
      </c>
      <c r="J396" s="18" t="inlineStr">
        <is>
          <t>Переводы между своими счетами</t>
        </is>
      </c>
      <c r="K396" s="19" t="inlineStr"/>
      <c r="L396" s="18" t="inlineStr">
        <is>
          <t>перевод на другой счет Переводы клиентом денег со своего текущего счета в одном банке, фил</t>
        </is>
      </c>
    </row>
    <row r="397">
      <c r="A397" s="18" t="inlineStr">
        <is>
          <t>БЦК</t>
        </is>
      </c>
      <c r="B397" s="19" t="inlineStr">
        <is>
          <t>09.07.2026</t>
        </is>
      </c>
      <c r="C397" s="18" t="inlineStr">
        <is>
          <t xml:space="preserve">Товарищество с ограниченной ответственностью </t>
        </is>
      </c>
      <c r="D397" s="18" t="inlineStr">
        <is>
          <t>WayStar Group</t>
        </is>
      </c>
      <c r="E397" s="18" t="inlineStr">
        <is>
          <t>240340014287</t>
        </is>
      </c>
      <c r="F397" s="20" t="n">
        <v>369080835.75</v>
      </c>
      <c r="G397" s="20" t="n"/>
      <c r="H397" s="19" t="inlineStr">
        <is>
          <t>322</t>
        </is>
      </c>
      <c r="I397" s="18" t="inlineStr">
        <is>
          <t>TREASURY</t>
        </is>
      </c>
      <c r="J397" s="18" t="inlineStr">
        <is>
          <t>Снятие/возврат депозита</t>
        </is>
      </c>
      <c r="K397" s="19" t="inlineStr"/>
      <c r="L397" s="18" t="inlineStr">
        <is>
          <t>Частичная выплата вклада по депозитному договору № 01607034 от 09.07.2026 в размере 369080</t>
        </is>
      </c>
    </row>
    <row r="398">
      <c r="A398" s="18" t="inlineStr">
        <is>
          <t>Halyk</t>
        </is>
      </c>
      <c r="B398" s="19" t="inlineStr">
        <is>
          <t>10.07.2026</t>
        </is>
      </c>
      <c r="C398" s="18" t="inlineStr">
        <is>
          <t>ТОО "GREENLIGHTS (ГРИНЛАЙТС)"</t>
        </is>
      </c>
      <c r="D398" s="18" t="inlineStr">
        <is>
          <t>GREENLIGHTS (ГРИНЛАЙТС)</t>
        </is>
      </c>
      <c r="E398" s="18" t="inlineStr">
        <is>
          <t>210840025853</t>
        </is>
      </c>
      <c r="F398" s="20" t="n">
        <v>1377500</v>
      </c>
      <c r="G398" s="20" t="n"/>
      <c r="H398" s="19" t="inlineStr">
        <is>
          <t>813</t>
        </is>
      </c>
      <c r="I398" s="18" t="inlineStr">
        <is>
          <t>REVENUE</t>
        </is>
      </c>
      <c r="J398" s="18" t="inlineStr">
        <is>
          <t>Выручка: транспортно-логистические услуги</t>
        </is>
      </c>
      <c r="K398" s="19" t="inlineStr">
        <is>
          <t>ТЭО</t>
        </is>
      </c>
      <c r="L398" s="18" t="inlineStr">
        <is>
          <t>Референс 4021637382 Оперирование собстенным ПС согл счету №158 от 25.06.2026 Сумма 1377500</t>
        </is>
      </c>
    </row>
    <row r="399">
      <c r="A399" s="18" t="inlineStr">
        <is>
          <t>БЦК</t>
        </is>
      </c>
      <c r="B399" s="19" t="inlineStr">
        <is>
          <t>10.07.2026</t>
        </is>
      </c>
      <c r="C399" s="18" t="inlineStr">
        <is>
          <t>Частная компания WayStar Service Limited</t>
        </is>
      </c>
      <c r="D399" s="18" t="inlineStr">
        <is>
          <t>WayStar Service Limited</t>
        </is>
      </c>
      <c r="E399" s="18" t="inlineStr">
        <is>
          <t>260540900770</t>
        </is>
      </c>
      <c r="F399" s="20" t="n"/>
      <c r="G399" s="20" t="n">
        <v>120000</v>
      </c>
      <c r="H399" s="19" t="inlineStr">
        <is>
          <t>411</t>
        </is>
      </c>
      <c r="I399" s="18" t="inlineStr">
        <is>
          <t>FINANCING</t>
        </is>
      </c>
      <c r="J399" s="18" t="inlineStr">
        <is>
          <t>Погашение / выдача займов</t>
        </is>
      </c>
      <c r="K399" s="19" t="inlineStr"/>
      <c r="L399" s="18" t="inlineStr">
        <is>
          <t>выдача займа. Без НДС. Выдача краткосрочных займов (не более одного года)</t>
        </is>
      </c>
    </row>
    <row r="400">
      <c r="A400" s="18" t="inlineStr">
        <is>
          <t>БЦК</t>
        </is>
      </c>
      <c r="B400" s="19" t="inlineStr">
        <is>
          <t>10.07.2026</t>
        </is>
      </c>
      <c r="C400" s="18" t="inlineStr">
        <is>
          <t xml:space="preserve">Товарищество с ограниченной ответственностью </t>
        </is>
      </c>
      <c r="D400" s="18" t="inlineStr">
        <is>
          <t>Asia Railways Tracking Service (Азия Рэилвейс Трекинг Сервис)</t>
        </is>
      </c>
      <c r="E400" s="18" t="inlineStr">
        <is>
          <t>130540005778</t>
        </is>
      </c>
      <c r="F400" s="20" t="n"/>
      <c r="G400" s="20" t="n">
        <v>500000</v>
      </c>
      <c r="H400" s="19" t="inlineStr">
        <is>
          <t>813</t>
        </is>
      </c>
      <c r="I400" s="18" t="inlineStr">
        <is>
          <t>COGS</t>
        </is>
      </c>
      <c r="J400" s="18" t="inlineStr">
        <is>
          <t>Ж/д тариф, вагоны, услуги перевозчиков</t>
        </is>
      </c>
      <c r="K400" s="19" t="inlineStr">
        <is>
          <t>ТЭО</t>
        </is>
      </c>
      <c r="L400" s="18" t="inlineStr">
        <is>
          <t>Счет № И-1807 от 10.07.2026 г. Договор № D-0071124 от 07.11.2024 г. Авансовая оплата за ди</t>
        </is>
      </c>
    </row>
    <row r="401">
      <c r="A401" s="18" t="inlineStr">
        <is>
          <t>БЦК</t>
        </is>
      </c>
      <c r="B401" s="19" t="inlineStr">
        <is>
          <t>10.07.2026</t>
        </is>
      </c>
      <c r="C401" s="18" t="inlineStr">
        <is>
          <t>ТОО КТЖ-Грузовые перевозки</t>
        </is>
      </c>
      <c r="D401" s="18" t="inlineStr">
        <is>
          <t>КТЖ-Грузовые перевозки</t>
        </is>
      </c>
      <c r="E401" s="18" t="inlineStr">
        <is>
          <t>031040001799</t>
        </is>
      </c>
      <c r="F401" s="20" t="n"/>
      <c r="G401" s="20" t="n">
        <v>15000000</v>
      </c>
      <c r="H401" s="19" t="inlineStr">
        <is>
          <t>813</t>
        </is>
      </c>
      <c r="I401" s="18" t="inlineStr">
        <is>
          <t>COGS</t>
        </is>
      </c>
      <c r="J401" s="18" t="inlineStr">
        <is>
          <t>Ж/д тариф, вагоны, услуги перевозчиков</t>
        </is>
      </c>
      <c r="K401" s="19" t="inlineStr">
        <is>
          <t>ТЭО</t>
        </is>
      </c>
      <c r="L401" s="18" t="inlineStr">
        <is>
          <t>Без НДС, 4185494, Платежи за услуги железнодорожного транспорта</t>
        </is>
      </c>
    </row>
    <row r="402">
      <c r="A402" s="18" t="inlineStr">
        <is>
          <t>БЦК</t>
        </is>
      </c>
      <c r="B402" s="19" t="inlineStr">
        <is>
          <t>10.07.2026</t>
        </is>
      </c>
      <c r="C402" s="18" t="inlineStr">
        <is>
          <t xml:space="preserve">Товарищество с ограниченной ответственностью </t>
        </is>
      </c>
      <c r="D402" s="18" t="inlineStr">
        <is>
          <t>WayStar Group</t>
        </is>
      </c>
      <c r="E402" s="18" t="inlineStr">
        <is>
          <t>240340014287</t>
        </is>
      </c>
      <c r="F402" s="20" t="n"/>
      <c r="G402" s="20" t="n">
        <v>145518094.9</v>
      </c>
      <c r="H402" s="19" t="inlineStr">
        <is>
          <t>312</t>
        </is>
      </c>
      <c r="I402" s="18" t="inlineStr">
        <is>
          <t>TREASURY</t>
        </is>
      </c>
      <c r="J402" s="18" t="inlineStr">
        <is>
          <t>Размещение депозита</t>
        </is>
      </c>
      <c r="K402" s="19" t="inlineStr"/>
      <c r="L402" s="18" t="inlineStr">
        <is>
          <t>Размещение вклада</t>
        </is>
      </c>
    </row>
    <row r="403">
      <c r="A403" s="18" t="inlineStr">
        <is>
          <t>БЦК</t>
        </is>
      </c>
      <c r="B403" s="19" t="inlineStr">
        <is>
          <t>10.07.2026</t>
        </is>
      </c>
      <c r="C403" s="18" t="inlineStr">
        <is>
          <t xml:space="preserve">Товарищество с ограниченной ответственностью </t>
        </is>
      </c>
      <c r="D403" s="18" t="inlineStr">
        <is>
          <t>WayStar Group</t>
        </is>
      </c>
      <c r="E403" s="18" t="inlineStr">
        <is>
          <t>240340014287</t>
        </is>
      </c>
      <c r="F403" s="20" t="n">
        <v>49329.97</v>
      </c>
      <c r="G403" s="20" t="n"/>
      <c r="H403" s="19" t="inlineStr">
        <is>
          <t>316</t>
        </is>
      </c>
      <c r="I403" s="18" t="inlineStr">
        <is>
          <t>FIN_INCOME</t>
        </is>
      </c>
      <c r="J403" s="18" t="inlineStr">
        <is>
          <t>% по депозиту</t>
        </is>
      </c>
      <c r="K403" s="19" t="inlineStr"/>
      <c r="L403" s="18" t="inlineStr">
        <is>
          <t>Выплата начисленного вознаграждения по депозитному договору № 01607034 от 24.07.2025 за пе</t>
        </is>
      </c>
    </row>
    <row r="404">
      <c r="A404" s="18" t="inlineStr">
        <is>
          <t>БЦК</t>
        </is>
      </c>
      <c r="B404" s="19" t="inlineStr">
        <is>
          <t>10.07.2026</t>
        </is>
      </c>
      <c r="C404" s="18" t="inlineStr">
        <is>
          <t>ТОО "WayStar Group"</t>
        </is>
      </c>
      <c r="D404" s="18" t="inlineStr">
        <is>
          <t>WayStar Group</t>
        </is>
      </c>
      <c r="E404" s="18" t="inlineStr">
        <is>
          <t>240340014287</t>
        </is>
      </c>
      <c r="F404" s="20" t="n">
        <v>15000000</v>
      </c>
      <c r="G404" s="20" t="n"/>
      <c r="H404" s="19" t="inlineStr">
        <is>
          <t>322</t>
        </is>
      </c>
      <c r="I404" s="18" t="inlineStr">
        <is>
          <t>TREASURY</t>
        </is>
      </c>
      <c r="J404" s="18" t="inlineStr">
        <is>
          <t>Снятие/возврат депозита</t>
        </is>
      </c>
      <c r="K404" s="19" t="inlineStr"/>
      <c r="L404" s="18" t="inlineStr">
        <is>
          <t>Без НДС. Снятие с краткосрочного вклада (не более одного года)</t>
        </is>
      </c>
    </row>
    <row r="405">
      <c r="A405" s="18" t="inlineStr">
        <is>
          <t>БЦК</t>
        </is>
      </c>
      <c r="B405" s="19" t="inlineStr">
        <is>
          <t>10.07.2026</t>
        </is>
      </c>
      <c r="C405" s="18" t="inlineStr">
        <is>
          <t xml:space="preserve">Товарищество с ограниченной ответственностью </t>
        </is>
      </c>
      <c r="D405" s="18" t="inlineStr">
        <is>
          <t>WayStar Group</t>
        </is>
      </c>
      <c r="E405" s="18" t="inlineStr">
        <is>
          <t>240340014287</t>
        </is>
      </c>
      <c r="F405" s="20" t="n">
        <v>146088764.93</v>
      </c>
      <c r="G405" s="20" t="n"/>
      <c r="H405" s="19" t="inlineStr">
        <is>
          <t>322</t>
        </is>
      </c>
      <c r="I405" s="18" t="inlineStr">
        <is>
          <t>TREASURY</t>
        </is>
      </c>
      <c r="J405" s="18" t="inlineStr">
        <is>
          <t>Снятие/возврат депозита</t>
        </is>
      </c>
      <c r="K405" s="19" t="inlineStr"/>
      <c r="L405" s="18" t="inlineStr">
        <is>
          <t>Частичная выплата вклада по депозитному договору № 01607034 от 10.07.2026 в размере 146088</t>
        </is>
      </c>
    </row>
    <row r="406">
      <c r="A406" s="18" t="inlineStr">
        <is>
          <t>БЦК</t>
        </is>
      </c>
      <c r="B406" s="19" t="inlineStr">
        <is>
          <t>11.07.2026</t>
        </is>
      </c>
      <c r="C406" s="18" t="inlineStr">
        <is>
          <t xml:space="preserve">Товарищество с ограниченной ответственностью </t>
        </is>
      </c>
      <c r="D406" s="18" t="inlineStr">
        <is>
          <t>WayStar Group</t>
        </is>
      </c>
      <c r="E406" s="18" t="inlineStr">
        <is>
          <t>240340014287</t>
        </is>
      </c>
      <c r="F406" s="20" t="n">
        <v>44072.2</v>
      </c>
      <c r="G406" s="20" t="n"/>
      <c r="H406" s="19" t="inlineStr">
        <is>
          <t>316</t>
        </is>
      </c>
      <c r="I406" s="18" t="inlineStr">
        <is>
          <t>FIN_INCOME</t>
        </is>
      </c>
      <c r="J406" s="18" t="inlineStr">
        <is>
          <t>% по депозиту</t>
        </is>
      </c>
      <c r="K406" s="19" t="inlineStr"/>
      <c r="L406" s="18" t="inlineStr">
        <is>
          <t>Выплата начисленного вознаграждения по депозитному договору № 01607034 от 24.07.2025 за пе</t>
        </is>
      </c>
    </row>
    <row r="407">
      <c r="A407" s="18" t="inlineStr">
        <is>
          <t>БЦК</t>
        </is>
      </c>
      <c r="B407" s="19" t="inlineStr">
        <is>
          <t>12.07.2026</t>
        </is>
      </c>
      <c r="C407" s="18" t="inlineStr">
        <is>
          <t>Акционерное Общество "Банк ЦентрКредит"</t>
        </is>
      </c>
      <c r="D407" s="18" t="inlineStr">
        <is>
          <t>Банк ЦентрКредит</t>
        </is>
      </c>
      <c r="E407" s="18" t="inlineStr">
        <is>
          <t>980640000093</t>
        </is>
      </c>
      <c r="F407" s="20" t="n"/>
      <c r="G407" s="20" t="n">
        <v>150184.23</v>
      </c>
      <c r="H407" s="19" t="inlineStr">
        <is>
          <t>710</t>
        </is>
      </c>
      <c r="I407" s="18" t="inlineStr">
        <is>
          <t>OPEX</t>
        </is>
      </c>
      <c r="J407" s="18" t="inlineStr">
        <is>
          <t>ТМЦ / офисные расходы</t>
        </is>
      </c>
      <c r="K407" s="19" t="inlineStr"/>
      <c r="L407" s="18" t="inlineStr">
        <is>
          <t>Retail. Номер устройства в ПЦ, 09.07.2026 00:00:00, IRL, CC GOOGLE.COM, GOOGLE*WORKSPACE W</t>
        </is>
      </c>
    </row>
    <row r="408">
      <c r="A408" s="18" t="inlineStr">
        <is>
          <t>БЦК</t>
        </is>
      </c>
      <c r="B408" s="19" t="inlineStr">
        <is>
          <t>12.07.2026</t>
        </is>
      </c>
      <c r="C408" s="18" t="inlineStr">
        <is>
          <t xml:space="preserve">Товарищество с ограниченной ответственностью </t>
        </is>
      </c>
      <c r="D408" s="18" t="inlineStr">
        <is>
          <t>WayStar Group</t>
        </is>
      </c>
      <c r="E408" s="18" t="inlineStr">
        <is>
          <t>240340014287</t>
        </is>
      </c>
      <c r="F408" s="20" t="n">
        <v>44072.21</v>
      </c>
      <c r="G408" s="20" t="n"/>
      <c r="H408" s="19" t="inlineStr">
        <is>
          <t>316</t>
        </is>
      </c>
      <c r="I408" s="18" t="inlineStr">
        <is>
          <t>FIN_INCOME</t>
        </is>
      </c>
      <c r="J408" s="18" t="inlineStr">
        <is>
          <t>% по депозиту</t>
        </is>
      </c>
      <c r="K408" s="19" t="inlineStr"/>
      <c r="L408" s="18" t="inlineStr">
        <is>
          <t>Выплата начисленного вознаграждения по депозитному договору № 01607034 от 24.07.2025 за пе</t>
        </is>
      </c>
    </row>
    <row r="409">
      <c r="A409" s="18" t="inlineStr">
        <is>
          <t>Halyk</t>
        </is>
      </c>
      <c r="B409" s="19" t="inlineStr">
        <is>
          <t>13.07.2026</t>
        </is>
      </c>
      <c r="C409" s="18" t="inlineStr">
        <is>
          <t xml:space="preserve">Астанинский городской филиал Народного Банка </t>
        </is>
      </c>
      <c r="D409" s="18" t="inlineStr">
        <is>
          <t>Астанинский городской филиал Народного Банка Казахстана</t>
        </is>
      </c>
      <c r="E409" s="18" t="inlineStr">
        <is>
          <t>950341000052</t>
        </is>
      </c>
      <c r="F409" s="20" t="n"/>
      <c r="G409" s="20" t="n">
        <v>300</v>
      </c>
      <c r="H409" s="19" t="inlineStr">
        <is>
          <t>842</t>
        </is>
      </c>
      <c r="I409" s="18" t="inlineStr">
        <is>
          <t>OPEX</t>
        </is>
      </c>
      <c r="J409" s="18" t="inlineStr">
        <is>
          <t>Банковские услуги</t>
        </is>
      </c>
      <c r="K409" s="19" t="inlineStr"/>
      <c r="L409" s="18" t="inlineStr">
        <is>
          <t>Референс 4024610746 За операцию. Информационные справки, предоставляемые по запросу клиент</t>
        </is>
      </c>
    </row>
    <row r="410">
      <c r="A410" s="18" t="inlineStr">
        <is>
          <t>Halyk</t>
        </is>
      </c>
      <c r="B410" s="19" t="inlineStr">
        <is>
          <t>13.07.2026</t>
        </is>
      </c>
      <c r="C410" s="18" t="inlineStr">
        <is>
          <t xml:space="preserve">Астанинский городской филиал Народного Банка </t>
        </is>
      </c>
      <c r="D410" s="18" t="inlineStr">
        <is>
          <t>Астанинский городской филиал Народного Банка Казахстана</t>
        </is>
      </c>
      <c r="E410" s="18" t="inlineStr">
        <is>
          <t>950341000052</t>
        </is>
      </c>
      <c r="F410" s="20" t="n"/>
      <c r="G410" s="20" t="n">
        <v>300</v>
      </c>
      <c r="H410" s="19" t="inlineStr">
        <is>
          <t>842</t>
        </is>
      </c>
      <c r="I410" s="18" t="inlineStr">
        <is>
          <t>OPEX</t>
        </is>
      </c>
      <c r="J410" s="18" t="inlineStr">
        <is>
          <t>Банковские услуги</t>
        </is>
      </c>
      <c r="K410" s="19" t="inlineStr"/>
      <c r="L410" s="18" t="inlineStr">
        <is>
          <t>Референс 4024610144 За операцию. Информационные справки, предоставляемые по запросу клиент</t>
        </is>
      </c>
    </row>
    <row r="411">
      <c r="A411" s="18" t="inlineStr">
        <is>
          <t>RBK</t>
        </is>
      </c>
      <c r="B411" s="19" t="inlineStr">
        <is>
          <t>13.07.2026</t>
        </is>
      </c>
      <c r="C411" s="18" t="inlineStr">
        <is>
          <t>ФИЛИАЛ АО "BANK RBK" В Г.АСТАНА</t>
        </is>
      </c>
      <c r="D411" s="18" t="inlineStr">
        <is>
          <t>ФИЛИАЛ АО "BANK RBK" В Г.АСТАНА</t>
        </is>
      </c>
      <c r="E411" s="18" t="inlineStr">
        <is>
          <t>111141019679</t>
        </is>
      </c>
      <c r="F411" s="20" t="n"/>
      <c r="G411" s="20" t="n">
        <v>2000</v>
      </c>
      <c r="H411" s="19" t="inlineStr"/>
      <c r="I411" s="18" t="inlineStr">
        <is>
          <t>OPEX</t>
        </is>
      </c>
      <c r="J411" s="18" t="inlineStr">
        <is>
          <t>Прочие услуги и расходы</t>
        </is>
      </c>
      <c r="K411" s="19" t="inlineStr"/>
      <c r="L411" s="18" t="inlineStr">
        <is>
          <t xml:space="preserve">Анықтамалар мен хаттар ұсынған үшін комиссия, оның ішінде ҚҚС/ Комиссия за предоставление </t>
        </is>
      </c>
    </row>
    <row r="412">
      <c r="A412" s="18" t="inlineStr">
        <is>
          <t>БЦК</t>
        </is>
      </c>
      <c r="B412" s="19" t="inlineStr">
        <is>
          <t>13.07.2026</t>
        </is>
      </c>
      <c r="C412" s="18" t="inlineStr">
        <is>
          <t xml:space="preserve">Товарищество с ограниченной ответственностью </t>
        </is>
      </c>
      <c r="D412" s="18" t="inlineStr">
        <is>
          <t>WayStar Group</t>
        </is>
      </c>
      <c r="E412" s="18" t="inlineStr">
        <is>
          <t>240340014287</t>
        </is>
      </c>
      <c r="F412" s="20" t="n"/>
      <c r="G412" s="20" t="n">
        <v>128989.78</v>
      </c>
      <c r="H412" s="19" t="inlineStr">
        <is>
          <t>421</t>
        </is>
      </c>
      <c r="I412" s="18" t="inlineStr">
        <is>
          <t>FINANCING</t>
        </is>
      </c>
      <c r="J412" s="18" t="inlineStr">
        <is>
          <t>Погашение / выдача займов</t>
        </is>
      </c>
      <c r="K412" s="19" t="inlineStr"/>
      <c r="L412" s="18" t="inlineStr">
        <is>
          <t>Погашение вознаграждения по договору № AQ5/2024/U/S/120240/0003L от 23.06.2026. Заемщик: Т</t>
        </is>
      </c>
    </row>
    <row r="413">
      <c r="A413" s="18" t="inlineStr">
        <is>
          <t>БЦК</t>
        </is>
      </c>
      <c r="B413" s="19" t="inlineStr">
        <is>
          <t>13.07.2026</t>
        </is>
      </c>
      <c r="C413" s="18" t="inlineStr">
        <is>
          <t>Банк ЦентрКредит для ЗП</t>
        </is>
      </c>
      <c r="D413" s="18" t="inlineStr">
        <is>
          <t>Банк ЦентрКредит для ЗП</t>
        </is>
      </c>
      <c r="E413" s="18" t="inlineStr">
        <is>
          <t>980640000093</t>
        </is>
      </c>
      <c r="F413" s="20" t="n"/>
      <c r="G413" s="20" t="n">
        <v>170000</v>
      </c>
      <c r="H413" s="19" t="inlineStr">
        <is>
          <t>332</t>
        </is>
      </c>
      <c r="I413" s="18" t="inlineStr">
        <is>
          <t>OPEX</t>
        </is>
      </c>
      <c r="J413" s="18" t="inlineStr">
        <is>
          <t>Оплата труда</t>
        </is>
      </c>
      <c r="K413" s="19" t="inlineStr"/>
      <c r="L413" s="18" t="inlineStr">
        <is>
          <t>Для зачисления на картсчета сотрудникам согласно спискам 170 000-00 теңге.</t>
        </is>
      </c>
    </row>
    <row r="414">
      <c r="A414" s="18" t="inlineStr">
        <is>
          <t>БЦК</t>
        </is>
      </c>
      <c r="B414" s="19" t="inlineStr">
        <is>
          <t>13.07.2026</t>
        </is>
      </c>
      <c r="C414" s="18" t="inlineStr">
        <is>
          <t xml:space="preserve">Товарищество с ограниченной ответственностью </t>
        </is>
      </c>
      <c r="D414" s="18" t="inlineStr">
        <is>
          <t>WayStar Group</t>
        </is>
      </c>
      <c r="E414" s="18" t="inlineStr">
        <is>
          <t>240340014287</t>
        </is>
      </c>
      <c r="F414" s="20" t="n"/>
      <c r="G414" s="20" t="n">
        <v>326408.76</v>
      </c>
      <c r="H414" s="19" t="inlineStr">
        <is>
          <t>423</t>
        </is>
      </c>
      <c r="I414" s="18" t="inlineStr">
        <is>
          <t>FIN_COST</t>
        </is>
      </c>
      <c r="J414" s="18" t="inlineStr">
        <is>
          <t>Проценты и пени по кредитам</t>
        </is>
      </c>
      <c r="K414" s="19" t="inlineStr"/>
      <c r="L414" s="18" t="inlineStr">
        <is>
          <t>Погашение вознаграждения по договору № AQ5/2024/U/S/120240/0002L от 25.11.25. Заемщик: Тов</t>
        </is>
      </c>
    </row>
    <row r="415">
      <c r="A415" s="18" t="inlineStr">
        <is>
          <t>БЦК</t>
        </is>
      </c>
      <c r="B415" s="19" t="inlineStr">
        <is>
          <t>13.07.2026</t>
        </is>
      </c>
      <c r="C415" s="18" t="inlineStr">
        <is>
          <t xml:space="preserve">Товарищество с ограниченной ответственностью </t>
        </is>
      </c>
      <c r="D415" s="18" t="inlineStr">
        <is>
          <t>WayStar Group</t>
        </is>
      </c>
      <c r="E415" s="18" t="inlineStr">
        <is>
          <t>240340014287</t>
        </is>
      </c>
      <c r="F415" s="20" t="n"/>
      <c r="G415" s="20" t="n">
        <v>755767.0699999999</v>
      </c>
      <c r="H415" s="19" t="inlineStr">
        <is>
          <t>421</t>
        </is>
      </c>
      <c r="I415" s="18" t="inlineStr">
        <is>
          <t>FINANCING</t>
        </is>
      </c>
      <c r="J415" s="18" t="inlineStr">
        <is>
          <t>Погашение / выдача займов</t>
        </is>
      </c>
      <c r="K415" s="19" t="inlineStr"/>
      <c r="L415" s="18" t="inlineStr">
        <is>
          <t>Погашение вознаграждения по договору № AQ5/2024/U/S/120240/0003L от 23.06.2026. Заемщик: Т</t>
        </is>
      </c>
    </row>
    <row r="416">
      <c r="A416" s="18" t="inlineStr">
        <is>
          <t>БЦК</t>
        </is>
      </c>
      <c r="B416" s="19" t="inlineStr">
        <is>
          <t>13.07.2026</t>
        </is>
      </c>
      <c r="C416" s="18" t="inlineStr">
        <is>
          <t>ТОО КТЖ-Грузовые перевозки</t>
        </is>
      </c>
      <c r="D416" s="18" t="inlineStr">
        <is>
          <t>КТЖ-Грузовые перевозки</t>
        </is>
      </c>
      <c r="E416" s="18" t="inlineStr">
        <is>
          <t>031040001799</t>
        </is>
      </c>
      <c r="F416" s="20" t="n"/>
      <c r="G416" s="20" t="n">
        <v>5000000</v>
      </c>
      <c r="H416" s="19" t="inlineStr">
        <is>
          <t>813</t>
        </is>
      </c>
      <c r="I416" s="18" t="inlineStr">
        <is>
          <t>COGS</t>
        </is>
      </c>
      <c r="J416" s="18" t="inlineStr">
        <is>
          <t>Ж/д тариф, вагоны, услуги перевозчиков</t>
        </is>
      </c>
      <c r="K416" s="19" t="inlineStr">
        <is>
          <t>ТЭО</t>
        </is>
      </c>
      <c r="L416" s="18" t="inlineStr">
        <is>
          <t>Без НДС, 4185494, Платежи за услуги железнодорожного транспорта</t>
        </is>
      </c>
    </row>
    <row r="417">
      <c r="A417" s="18" t="inlineStr">
        <is>
          <t>БЦК</t>
        </is>
      </c>
      <c r="B417" s="19" t="inlineStr">
        <is>
          <t>13.07.2026</t>
        </is>
      </c>
      <c r="C417" s="18" t="inlineStr">
        <is>
          <t>ТОО КТЖ-Грузовые перевозки</t>
        </is>
      </c>
      <c r="D417" s="18" t="inlineStr">
        <is>
          <t>КТЖ-Грузовые перевозки</t>
        </is>
      </c>
      <c r="E417" s="18" t="inlineStr">
        <is>
          <t>031040001799</t>
        </is>
      </c>
      <c r="F417" s="20" t="n"/>
      <c r="G417" s="20" t="n">
        <v>15000000</v>
      </c>
      <c r="H417" s="19" t="inlineStr">
        <is>
          <t>813</t>
        </is>
      </c>
      <c r="I417" s="18" t="inlineStr">
        <is>
          <t>COGS</t>
        </is>
      </c>
      <c r="J417" s="18" t="inlineStr">
        <is>
          <t>Ж/д тариф, вагоны, услуги перевозчиков</t>
        </is>
      </c>
      <c r="K417" s="19" t="inlineStr">
        <is>
          <t>ТЭО</t>
        </is>
      </c>
      <c r="L417" s="18" t="inlineStr">
        <is>
          <t>Без НДС, 4185494, Платежи за услуги железнодорожного транспорта</t>
        </is>
      </c>
    </row>
    <row r="418">
      <c r="A418" s="18" t="inlineStr">
        <is>
          <t>БЦК</t>
        </is>
      </c>
      <c r="B418" s="19" t="inlineStr">
        <is>
          <t>13.07.2026</t>
        </is>
      </c>
      <c r="C418" s="18" t="inlineStr">
        <is>
          <t xml:space="preserve">Товарищество с ограниченной ответственностью </t>
        </is>
      </c>
      <c r="D418" s="18" t="inlineStr">
        <is>
          <t>WayStar Group</t>
        </is>
      </c>
      <c r="E418" s="18" t="inlineStr">
        <is>
          <t>240340014287</t>
        </is>
      </c>
      <c r="F418" s="20" t="n"/>
      <c r="G418" s="20" t="n">
        <v>109265919.07</v>
      </c>
      <c r="H418" s="19" t="inlineStr">
        <is>
          <t>312</t>
        </is>
      </c>
      <c r="I418" s="18" t="inlineStr">
        <is>
          <t>TREASURY</t>
        </is>
      </c>
      <c r="J418" s="18" t="inlineStr">
        <is>
          <t>Размещение депозита</t>
        </is>
      </c>
      <c r="K418" s="19" t="inlineStr"/>
      <c r="L418" s="18" t="inlineStr">
        <is>
          <t>Размещение вклада</t>
        </is>
      </c>
    </row>
    <row r="419">
      <c r="A419" s="18" t="inlineStr">
        <is>
          <t>БЦК</t>
        </is>
      </c>
      <c r="B419" s="19" t="inlineStr">
        <is>
          <t>13.07.2026</t>
        </is>
      </c>
      <c r="C419" s="18" t="inlineStr">
        <is>
          <t xml:space="preserve">Товарищество с ограниченной ответственностью </t>
        </is>
      </c>
      <c r="D419" s="18" t="inlineStr">
        <is>
          <t>WayStar Group</t>
        </is>
      </c>
      <c r="E419" s="18" t="inlineStr">
        <is>
          <t>240340014287</t>
        </is>
      </c>
      <c r="F419" s="20" t="n">
        <v>44072.2</v>
      </c>
      <c r="G419" s="20" t="n"/>
      <c r="H419" s="19" t="inlineStr">
        <is>
          <t>316</t>
        </is>
      </c>
      <c r="I419" s="18" t="inlineStr">
        <is>
          <t>FIN_INCOME</t>
        </is>
      </c>
      <c r="J419" s="18" t="inlineStr">
        <is>
          <t>% по депозиту</t>
        </is>
      </c>
      <c r="K419" s="19" t="inlineStr"/>
      <c r="L419" s="18" t="inlineStr">
        <is>
          <t>Выплата начисленного вознаграждения по депозитному договору № 01607034 от 24.07.2025 за пе</t>
        </is>
      </c>
    </row>
    <row r="420">
      <c r="A420" s="18" t="inlineStr">
        <is>
          <t>БЦК</t>
        </is>
      </c>
      <c r="B420" s="19" t="inlineStr">
        <is>
          <t>13.07.2026</t>
        </is>
      </c>
      <c r="C420" s="18" t="inlineStr">
        <is>
          <t xml:space="preserve">Товарищество с ограниченной ответственностью </t>
        </is>
      </c>
      <c r="D420" s="18" t="inlineStr">
        <is>
          <t>WayStar Group</t>
        </is>
      </c>
      <c r="E420" s="18" t="inlineStr">
        <is>
          <t>240340014287</t>
        </is>
      </c>
      <c r="F420" s="20" t="n">
        <v>130518094.9</v>
      </c>
      <c r="G420" s="20" t="n"/>
      <c r="H420" s="19" t="inlineStr">
        <is>
          <t>322</t>
        </is>
      </c>
      <c r="I420" s="18" t="inlineStr">
        <is>
          <t>TREASURY</t>
        </is>
      </c>
      <c r="J420" s="18" t="inlineStr">
        <is>
          <t>Снятие/возврат депозита</t>
        </is>
      </c>
      <c r="K420" s="19" t="inlineStr"/>
      <c r="L420" s="18" t="inlineStr">
        <is>
          <t>Частичная выплата вклада по депозитному договору № 01607034 от 13.07.2026 в размере 130518</t>
        </is>
      </c>
    </row>
    <row r="421">
      <c r="A421" s="18" t="inlineStr">
        <is>
          <t>Halyk</t>
        </is>
      </c>
      <c r="B421" s="19" t="inlineStr">
        <is>
          <t>14.07.2026</t>
        </is>
      </c>
      <c r="C421" s="18" t="inlineStr">
        <is>
          <t>ТОО "Serpin Logistic"</t>
        </is>
      </c>
      <c r="D421" s="18" t="inlineStr">
        <is>
          <t>Serpin Logistic</t>
        </is>
      </c>
      <c r="E421" s="18" t="inlineStr">
        <is>
          <t>260340004848</t>
        </is>
      </c>
      <c r="F421" s="20" t="n">
        <v>500000</v>
      </c>
      <c r="G421" s="20" t="n"/>
      <c r="H421" s="19" t="inlineStr">
        <is>
          <t>813</t>
        </is>
      </c>
      <c r="I421" s="18" t="inlineStr">
        <is>
          <t>REVENUE</t>
        </is>
      </c>
      <c r="J421" s="18" t="inlineStr">
        <is>
          <t>Выручка: транспортно-логистические услуги</t>
        </is>
      </c>
      <c r="K421" s="19" t="inlineStr">
        <is>
          <t>ТЭО</t>
        </is>
      </c>
      <c r="L421" s="18" t="inlineStr">
        <is>
          <t>Референс 4026516254 Оплата Ж/Д тарифа, согласно счета на оплату №000000184 от 13 июля 2026</t>
        </is>
      </c>
    </row>
    <row r="422">
      <c r="A422" s="18" t="inlineStr">
        <is>
          <t>Halyk</t>
        </is>
      </c>
      <c r="B422" s="19" t="inlineStr">
        <is>
          <t>14.07.2026</t>
        </is>
      </c>
      <c r="C422" s="18" t="inlineStr">
        <is>
          <t>ТОО "ALTYN EXPO"</t>
        </is>
      </c>
      <c r="D422" s="18" t="inlineStr">
        <is>
          <t>ALTYN EXPO</t>
        </is>
      </c>
      <c r="E422" s="18" t="inlineStr">
        <is>
          <t>151040012322</t>
        </is>
      </c>
      <c r="F422" s="20" t="n">
        <v>300000</v>
      </c>
      <c r="G422" s="20" t="n"/>
      <c r="H422" s="19" t="inlineStr">
        <is>
          <t>813</t>
        </is>
      </c>
      <c r="I422" s="18" t="inlineStr">
        <is>
          <t>REVENUE</t>
        </is>
      </c>
      <c r="J422" s="18" t="inlineStr">
        <is>
          <t>Выручка: транспортно-логистические услуги</t>
        </is>
      </c>
      <c r="K422" s="19" t="inlineStr">
        <is>
          <t>ТЭО</t>
        </is>
      </c>
      <c r="L422" s="18" t="inlineStr">
        <is>
          <t>Референс 4026418368 За услуги железнодорожного транспорта. Предоставление вагона ППС по ма</t>
        </is>
      </c>
    </row>
    <row r="423">
      <c r="A423" s="18" t="inlineStr">
        <is>
          <t>БЦК</t>
        </is>
      </c>
      <c r="B423" s="19" t="inlineStr">
        <is>
          <t>14.07.2026</t>
        </is>
      </c>
      <c r="C423" s="18" t="inlineStr">
        <is>
          <t>Белова Полина Сергеевна</t>
        </is>
      </c>
      <c r="D423" s="18" t="inlineStr">
        <is>
          <t>Белова Полина Сергеевна</t>
        </is>
      </c>
      <c r="E423" s="18" t="inlineStr">
        <is>
          <t>990805450043</t>
        </is>
      </c>
      <c r="F423" s="20" t="n"/>
      <c r="G423" s="20" t="n">
        <v>37500</v>
      </c>
      <c r="H423" s="19" t="inlineStr">
        <is>
          <t>871</t>
        </is>
      </c>
      <c r="I423" s="18" t="inlineStr">
        <is>
          <t>OPEX</t>
        </is>
      </c>
      <c r="J423" s="18" t="inlineStr">
        <is>
          <t>Командировочные / поездки</t>
        </is>
      </c>
      <c r="K423" s="19" t="inlineStr"/>
      <c r="L423" s="18" t="inlineStr">
        <is>
          <t>подотчет согл служебке от 14.07.2026 снэки июль. Без НДС. Платежи по поездкам</t>
        </is>
      </c>
    </row>
    <row r="424">
      <c r="A424" s="18" t="inlineStr">
        <is>
          <t>БЦК</t>
        </is>
      </c>
      <c r="B424" s="19" t="inlineStr">
        <is>
          <t>14.07.2026</t>
        </is>
      </c>
      <c r="C424" s="18" t="inlineStr">
        <is>
          <t>Индивидуальный предприниматель "Ninety Plus C</t>
        </is>
      </c>
      <c r="D424" s="18" t="inlineStr">
        <is>
          <t>Ninety Plus Coffee</t>
        </is>
      </c>
      <c r="E424" s="18" t="inlineStr">
        <is>
          <t>061023551492</t>
        </is>
      </c>
      <c r="F424" s="20" t="n"/>
      <c r="G424" s="20" t="n">
        <v>50000</v>
      </c>
      <c r="H424" s="19" t="inlineStr">
        <is>
          <t>710</t>
        </is>
      </c>
      <c r="I424" s="18" t="inlineStr">
        <is>
          <t>OPEX</t>
        </is>
      </c>
      <c r="J424" s="18" t="inlineStr">
        <is>
          <t>ТМЦ / офисные расходы</t>
        </is>
      </c>
      <c r="K424" s="19" t="inlineStr"/>
      <c r="L424" s="18" t="inlineStr">
        <is>
          <t>Счет на оплату № УТ-9546 от 7 июля 2026 г. Счет на оплату № УТ-9850 от 13 июля 2026 гРабот</t>
        </is>
      </c>
    </row>
    <row r="425">
      <c r="A425" s="18" t="inlineStr">
        <is>
          <t>БЦК</t>
        </is>
      </c>
      <c r="B425" s="19" t="inlineStr">
        <is>
          <t>14.07.2026</t>
        </is>
      </c>
      <c r="C425" s="18" t="inlineStr">
        <is>
          <t>филиал акционерного общества "Национальная ко</t>
        </is>
      </c>
      <c r="D425" s="18" t="inlineStr">
        <is>
          <t>филиал акционерного общества "Национальная компания "Қазақстан темір жолы" - "Семейское эксплуатационное вагонное депо</t>
        </is>
      </c>
      <c r="E425" s="18" t="inlineStr">
        <is>
          <t>250741018846</t>
        </is>
      </c>
      <c r="F425" s="20" t="n"/>
      <c r="G425" s="20" t="n">
        <v>99320.77</v>
      </c>
      <c r="H425" s="19" t="inlineStr">
        <is>
          <t>822</t>
        </is>
      </c>
      <c r="I425" s="18" t="inlineStr">
        <is>
          <t>COGS</t>
        </is>
      </c>
      <c r="J425" s="18" t="inlineStr">
        <is>
          <t>Ремонт и ТО вагонов</t>
        </is>
      </c>
      <c r="K425" s="19" t="inlineStr">
        <is>
          <t>ТЭО</t>
        </is>
      </c>
      <c r="L425" s="18" t="inlineStr">
        <is>
          <t>для ВЧД-23 Семей Счет на оплату № 39 от 30.06.2026 г. за ТОР вагона № 75007195Сумма 99 320</t>
        </is>
      </c>
    </row>
    <row r="426">
      <c r="A426" s="18" t="inlineStr">
        <is>
          <t>БЦК</t>
        </is>
      </c>
      <c r="B426" s="19" t="inlineStr">
        <is>
          <t>14.07.2026</t>
        </is>
      </c>
      <c r="C426" s="18" t="inlineStr">
        <is>
          <t>Частная компания WayStar Service Limited</t>
        </is>
      </c>
      <c r="D426" s="18" t="inlineStr">
        <is>
          <t>WayStar Service Limited</t>
        </is>
      </c>
      <c r="E426" s="18" t="inlineStr">
        <is>
          <t>260540900770</t>
        </is>
      </c>
      <c r="F426" s="20" t="n"/>
      <c r="G426" s="20" t="n">
        <v>100000</v>
      </c>
      <c r="H426" s="19" t="inlineStr">
        <is>
          <t>411</t>
        </is>
      </c>
      <c r="I426" s="18" t="inlineStr">
        <is>
          <t>FINANCING</t>
        </is>
      </c>
      <c r="J426" s="18" t="inlineStr">
        <is>
          <t>Погашение / выдача займов</t>
        </is>
      </c>
      <c r="K426" s="19" t="inlineStr"/>
      <c r="L426" s="18" t="inlineStr">
        <is>
          <t>выдача займа. Без НДС. Выдача краткосрочных займов (не более одного года)</t>
        </is>
      </c>
    </row>
    <row r="427">
      <c r="A427" s="18" t="inlineStr">
        <is>
          <t>БЦК</t>
        </is>
      </c>
      <c r="B427" s="19" t="inlineStr">
        <is>
          <t>14.07.2026</t>
        </is>
      </c>
      <c r="C427" s="18" t="inlineStr">
        <is>
          <t xml:space="preserve">Товарищество с ограниченной ответственностью </t>
        </is>
      </c>
      <c r="D427" s="18" t="inlineStr">
        <is>
          <t>ТОР Арыс</t>
        </is>
      </c>
      <c r="E427" s="18" t="inlineStr">
        <is>
          <t>190540033000</t>
        </is>
      </c>
      <c r="F427" s="20" t="n"/>
      <c r="G427" s="20" t="n">
        <v>325440</v>
      </c>
      <c r="H427" s="19" t="inlineStr">
        <is>
          <t>822</t>
        </is>
      </c>
      <c r="I427" s="18" t="inlineStr">
        <is>
          <t>COGS</t>
        </is>
      </c>
      <c r="J427" s="18" t="inlineStr">
        <is>
          <t>Ремонт и ТО вагонов</t>
        </is>
      </c>
      <c r="K427" s="19" t="inlineStr">
        <is>
          <t>ТЭО</t>
        </is>
      </c>
      <c r="L427" s="18" t="inlineStr">
        <is>
          <t>Счет на оплату № 303 от 01.07.2026 г. Тек ремонт грузового вагона №28850535, средний ремон</t>
        </is>
      </c>
    </row>
    <row r="428">
      <c r="A428" s="18" t="inlineStr">
        <is>
          <t>БЦК</t>
        </is>
      </c>
      <c r="B428" s="19" t="inlineStr">
        <is>
          <t>14.07.2026</t>
        </is>
      </c>
      <c r="C428" s="18" t="inlineStr">
        <is>
          <t xml:space="preserve">Товарищество с ограниченной ответственностью </t>
        </is>
      </c>
      <c r="D428" s="18" t="inlineStr">
        <is>
          <t>Нұр-Альфинур</t>
        </is>
      </c>
      <c r="E428" s="18" t="inlineStr">
        <is>
          <t>111240015961</t>
        </is>
      </c>
      <c r="F428" s="20" t="n"/>
      <c r="G428" s="20" t="n">
        <v>581748</v>
      </c>
      <c r="H428" s="19" t="inlineStr">
        <is>
          <t>822</t>
        </is>
      </c>
      <c r="I428" s="18" t="inlineStr">
        <is>
          <t>COGS</t>
        </is>
      </c>
      <c r="J428" s="18" t="inlineStr">
        <is>
          <t>Ремонт и ТО вагонов</t>
        </is>
      </c>
      <c r="K428" s="19" t="inlineStr">
        <is>
          <t>ТЭО</t>
        </is>
      </c>
      <c r="L428" s="18" t="inlineStr">
        <is>
          <t>Счет на оплату № 1000000125 от 10.07.2026 г. Средний ремонт колесной пары с обточкой</t>
        </is>
      </c>
    </row>
    <row r="429">
      <c r="A429" s="18" t="inlineStr">
        <is>
          <t>БЦК</t>
        </is>
      </c>
      <c r="B429" s="19" t="inlineStr">
        <is>
          <t>14.07.2026</t>
        </is>
      </c>
      <c r="C429" s="18" t="inlineStr">
        <is>
          <t xml:space="preserve">Товарищество с ограниченной ответственностью </t>
        </is>
      </c>
      <c r="D429" s="18" t="inlineStr">
        <is>
          <t>WayStar Group</t>
        </is>
      </c>
      <c r="E429" s="18" t="inlineStr">
        <is>
          <t>240340014287</t>
        </is>
      </c>
      <c r="F429" s="20" t="n"/>
      <c r="G429" s="20" t="n">
        <v>110802931.26</v>
      </c>
      <c r="H429" s="19" t="inlineStr">
        <is>
          <t>312</t>
        </is>
      </c>
      <c r="I429" s="18" t="inlineStr">
        <is>
          <t>TREASURY</t>
        </is>
      </c>
      <c r="J429" s="18" t="inlineStr">
        <is>
          <t>Размещение депозита</t>
        </is>
      </c>
      <c r="K429" s="19" t="inlineStr"/>
      <c r="L429" s="18" t="inlineStr">
        <is>
          <t>Размещение вклада</t>
        </is>
      </c>
    </row>
    <row r="430">
      <c r="A430" s="18" t="inlineStr">
        <is>
          <t>БЦК</t>
        </is>
      </c>
      <c r="B430" s="19" t="inlineStr">
        <is>
          <t>14.07.2026</t>
        </is>
      </c>
      <c r="C430" s="18" t="inlineStr">
        <is>
          <t xml:space="preserve">Товарищество с ограниченной ответственностью </t>
        </is>
      </c>
      <c r="D430" s="18" t="inlineStr">
        <is>
          <t>WayStar Group</t>
        </is>
      </c>
      <c r="E430" s="18" t="inlineStr">
        <is>
          <t>240340014287</t>
        </is>
      </c>
      <c r="F430" s="20" t="n">
        <v>36895.96</v>
      </c>
      <c r="G430" s="20" t="n"/>
      <c r="H430" s="19" t="inlineStr">
        <is>
          <t>316</t>
        </is>
      </c>
      <c r="I430" s="18" t="inlineStr">
        <is>
          <t>FIN_INCOME</t>
        </is>
      </c>
      <c r="J430" s="18" t="inlineStr">
        <is>
          <t>% по депозиту</t>
        </is>
      </c>
      <c r="K430" s="19" t="inlineStr"/>
      <c r="L430" s="18" t="inlineStr">
        <is>
          <t>Выплата начисленного вознаграждения по депозитному договору № 01607034 от 24.07.2025 за пе</t>
        </is>
      </c>
    </row>
    <row r="431">
      <c r="A431" s="18" t="inlineStr">
        <is>
          <t>БЦК</t>
        </is>
      </c>
      <c r="B431" s="19" t="inlineStr">
        <is>
          <t>14.07.2026</t>
        </is>
      </c>
      <c r="C431" s="18" t="inlineStr">
        <is>
          <t>ТОО Rhenus Intermodal Systems</t>
        </is>
      </c>
      <c r="D431" s="18" t="inlineStr">
        <is>
          <t>Rhenus Intermodal Systems</t>
        </is>
      </c>
      <c r="E431" s="18" t="inlineStr">
        <is>
          <t>081040014452</t>
        </is>
      </c>
      <c r="F431" s="20" t="n">
        <v>911375</v>
      </c>
      <c r="G431" s="20" t="n"/>
      <c r="H431" s="19" t="inlineStr">
        <is>
          <t>814</t>
        </is>
      </c>
      <c r="I431" s="18" t="inlineStr">
        <is>
          <t>REVENUE</t>
        </is>
      </c>
      <c r="J431" s="18" t="inlineStr">
        <is>
          <t>Выручка: транспортно-логистические услуги</t>
        </is>
      </c>
      <c r="K431" s="19" t="inlineStr">
        <is>
          <t>ТЭО</t>
        </is>
      </c>
      <c r="L431" s="18" t="inlineStr">
        <is>
          <t>оплата эсф 183 от 30.06.26 оперирование ПС Платежи за услуги иного сухопутного транспорта,</t>
        </is>
      </c>
    </row>
    <row r="432">
      <c r="A432" s="18" t="inlineStr">
        <is>
          <t>БЦК</t>
        </is>
      </c>
      <c r="B432" s="19" t="inlineStr">
        <is>
          <t>14.07.2026</t>
        </is>
      </c>
      <c r="C432" s="18" t="inlineStr">
        <is>
          <t>ТОО «Atasu Global Trans»</t>
        </is>
      </c>
      <c r="D432" s="18" t="inlineStr">
        <is>
          <t>Atasu Global Trans</t>
        </is>
      </c>
      <c r="E432" s="18" t="inlineStr">
        <is>
          <t>190140030884</t>
        </is>
      </c>
      <c r="F432" s="20" t="n">
        <v>1782750</v>
      </c>
      <c r="G432" s="20" t="n"/>
      <c r="H432" s="19" t="inlineStr">
        <is>
          <t>813</t>
        </is>
      </c>
      <c r="I432" s="18" t="inlineStr">
        <is>
          <t>REVENUE</t>
        </is>
      </c>
      <c r="J432" s="18" t="inlineStr">
        <is>
          <t>Выручка: транспортно-логистические услуги</t>
        </is>
      </c>
      <c r="K432" s="19" t="inlineStr">
        <is>
          <t>ТЭО</t>
        </is>
      </c>
      <c r="L432" s="18" t="inlineStr">
        <is>
          <t>За услуги. по счету №163 от 26.06.2026 за жд.услуги</t>
        </is>
      </c>
    </row>
    <row r="433">
      <c r="A433" s="18" t="inlineStr">
        <is>
          <t>БЦК</t>
        </is>
      </c>
      <c r="B433" s="19" t="inlineStr">
        <is>
          <t>14.07.2026</t>
        </is>
      </c>
      <c r="C433" s="18" t="inlineStr">
        <is>
          <t xml:space="preserve">Товарищество с ограниченной ответственностью </t>
        </is>
      </c>
      <c r="D433" s="18" t="inlineStr">
        <is>
          <t>WayStar Group</t>
        </is>
      </c>
      <c r="E433" s="18" t="inlineStr">
        <is>
          <t>240340014287</t>
        </is>
      </c>
      <c r="F433" s="20" t="n">
        <v>109265919.07</v>
      </c>
      <c r="G433" s="20" t="n"/>
      <c r="H433" s="19" t="inlineStr">
        <is>
          <t>322</t>
        </is>
      </c>
      <c r="I433" s="18" t="inlineStr">
        <is>
          <t>TREASURY</t>
        </is>
      </c>
      <c r="J433" s="18" t="inlineStr">
        <is>
          <t>Снятие/возврат депозита</t>
        </is>
      </c>
      <c r="K433" s="19" t="inlineStr"/>
      <c r="L433" s="18" t="inlineStr">
        <is>
          <t>Частичная выплата вклада по депозитному договору № 01607034 от 14.07.2026 в размере 109265</t>
        </is>
      </c>
    </row>
    <row r="434">
      <c r="A434" s="18" t="inlineStr">
        <is>
          <t>Halyk</t>
        </is>
      </c>
      <c r="B434" s="19" t="inlineStr">
        <is>
          <t>15.07.2026</t>
        </is>
      </c>
      <c r="C434" s="18" t="inlineStr">
        <is>
          <t>ТОО "Serpin Logistic"</t>
        </is>
      </c>
      <c r="D434" s="18" t="inlineStr">
        <is>
          <t>Serpin Logistic</t>
        </is>
      </c>
      <c r="E434" s="18" t="inlineStr">
        <is>
          <t>260340004848</t>
        </is>
      </c>
      <c r="F434" s="20" t="n">
        <v>350000</v>
      </c>
      <c r="G434" s="20" t="n"/>
      <c r="H434" s="19" t="inlineStr">
        <is>
          <t>813</t>
        </is>
      </c>
      <c r="I434" s="18" t="inlineStr">
        <is>
          <t>REVENUE</t>
        </is>
      </c>
      <c r="J434" s="18" t="inlineStr">
        <is>
          <t>Выручка: транспортно-логистические услуги</t>
        </is>
      </c>
      <c r="K434" s="19" t="inlineStr">
        <is>
          <t>ТЭО</t>
        </is>
      </c>
      <c r="L434" s="18" t="inlineStr">
        <is>
          <t>Референс 4028084928 Оплата Ж/Д тарифа, согласно Счет на оплату  №183 от 1 3 июля 2026 г. С</t>
        </is>
      </c>
    </row>
    <row r="435">
      <c r="A435" s="18" t="inlineStr">
        <is>
          <t>БЦК</t>
        </is>
      </c>
      <c r="B435" s="19" t="inlineStr">
        <is>
          <t>15.07.2026</t>
        </is>
      </c>
      <c r="C435" s="18" t="inlineStr">
        <is>
          <t xml:space="preserve">Товарищество с ограниченной ответственностью </t>
        </is>
      </c>
      <c r="D435" s="18" t="inlineStr">
        <is>
          <t>WayStar Group</t>
        </is>
      </c>
      <c r="E435" s="18" t="inlineStr">
        <is>
          <t>240340014287</t>
        </is>
      </c>
      <c r="F435" s="20" t="n">
        <v>37414.96</v>
      </c>
      <c r="G435" s="20" t="n"/>
      <c r="H435" s="19" t="inlineStr">
        <is>
          <t>316</t>
        </is>
      </c>
      <c r="I435" s="18" t="inlineStr">
        <is>
          <t>FIN_INCOME</t>
        </is>
      </c>
      <c r="J435" s="18" t="inlineStr">
        <is>
          <t>% по депозиту</t>
        </is>
      </c>
      <c r="K435" s="19" t="inlineStr"/>
      <c r="L435" s="18" t="inlineStr">
        <is>
          <t>Выплата начисленного вознаграждения по депозитному договору № 01607034 от 24.07.2025 за пе</t>
        </is>
      </c>
    </row>
    <row r="436">
      <c r="A436" s="18" t="inlineStr">
        <is>
          <t>БЦК</t>
        </is>
      </c>
      <c r="B436" s="19" t="inlineStr">
        <is>
          <t>15.07.2026</t>
        </is>
      </c>
      <c r="C436" s="18" t="inlineStr">
        <is>
          <t xml:space="preserve">Товарищество с ограниченной ответственностью </t>
        </is>
      </c>
      <c r="D436" s="18" t="inlineStr">
        <is>
          <t>WayStar Group</t>
        </is>
      </c>
      <c r="E436" s="18" t="inlineStr">
        <is>
          <t>240340014287</t>
        </is>
      </c>
      <c r="F436" s="20" t="n">
        <v>110802931.26</v>
      </c>
      <c r="G436" s="20" t="n"/>
      <c r="H436" s="19" t="inlineStr">
        <is>
          <t>322</t>
        </is>
      </c>
      <c r="I436" s="18" t="inlineStr">
        <is>
          <t>TREASURY</t>
        </is>
      </c>
      <c r="J436" s="18" t="inlineStr">
        <is>
          <t>Снятие/возврат депозита</t>
        </is>
      </c>
      <c r="K436" s="19" t="inlineStr"/>
      <c r="L436" s="18" t="inlineStr">
        <is>
          <t>Частичная выплата вклада по депозитному договору № 01607034 от 15.07.2026 в размере 110802</t>
        </is>
      </c>
    </row>
  </sheetData>
  <autoFilter ref="A3:L4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5" customWidth="1" min="3" max="3"/>
  </cols>
  <sheetData>
    <row r="1">
      <c r="A1" s="21" t="inlineStr">
        <is>
          <t>ОТЧЁТ О ПРИБЫЛЯХ И УБЫТКАХ (кассовый метод)</t>
        </is>
      </c>
    </row>
    <row r="2">
      <c r="A2" s="3" t="inlineStr">
        <is>
          <t>ТОО «WayStar Group» (БИН 240340014287)  ·  15.06.2026 – 15.07.2026  ·  ₸</t>
        </is>
      </c>
    </row>
    <row r="4">
      <c r="A4" s="17" t="inlineStr">
        <is>
          <t>Показатель</t>
        </is>
      </c>
      <c r="B4" s="17" t="inlineStr">
        <is>
          <t>Сумма, ₸</t>
        </is>
      </c>
      <c r="C4" s="17" t="inlineStr">
        <is>
          <t>% к чист. выручке</t>
        </is>
      </c>
    </row>
    <row r="5">
      <c r="A5" s="14" t="inlineStr">
        <is>
          <t>Выручка от реализации услуг</t>
        </is>
      </c>
      <c r="B5" s="22">
        <f>SUMIFS('Реестр операций'!$F:$F,'Реестр операций'!$I:$I,"REVENUE")</f>
        <v/>
      </c>
      <c r="C5" s="23">
        <f>IFERROR(B5/$B$7,0)</f>
        <v/>
      </c>
    </row>
    <row r="6">
      <c r="A6" s="7" t="inlineStr">
        <is>
          <t xml:space="preserve">      минус: возврат средств клиентам</t>
        </is>
      </c>
      <c r="B6" s="8">
        <f>-SUMIFS('Реестр операций'!$G:$G,'Реестр операций'!$I:$I,"CONTRA")</f>
        <v/>
      </c>
      <c r="C6" s="13">
        <f>IFERROR(B6/$B$7,0)</f>
        <v/>
      </c>
    </row>
    <row r="7">
      <c r="A7" s="14" t="inlineStr">
        <is>
          <t>Чистая выручка</t>
        </is>
      </c>
      <c r="B7" s="22">
        <f>B5+B6</f>
        <v/>
      </c>
      <c r="C7" s="23">
        <f>IFERROR(B7/$B$7,0)</f>
        <v/>
      </c>
    </row>
    <row r="8">
      <c r="A8" s="7" t="inlineStr">
        <is>
          <t xml:space="preserve">      минус: Ж/д тариф, вагоны, услуги перевозчиков</t>
        </is>
      </c>
      <c r="B8" s="8">
        <f>-SUMIFS('Реестр операций'!$G:$G,'Реестр операций'!$I:$I,"COGS",'Реестр операций'!$J:$J,"Ж/д тариф, вагоны, услуги перевозчиков")</f>
        <v/>
      </c>
    </row>
    <row r="9">
      <c r="A9" s="7" t="inlineStr">
        <is>
          <t xml:space="preserve">      минус: Ремонт и ТО вагонов</t>
        </is>
      </c>
      <c r="B9" s="8">
        <f>-SUMIFS('Реестр операций'!$G:$G,'Реестр операций'!$I:$I,"COGS",'Реестр операций'!$J:$J,"Ремонт и ТО вагонов")</f>
        <v/>
      </c>
    </row>
    <row r="10">
      <c r="A10" s="14" t="inlineStr">
        <is>
          <t>Себестоимость услуг, итого</t>
        </is>
      </c>
      <c r="B10" s="24">
        <f>-SUMIFS('Реестр операций'!$G:$G,'Реестр операций'!$I:$I,"COGS")</f>
        <v/>
      </c>
      <c r="C10" s="23">
        <f>IFERROR(B10/$B$7,0)</f>
        <v/>
      </c>
    </row>
    <row r="11">
      <c r="A11" s="14" t="inlineStr">
        <is>
          <t>ВАЛОВАЯ ПРИБЫЛЬ</t>
        </is>
      </c>
      <c r="B11" s="15">
        <f>B7+B10</f>
        <v/>
      </c>
      <c r="C11" s="23">
        <f>IFERROR(B11/$B$7,0)</f>
        <v/>
      </c>
    </row>
    <row r="12">
      <c r="A12" s="7" t="inlineStr">
        <is>
          <t xml:space="preserve">      минус: Оплата труда</t>
        </is>
      </c>
      <c r="B12" s="8">
        <f>-SUMIFS('Реестр операций'!$G:$G,'Реестр операций'!$I:$I,"OPEX",'Реестр операций'!$J:$J,"Оплата труда")</f>
        <v/>
      </c>
    </row>
    <row r="13">
      <c r="A13" s="7" t="inlineStr">
        <is>
          <t xml:space="preserve">      минус: Прочие услуги и расходы</t>
        </is>
      </c>
      <c r="B13" s="8">
        <f>-SUMIFS('Реестр операций'!$G:$G,'Реестр операций'!$I:$I,"OPEX",'Реестр операций'!$J:$J,"Прочие услуги и расходы")</f>
        <v/>
      </c>
    </row>
    <row r="14">
      <c r="A14" s="7" t="inlineStr">
        <is>
          <t xml:space="preserve">      минус: Аренда офиса</t>
        </is>
      </c>
      <c r="B14" s="8">
        <f>-SUMIFS('Реестр операций'!$G:$G,'Реестр операций'!$I:$I,"OPEX",'Реестр операций'!$J:$J,"Аренда офиса")</f>
        <v/>
      </c>
    </row>
    <row r="15">
      <c r="A15" s="7" t="inlineStr">
        <is>
          <t xml:space="preserve">      минус: Командировочные / поездки</t>
        </is>
      </c>
      <c r="B15" s="8">
        <f>-SUMIFS('Реестр операций'!$G:$G,'Реестр операций'!$I:$I,"OPEX",'Реестр операций'!$J:$J,"Командировочные / поездки")</f>
        <v/>
      </c>
    </row>
    <row r="16">
      <c r="A16" s="7" t="inlineStr">
        <is>
          <t xml:space="preserve">      минус: ТМЦ / офисные расходы</t>
        </is>
      </c>
      <c r="B16" s="8">
        <f>-SUMIFS('Реестр операций'!$G:$G,'Реестр операций'!$I:$I,"OPEX",'Реестр операций'!$J:$J,"ТМЦ / офисные расходы")</f>
        <v/>
      </c>
    </row>
    <row r="17">
      <c r="A17" s="7" t="inlineStr">
        <is>
          <t xml:space="preserve">      минус: Банковские услуги</t>
        </is>
      </c>
      <c r="B17" s="8">
        <f>-SUMIFS('Реестр операций'!$G:$G,'Реестр операций'!$I:$I,"OPEX",'Реестр операций'!$J:$J,"Банковские услуги")</f>
        <v/>
      </c>
    </row>
    <row r="18">
      <c r="A18" s="7" t="inlineStr">
        <is>
          <t xml:space="preserve">      минус: Страхование</t>
        </is>
      </c>
      <c r="B18" s="8">
        <f>-SUMIFS('Реестр операций'!$G:$G,'Реестр операций'!$I:$I,"OPEX",'Реестр операций'!$J:$J,"Страхование")</f>
        <v/>
      </c>
    </row>
    <row r="19">
      <c r="A19" s="14" t="inlineStr">
        <is>
          <t>Операционные расходы, итого</t>
        </is>
      </c>
      <c r="B19" s="24">
        <f>-SUMIFS('Реестр операций'!$G:$G,'Реестр операций'!$I:$I,"OPEX")</f>
        <v/>
      </c>
      <c r="C19" s="23">
        <f>IFERROR(B19/$B$7,0)</f>
        <v/>
      </c>
    </row>
    <row r="20">
      <c r="A20" s="14" t="inlineStr">
        <is>
          <t>EBITDA</t>
        </is>
      </c>
      <c r="B20" s="15">
        <f>B11+B19</f>
        <v/>
      </c>
      <c r="C20" s="23">
        <f>IFERROR(B20/$B$7,0)</f>
        <v/>
      </c>
    </row>
    <row r="21">
      <c r="A21" s="7" t="inlineStr">
        <is>
          <t xml:space="preserve">      минус: налоги и социальные платежи</t>
        </is>
      </c>
      <c r="B21" s="8">
        <f>-SUMIFS('Реестр операций'!$G:$G,'Реестр операций'!$I:$I,"TAX")</f>
        <v/>
      </c>
      <c r="C21" s="13">
        <f>IFERROR(B21/$B$7,0)</f>
        <v/>
      </c>
    </row>
    <row r="22">
      <c r="A22" s="7" t="inlineStr">
        <is>
          <t xml:space="preserve">      плюс: финансовые доходы (% по депозитам)</t>
        </is>
      </c>
      <c r="B22" s="8">
        <f>SUMIFS('Реестр операций'!$F:$F,'Реестр операций'!$I:$I,"FIN_INCOME")+SUMIFS('Реестр операций'!$F:$F,'Реестр операций'!$I:$I,"FIN_COST")</f>
        <v/>
      </c>
      <c r="C22" s="13">
        <f>IFERROR(B22/$B$7,0)</f>
        <v/>
      </c>
    </row>
    <row r="23">
      <c r="A23" s="7" t="inlineStr">
        <is>
          <t xml:space="preserve">      минус: финансовые расходы (% и пени)</t>
        </is>
      </c>
      <c r="B23" s="8">
        <f>-SUMIFS('Реестр операций'!$G:$G,'Реестр операций'!$I:$I,"FIN_COST")</f>
        <v/>
      </c>
      <c r="C23" s="13">
        <f>IFERROR(B23/$B$7,0)</f>
        <v/>
      </c>
    </row>
    <row r="24">
      <c r="A24" s="14" t="inlineStr">
        <is>
          <t>ЧИСТАЯ ПРИБЫЛЬ</t>
        </is>
      </c>
      <c r="B24" s="15">
        <f>B20+B21+B22+B23</f>
        <v/>
      </c>
      <c r="C24" s="23">
        <f>IFERROR(B24/$B$7,0)</f>
        <v/>
      </c>
    </row>
    <row r="26">
      <c r="A26" s="25" t="inlineStr">
        <is>
          <t>Кассовый метод по банковским выпискам: «выручка» = поступления от клиентов, «расходы» = фактические платежи за период. Не учитывает начисления, дебиторскую/кредиторскую задолженность, амортизацию, НДС к зачёту/уплате. Депозиты, займы и переводы между своими счетами исключены из P&amp;L (см. ДДС). Все суммы — формулы SUMIFS по листу «Реестр операций».</t>
        </is>
      </c>
    </row>
    <row r="27"/>
    <row r="28"/>
  </sheetData>
  <mergeCells count="1">
    <mergeCell ref="A26:C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21" t="inlineStr">
        <is>
          <t>P&amp;L В РАЗБИВКЕ ПО КЛИЕНТАМ — Аренда и ТЭО</t>
        </is>
      </c>
    </row>
    <row r="2">
      <c r="A2" s="3" t="inlineStr">
        <is>
          <t>ТОО «WayStar Group» (БИН 240340014287)  ·  15.06.2026 – 15.07.2026  ·  ₸</t>
        </is>
      </c>
    </row>
    <row r="3">
      <c r="A3" s="25" t="inlineStr">
        <is>
          <t>Выручка по клиентам — фактическая, из назначений платежей разнесена на «Аренду» (сдача вагонов/цистерн) и «ТЭО» (экспедирование, ж/д тариф, предоставление ПС). Прямые расходы распределены по клиентам пропорционально их выручке в соответствующем направлении; накладные — пропорционально общей выручке (в выписках нет привязки платежей поставщикам к клиенту).</t>
        </is>
      </c>
    </row>
    <row r="4"/>
    <row r="5">
      <c r="A5" s="17" t="inlineStr">
        <is>
          <t>Клиент</t>
        </is>
      </c>
      <c r="B5" s="17" t="inlineStr">
        <is>
          <t>Выручка: Аренда</t>
        </is>
      </c>
      <c r="C5" s="17" t="inlineStr">
        <is>
          <t>Выручка: ТЭО</t>
        </is>
      </c>
      <c r="D5" s="17" t="inlineStr">
        <is>
          <t>Выручка ИТОГО</t>
        </is>
      </c>
      <c r="E5" s="17" t="inlineStr">
        <is>
          <t>Расходы: Аренда</t>
        </is>
      </c>
      <c r="F5" s="17" t="inlineStr">
        <is>
          <t>Расходы: ТЭО</t>
        </is>
      </c>
      <c r="G5" s="17" t="inlineStr">
        <is>
          <t>Прямые расходы ИТОГО</t>
        </is>
      </c>
      <c r="H5" s="17" t="inlineStr">
        <is>
          <t>Валовая прибыль</t>
        </is>
      </c>
      <c r="I5" s="17" t="inlineStr">
        <is>
          <t>GM %</t>
        </is>
      </c>
      <c r="J5" s="17" t="inlineStr">
        <is>
          <t>Накладные (распр.)</t>
        </is>
      </c>
      <c r="K5" s="17" t="inlineStr">
        <is>
          <t>Чистая прибыль</t>
        </is>
      </c>
    </row>
    <row r="6">
      <c r="A6" s="7" t="inlineStr">
        <is>
          <t>QAZAQ-ASTYQ GROUP</t>
        </is>
      </c>
      <c r="B6" s="8">
        <f>SUMIFS('Реестр операций'!$F:$F,'Реестр операций'!$D:$D,$A6,'Реестр операций'!$I:$I,"REVENUE",'Реестр операций'!$K:$K,"Аренда")</f>
        <v/>
      </c>
      <c r="C6" s="8">
        <f>SUMIFS('Реестр операций'!$F:$F,'Реестр операций'!$D:$D,$A6,'Реестр операций'!$I:$I,"REVENUE",'Реестр операций'!$K:$K,"ТЭО")</f>
        <v/>
      </c>
      <c r="D6" s="8">
        <f>B6+C6</f>
        <v/>
      </c>
      <c r="E6" s="9">
        <f>IFERROR($E$34*B6/$B$34,0)</f>
        <v/>
      </c>
      <c r="F6" s="9">
        <f>IFERROR($F$34*C6/$C$34,0)</f>
        <v/>
      </c>
      <c r="G6" s="9">
        <f>E6+F6</f>
        <v/>
      </c>
      <c r="H6" s="8">
        <f>D6-G6</f>
        <v/>
      </c>
      <c r="I6" s="13">
        <f>IFERROR(H6/D6,0)</f>
        <v/>
      </c>
      <c r="J6" s="9">
        <f>IFERROR($J$34*D6/$D$34,0)</f>
        <v/>
      </c>
      <c r="K6" s="26">
        <f>H6-J6</f>
        <v/>
      </c>
    </row>
    <row r="7">
      <c r="A7" s="7" t="inlineStr">
        <is>
          <t>Altyn Shyghys</t>
        </is>
      </c>
      <c r="B7" s="8">
        <f>SUMIFS('Реестр операций'!$F:$F,'Реестр операций'!$D:$D,$A7,'Реестр операций'!$I:$I,"REVENUE",'Реестр операций'!$K:$K,"Аренда")</f>
        <v/>
      </c>
      <c r="C7" s="8">
        <f>SUMIFS('Реестр операций'!$F:$F,'Реестр операций'!$D:$D,$A7,'Реестр операций'!$I:$I,"REVENUE",'Реестр операций'!$K:$K,"ТЭО")</f>
        <v/>
      </c>
      <c r="D7" s="8">
        <f>B7+C7</f>
        <v/>
      </c>
      <c r="E7" s="9">
        <f>IFERROR($E$34*B7/$B$34,0)</f>
        <v/>
      </c>
      <c r="F7" s="9">
        <f>IFERROR($F$34*C7/$C$34,0)</f>
        <v/>
      </c>
      <c r="G7" s="9">
        <f>E7+F7</f>
        <v/>
      </c>
      <c r="H7" s="8">
        <f>D7-G7</f>
        <v/>
      </c>
      <c r="I7" s="13">
        <f>IFERROR(H7/D7,0)</f>
        <v/>
      </c>
      <c r="J7" s="9">
        <f>IFERROR($J$34*D7/$D$34,0)</f>
        <v/>
      </c>
      <c r="K7" s="26">
        <f>H7-J7</f>
        <v/>
      </c>
    </row>
    <row r="8">
      <c r="A8" s="7" t="inlineStr">
        <is>
          <t>East Agro Company</t>
        </is>
      </c>
      <c r="B8" s="8">
        <f>SUMIFS('Реестр операций'!$F:$F,'Реестр операций'!$D:$D,$A8,'Реестр операций'!$I:$I,"REVENUE",'Реестр операций'!$K:$K,"Аренда")</f>
        <v/>
      </c>
      <c r="C8" s="8">
        <f>SUMIFS('Реестр операций'!$F:$F,'Реестр операций'!$D:$D,$A8,'Реестр операций'!$I:$I,"REVENUE",'Реестр операций'!$K:$K,"ТЭО")</f>
        <v/>
      </c>
      <c r="D8" s="8">
        <f>B8+C8</f>
        <v/>
      </c>
      <c r="E8" s="9">
        <f>IFERROR($E$34*B8/$B$34,0)</f>
        <v/>
      </c>
      <c r="F8" s="9">
        <f>IFERROR($F$34*C8/$C$34,0)</f>
        <v/>
      </c>
      <c r="G8" s="9">
        <f>E8+F8</f>
        <v/>
      </c>
      <c r="H8" s="8">
        <f>D8-G8</f>
        <v/>
      </c>
      <c r="I8" s="13">
        <f>IFERROR(H8/D8,0)</f>
        <v/>
      </c>
      <c r="J8" s="9">
        <f>IFERROR($J$34*D8/$D$34,0)</f>
        <v/>
      </c>
      <c r="K8" s="26">
        <f>H8-J8</f>
        <v/>
      </c>
    </row>
    <row r="9">
      <c r="A9" s="7" t="inlineStr">
        <is>
          <t>Экспорт-М</t>
        </is>
      </c>
      <c r="B9" s="8">
        <f>SUMIFS('Реестр операций'!$F:$F,'Реестр операций'!$D:$D,$A9,'Реестр операций'!$I:$I,"REVENUE",'Реестр операций'!$K:$K,"Аренда")</f>
        <v/>
      </c>
      <c r="C9" s="8">
        <f>SUMIFS('Реестр операций'!$F:$F,'Реестр операций'!$D:$D,$A9,'Реестр операций'!$I:$I,"REVENUE",'Реестр операций'!$K:$K,"ТЭО")</f>
        <v/>
      </c>
      <c r="D9" s="8">
        <f>B9+C9</f>
        <v/>
      </c>
      <c r="E9" s="9">
        <f>IFERROR($E$34*B9/$B$34,0)</f>
        <v/>
      </c>
      <c r="F9" s="9">
        <f>IFERROR($F$34*C9/$C$34,0)</f>
        <v/>
      </c>
      <c r="G9" s="9">
        <f>E9+F9</f>
        <v/>
      </c>
      <c r="H9" s="8">
        <f>D9-G9</f>
        <v/>
      </c>
      <c r="I9" s="13">
        <f>IFERROR(H9/D9,0)</f>
        <v/>
      </c>
      <c r="J9" s="9">
        <f>IFERROR($J$34*D9/$D$34,0)</f>
        <v/>
      </c>
      <c r="K9" s="26">
        <f>H9-J9</f>
        <v/>
      </c>
    </row>
    <row r="10">
      <c r="A10" s="7" t="inlineStr">
        <is>
          <t>GREENLIGHTS (ГРИНЛАЙТС)</t>
        </is>
      </c>
      <c r="B10" s="8">
        <f>SUMIFS('Реестр операций'!$F:$F,'Реестр операций'!$D:$D,$A10,'Реестр операций'!$I:$I,"REVENUE",'Реестр операций'!$K:$K,"Аренда")</f>
        <v/>
      </c>
      <c r="C10" s="8">
        <f>SUMIFS('Реестр операций'!$F:$F,'Реестр операций'!$D:$D,$A10,'Реестр операций'!$I:$I,"REVENUE",'Реестр операций'!$K:$K,"ТЭО")</f>
        <v/>
      </c>
      <c r="D10" s="8">
        <f>B10+C10</f>
        <v/>
      </c>
      <c r="E10" s="9">
        <f>IFERROR($E$34*B10/$B$34,0)</f>
        <v/>
      </c>
      <c r="F10" s="9">
        <f>IFERROR($F$34*C10/$C$34,0)</f>
        <v/>
      </c>
      <c r="G10" s="9">
        <f>E10+F10</f>
        <v/>
      </c>
      <c r="H10" s="8">
        <f>D10-G10</f>
        <v/>
      </c>
      <c r="I10" s="13">
        <f>IFERROR(H10/D10,0)</f>
        <v/>
      </c>
      <c r="J10" s="9">
        <f>IFERROR($J$34*D10/$D$34,0)</f>
        <v/>
      </c>
      <c r="K10" s="26">
        <f>H10-J10</f>
        <v/>
      </c>
    </row>
    <row r="11">
      <c r="A11" s="7" t="inlineStr">
        <is>
          <t>ResursLogistiс (РесурсЛогистик)</t>
        </is>
      </c>
      <c r="B11" s="8">
        <f>SUMIFS('Реестр операций'!$F:$F,'Реестр операций'!$D:$D,$A11,'Реестр операций'!$I:$I,"REVENUE",'Реестр операций'!$K:$K,"Аренда")</f>
        <v/>
      </c>
      <c r="C11" s="8">
        <f>SUMIFS('Реестр операций'!$F:$F,'Реестр операций'!$D:$D,$A11,'Реестр операций'!$I:$I,"REVENUE",'Реестр операций'!$K:$K,"ТЭО")</f>
        <v/>
      </c>
      <c r="D11" s="8">
        <f>B11+C11</f>
        <v/>
      </c>
      <c r="E11" s="9">
        <f>IFERROR($E$34*B11/$B$34,0)</f>
        <v/>
      </c>
      <c r="F11" s="9">
        <f>IFERROR($F$34*C11/$C$34,0)</f>
        <v/>
      </c>
      <c r="G11" s="9">
        <f>E11+F11</f>
        <v/>
      </c>
      <c r="H11" s="8">
        <f>D11-G11</f>
        <v/>
      </c>
      <c r="I11" s="13">
        <f>IFERROR(H11/D11,0)</f>
        <v/>
      </c>
      <c r="J11" s="9">
        <f>IFERROR($J$34*D11/$D$34,0)</f>
        <v/>
      </c>
      <c r="K11" s="26">
        <f>H11-J11</f>
        <v/>
      </c>
    </row>
    <row r="12">
      <c r="A12" s="7" t="inlineStr">
        <is>
          <t>ШыгысАгроТорг</t>
        </is>
      </c>
      <c r="B12" s="8">
        <f>SUMIFS('Реестр операций'!$F:$F,'Реестр операций'!$D:$D,$A12,'Реестр операций'!$I:$I,"REVENUE",'Реестр операций'!$K:$K,"Аренда")</f>
        <v/>
      </c>
      <c r="C12" s="8">
        <f>SUMIFS('Реестр операций'!$F:$F,'Реестр операций'!$D:$D,$A12,'Реестр операций'!$I:$I,"REVENUE",'Реестр операций'!$K:$K,"ТЭО")</f>
        <v/>
      </c>
      <c r="D12" s="8">
        <f>B12+C12</f>
        <v/>
      </c>
      <c r="E12" s="9">
        <f>IFERROR($E$34*B12/$B$34,0)</f>
        <v/>
      </c>
      <c r="F12" s="9">
        <f>IFERROR($F$34*C12/$C$34,0)</f>
        <v/>
      </c>
      <c r="G12" s="9">
        <f>E12+F12</f>
        <v/>
      </c>
      <c r="H12" s="8">
        <f>D12-G12</f>
        <v/>
      </c>
      <c r="I12" s="13">
        <f>IFERROR(H12/D12,0)</f>
        <v/>
      </c>
      <c r="J12" s="9">
        <f>IFERROR($J$34*D12/$D$34,0)</f>
        <v/>
      </c>
      <c r="K12" s="26">
        <f>H12-J12</f>
        <v/>
      </c>
    </row>
    <row r="13">
      <c r="A13" s="7" t="inlineStr">
        <is>
          <t>АРАЙ ТОО</t>
        </is>
      </c>
      <c r="B13" s="8">
        <f>SUMIFS('Реестр операций'!$F:$F,'Реестр операций'!$D:$D,$A13,'Реестр операций'!$I:$I,"REVENUE",'Реестр операций'!$K:$K,"Аренда")</f>
        <v/>
      </c>
      <c r="C13" s="8">
        <f>SUMIFS('Реестр операций'!$F:$F,'Реестр операций'!$D:$D,$A13,'Реестр операций'!$I:$I,"REVENUE",'Реестр операций'!$K:$K,"ТЭО")</f>
        <v/>
      </c>
      <c r="D13" s="8">
        <f>B13+C13</f>
        <v/>
      </c>
      <c r="E13" s="9">
        <f>IFERROR($E$34*B13/$B$34,0)</f>
        <v/>
      </c>
      <c r="F13" s="9">
        <f>IFERROR($F$34*C13/$C$34,0)</f>
        <v/>
      </c>
      <c r="G13" s="9">
        <f>E13+F13</f>
        <v/>
      </c>
      <c r="H13" s="8">
        <f>D13-G13</f>
        <v/>
      </c>
      <c r="I13" s="13">
        <f>IFERROR(H13/D13,0)</f>
        <v/>
      </c>
      <c r="J13" s="9">
        <f>IFERROR($J$34*D13/$D$34,0)</f>
        <v/>
      </c>
      <c r="K13" s="26">
        <f>H13-J13</f>
        <v/>
      </c>
    </row>
    <row r="14">
      <c r="A14" s="7" t="inlineStr">
        <is>
          <t>ROYAL EXPORT</t>
        </is>
      </c>
      <c r="B14" s="8">
        <f>SUMIFS('Реестр операций'!$F:$F,'Реестр операций'!$D:$D,$A14,'Реестр операций'!$I:$I,"REVENUE",'Реестр операций'!$K:$K,"Аренда")</f>
        <v/>
      </c>
      <c r="C14" s="8">
        <f>SUMIFS('Реестр операций'!$F:$F,'Реестр операций'!$D:$D,$A14,'Реестр операций'!$I:$I,"REVENUE",'Реестр операций'!$K:$K,"ТЭО")</f>
        <v/>
      </c>
      <c r="D14" s="8">
        <f>B14+C14</f>
        <v/>
      </c>
      <c r="E14" s="9">
        <f>IFERROR($E$34*B14/$B$34,0)</f>
        <v/>
      </c>
      <c r="F14" s="9">
        <f>IFERROR($F$34*C14/$C$34,0)</f>
        <v/>
      </c>
      <c r="G14" s="9">
        <f>E14+F14</f>
        <v/>
      </c>
      <c r="H14" s="8">
        <f>D14-G14</f>
        <v/>
      </c>
      <c r="I14" s="13">
        <f>IFERROR(H14/D14,0)</f>
        <v/>
      </c>
      <c r="J14" s="9">
        <f>IFERROR($J$34*D14/$D$34,0)</f>
        <v/>
      </c>
      <c r="K14" s="26">
        <f>H14-J14</f>
        <v/>
      </c>
    </row>
    <row r="15">
      <c r="A15" s="7" t="inlineStr">
        <is>
          <t>Темир Экспресс Логистик</t>
        </is>
      </c>
      <c r="B15" s="8">
        <f>SUMIFS('Реестр операций'!$F:$F,'Реестр операций'!$D:$D,$A15,'Реестр операций'!$I:$I,"REVENUE",'Реестр операций'!$K:$K,"Аренда")</f>
        <v/>
      </c>
      <c r="C15" s="8">
        <f>SUMIFS('Реестр операций'!$F:$F,'Реестр операций'!$D:$D,$A15,'Реестр операций'!$I:$I,"REVENUE",'Реестр операций'!$K:$K,"ТЭО")</f>
        <v/>
      </c>
      <c r="D15" s="8">
        <f>B15+C15</f>
        <v/>
      </c>
      <c r="E15" s="9">
        <f>IFERROR($E$34*B15/$B$34,0)</f>
        <v/>
      </c>
      <c r="F15" s="9">
        <f>IFERROR($F$34*C15/$C$34,0)</f>
        <v/>
      </c>
      <c r="G15" s="9">
        <f>E15+F15</f>
        <v/>
      </c>
      <c r="H15" s="8">
        <f>D15-G15</f>
        <v/>
      </c>
      <c r="I15" s="13">
        <f>IFERROR(H15/D15,0)</f>
        <v/>
      </c>
      <c r="J15" s="9">
        <f>IFERROR($J$34*D15/$D$34,0)</f>
        <v/>
      </c>
      <c r="K15" s="26">
        <f>H15-J15</f>
        <v/>
      </c>
    </row>
    <row r="16">
      <c r="A16" s="7" t="inlineStr">
        <is>
          <t>Rhenus Intermodal Systems</t>
        </is>
      </c>
      <c r="B16" s="8">
        <f>SUMIFS('Реестр операций'!$F:$F,'Реестр операций'!$D:$D,$A16,'Реестр операций'!$I:$I,"REVENUE",'Реестр операций'!$K:$K,"Аренда")</f>
        <v/>
      </c>
      <c r="C16" s="8">
        <f>SUMIFS('Реестр операций'!$F:$F,'Реестр операций'!$D:$D,$A16,'Реестр операций'!$I:$I,"REVENUE",'Реестр операций'!$K:$K,"ТЭО")</f>
        <v/>
      </c>
      <c r="D16" s="8">
        <f>B16+C16</f>
        <v/>
      </c>
      <c r="E16" s="9">
        <f>IFERROR($E$34*B16/$B$34,0)</f>
        <v/>
      </c>
      <c r="F16" s="9">
        <f>IFERROR($F$34*C16/$C$34,0)</f>
        <v/>
      </c>
      <c r="G16" s="9">
        <f>E16+F16</f>
        <v/>
      </c>
      <c r="H16" s="8">
        <f>D16-G16</f>
        <v/>
      </c>
      <c r="I16" s="13">
        <f>IFERROR(H16/D16,0)</f>
        <v/>
      </c>
      <c r="J16" s="9">
        <f>IFERROR($J$34*D16/$D$34,0)</f>
        <v/>
      </c>
      <c r="K16" s="26">
        <f>H16-J16</f>
        <v/>
      </c>
    </row>
    <row r="17">
      <c r="A17" s="7" t="inlineStr">
        <is>
          <t>SYSTEM LTD</t>
        </is>
      </c>
      <c r="B17" s="8">
        <f>SUMIFS('Реестр операций'!$F:$F,'Реестр операций'!$D:$D,$A17,'Реестр операций'!$I:$I,"REVENUE",'Реестр операций'!$K:$K,"Аренда")</f>
        <v/>
      </c>
      <c r="C17" s="8">
        <f>SUMIFS('Реестр операций'!$F:$F,'Реестр операций'!$D:$D,$A17,'Реестр операций'!$I:$I,"REVENUE",'Реестр операций'!$K:$K,"ТЭО")</f>
        <v/>
      </c>
      <c r="D17" s="8">
        <f>B17+C17</f>
        <v/>
      </c>
      <c r="E17" s="9">
        <f>IFERROR($E$34*B17/$B$34,0)</f>
        <v/>
      </c>
      <c r="F17" s="9">
        <f>IFERROR($F$34*C17/$C$34,0)</f>
        <v/>
      </c>
      <c r="G17" s="9">
        <f>E17+F17</f>
        <v/>
      </c>
      <c r="H17" s="8">
        <f>D17-G17</f>
        <v/>
      </c>
      <c r="I17" s="13">
        <f>IFERROR(H17/D17,0)</f>
        <v/>
      </c>
      <c r="J17" s="9">
        <f>IFERROR($J$34*D17/$D$34,0)</f>
        <v/>
      </c>
      <c r="K17" s="26">
        <f>H17-J17</f>
        <v/>
      </c>
    </row>
    <row r="18">
      <c r="A18" s="7" t="inlineStr">
        <is>
          <t>Cargo Express PV</t>
        </is>
      </c>
      <c r="B18" s="8">
        <f>SUMIFS('Реестр операций'!$F:$F,'Реестр операций'!$D:$D,$A18,'Реестр операций'!$I:$I,"REVENUE",'Реестр операций'!$K:$K,"Аренда")</f>
        <v/>
      </c>
      <c r="C18" s="8">
        <f>SUMIFS('Реестр операций'!$F:$F,'Реестр операций'!$D:$D,$A18,'Реестр операций'!$I:$I,"REVENUE",'Реестр операций'!$K:$K,"ТЭО")</f>
        <v/>
      </c>
      <c r="D18" s="8">
        <f>B18+C18</f>
        <v/>
      </c>
      <c r="E18" s="9">
        <f>IFERROR($E$34*B18/$B$34,0)</f>
        <v/>
      </c>
      <c r="F18" s="9">
        <f>IFERROR($F$34*C18/$C$34,0)</f>
        <v/>
      </c>
      <c r="G18" s="9">
        <f>E18+F18</f>
        <v/>
      </c>
      <c r="H18" s="8">
        <f>D18-G18</f>
        <v/>
      </c>
      <c r="I18" s="13">
        <f>IFERROR(H18/D18,0)</f>
        <v/>
      </c>
      <c r="J18" s="9">
        <f>IFERROR($J$34*D18/$D$34,0)</f>
        <v/>
      </c>
      <c r="K18" s="26">
        <f>H18-J18</f>
        <v/>
      </c>
    </row>
    <row r="19">
      <c r="A19" s="7" t="inlineStr">
        <is>
          <t>TimeAgro</t>
        </is>
      </c>
      <c r="B19" s="8">
        <f>SUMIFS('Реестр операций'!$F:$F,'Реестр операций'!$D:$D,$A19,'Реестр операций'!$I:$I,"REVENUE",'Реестр операций'!$K:$K,"Аренда")</f>
        <v/>
      </c>
      <c r="C19" s="8">
        <f>SUMIFS('Реестр операций'!$F:$F,'Реестр операций'!$D:$D,$A19,'Реестр операций'!$I:$I,"REVENUE",'Реестр операций'!$K:$K,"ТЭО")</f>
        <v/>
      </c>
      <c r="D19" s="8">
        <f>B19+C19</f>
        <v/>
      </c>
      <c r="E19" s="9">
        <f>IFERROR($E$34*B19/$B$34,0)</f>
        <v/>
      </c>
      <c r="F19" s="9">
        <f>IFERROR($F$34*C19/$C$34,0)</f>
        <v/>
      </c>
      <c r="G19" s="9">
        <f>E19+F19</f>
        <v/>
      </c>
      <c r="H19" s="8">
        <f>D19-G19</f>
        <v/>
      </c>
      <c r="I19" s="13">
        <f>IFERROR(H19/D19,0)</f>
        <v/>
      </c>
      <c r="J19" s="9">
        <f>IFERROR($J$34*D19/$D$34,0)</f>
        <v/>
      </c>
      <c r="K19" s="26">
        <f>H19-J19</f>
        <v/>
      </c>
    </row>
    <row r="20">
      <c r="A20" s="7" t="inlineStr">
        <is>
          <t>Serpin Logistic</t>
        </is>
      </c>
      <c r="B20" s="8">
        <f>SUMIFS('Реестр операций'!$F:$F,'Реестр операций'!$D:$D,$A20,'Реестр операций'!$I:$I,"REVENUE",'Реестр операций'!$K:$K,"Аренда")</f>
        <v/>
      </c>
      <c r="C20" s="8">
        <f>SUMIFS('Реестр операций'!$F:$F,'Реестр операций'!$D:$D,$A20,'Реестр операций'!$I:$I,"REVENUE",'Реестр операций'!$K:$K,"ТЭО")</f>
        <v/>
      </c>
      <c r="D20" s="8">
        <f>B20+C20</f>
        <v/>
      </c>
      <c r="E20" s="9">
        <f>IFERROR($E$34*B20/$B$34,0)</f>
        <v/>
      </c>
      <c r="F20" s="9">
        <f>IFERROR($F$34*C20/$C$34,0)</f>
        <v/>
      </c>
      <c r="G20" s="9">
        <f>E20+F20</f>
        <v/>
      </c>
      <c r="H20" s="8">
        <f>D20-G20</f>
        <v/>
      </c>
      <c r="I20" s="13">
        <f>IFERROR(H20/D20,0)</f>
        <v/>
      </c>
      <c r="J20" s="9">
        <f>IFERROR($J$34*D20/$D$34,0)</f>
        <v/>
      </c>
      <c r="K20" s="26">
        <f>H20-J20</f>
        <v/>
      </c>
    </row>
    <row r="21">
      <c r="A21" s="7" t="inlineStr">
        <is>
          <t>Atasu Global Trans</t>
        </is>
      </c>
      <c r="B21" s="8">
        <f>SUMIFS('Реестр операций'!$F:$F,'Реестр операций'!$D:$D,$A21,'Реестр операций'!$I:$I,"REVENUE",'Реестр операций'!$K:$K,"Аренда")</f>
        <v/>
      </c>
      <c r="C21" s="8">
        <f>SUMIFS('Реестр операций'!$F:$F,'Реестр операций'!$D:$D,$A21,'Реестр операций'!$I:$I,"REVENUE",'Реестр операций'!$K:$K,"ТЭО")</f>
        <v/>
      </c>
      <c r="D21" s="8">
        <f>B21+C21</f>
        <v/>
      </c>
      <c r="E21" s="9">
        <f>IFERROR($E$34*B21/$B$34,0)</f>
        <v/>
      </c>
      <c r="F21" s="9">
        <f>IFERROR($F$34*C21/$C$34,0)</f>
        <v/>
      </c>
      <c r="G21" s="9">
        <f>E21+F21</f>
        <v/>
      </c>
      <c r="H21" s="8">
        <f>D21-G21</f>
        <v/>
      </c>
      <c r="I21" s="13">
        <f>IFERROR(H21/D21,0)</f>
        <v/>
      </c>
      <c r="J21" s="9">
        <f>IFERROR($J$34*D21/$D$34,0)</f>
        <v/>
      </c>
      <c r="K21" s="26">
        <f>H21-J21</f>
        <v/>
      </c>
    </row>
    <row r="22">
      <c r="A22" s="7" t="inlineStr">
        <is>
          <t>Каз Алтын Групп</t>
        </is>
      </c>
      <c r="B22" s="8">
        <f>SUMIFS('Реестр операций'!$F:$F,'Реестр операций'!$D:$D,$A22,'Реестр операций'!$I:$I,"REVENUE",'Реестр операций'!$K:$K,"Аренда")</f>
        <v/>
      </c>
      <c r="C22" s="8">
        <f>SUMIFS('Реестр операций'!$F:$F,'Реестр операций'!$D:$D,$A22,'Реестр операций'!$I:$I,"REVENUE",'Реестр операций'!$K:$K,"ТЭО")</f>
        <v/>
      </c>
      <c r="D22" s="8">
        <f>B22+C22</f>
        <v/>
      </c>
      <c r="E22" s="9">
        <f>IFERROR($E$34*B22/$B$34,0)</f>
        <v/>
      </c>
      <c r="F22" s="9">
        <f>IFERROR($F$34*C22/$C$34,0)</f>
        <v/>
      </c>
      <c r="G22" s="9">
        <f>E22+F22</f>
        <v/>
      </c>
      <c r="H22" s="8">
        <f>D22-G22</f>
        <v/>
      </c>
      <c r="I22" s="13">
        <f>IFERROR(H22/D22,0)</f>
        <v/>
      </c>
      <c r="J22" s="9">
        <f>IFERROR($J$34*D22/$D$34,0)</f>
        <v/>
      </c>
      <c r="K22" s="26">
        <f>H22-J22</f>
        <v/>
      </c>
    </row>
    <row r="23">
      <c r="A23" s="7" t="inlineStr">
        <is>
          <t>STAR TRANS</t>
        </is>
      </c>
      <c r="B23" s="8">
        <f>SUMIFS('Реестр операций'!$F:$F,'Реестр операций'!$D:$D,$A23,'Реестр операций'!$I:$I,"REVENUE",'Реестр операций'!$K:$K,"Аренда")</f>
        <v/>
      </c>
      <c r="C23" s="8">
        <f>SUMIFS('Реестр операций'!$F:$F,'Реестр операций'!$D:$D,$A23,'Реестр операций'!$I:$I,"REVENUE",'Реестр операций'!$K:$K,"ТЭО")</f>
        <v/>
      </c>
      <c r="D23" s="8">
        <f>B23+C23</f>
        <v/>
      </c>
      <c r="E23" s="9">
        <f>IFERROR($E$34*B23/$B$34,0)</f>
        <v/>
      </c>
      <c r="F23" s="9">
        <f>IFERROR($F$34*C23/$C$34,0)</f>
        <v/>
      </c>
      <c r="G23" s="9">
        <f>E23+F23</f>
        <v/>
      </c>
      <c r="H23" s="8">
        <f>D23-G23</f>
        <v/>
      </c>
      <c r="I23" s="13">
        <f>IFERROR(H23/D23,0)</f>
        <v/>
      </c>
      <c r="J23" s="9">
        <f>IFERROR($J$34*D23/$D$34,0)</f>
        <v/>
      </c>
      <c r="K23" s="26">
        <f>H23-J23</f>
        <v/>
      </c>
    </row>
    <row r="24">
      <c r="A24" s="7" t="inlineStr">
        <is>
          <t>K-Portal</t>
        </is>
      </c>
      <c r="B24" s="8">
        <f>SUMIFS('Реестр операций'!$F:$F,'Реестр операций'!$D:$D,$A24,'Реестр операций'!$I:$I,"REVENUE",'Реестр операций'!$K:$K,"Аренда")</f>
        <v/>
      </c>
      <c r="C24" s="8">
        <f>SUMIFS('Реестр операций'!$F:$F,'Реестр операций'!$D:$D,$A24,'Реестр операций'!$I:$I,"REVENUE",'Реестр операций'!$K:$K,"ТЭО")</f>
        <v/>
      </c>
      <c r="D24" s="8">
        <f>B24+C24</f>
        <v/>
      </c>
      <c r="E24" s="9">
        <f>IFERROR($E$34*B24/$B$34,0)</f>
        <v/>
      </c>
      <c r="F24" s="9">
        <f>IFERROR($F$34*C24/$C$34,0)</f>
        <v/>
      </c>
      <c r="G24" s="9">
        <f>E24+F24</f>
        <v/>
      </c>
      <c r="H24" s="8">
        <f>D24-G24</f>
        <v/>
      </c>
      <c r="I24" s="13">
        <f>IFERROR(H24/D24,0)</f>
        <v/>
      </c>
      <c r="J24" s="9">
        <f>IFERROR($J$34*D24/$D$34,0)</f>
        <v/>
      </c>
      <c r="K24" s="26">
        <f>H24-J24</f>
        <v/>
      </c>
    </row>
    <row r="25">
      <c r="A25" s="7" t="inlineStr">
        <is>
          <t>FRS logistics</t>
        </is>
      </c>
      <c r="B25" s="8">
        <f>SUMIFS('Реестр операций'!$F:$F,'Реестр операций'!$D:$D,$A25,'Реестр операций'!$I:$I,"REVENUE",'Реестр операций'!$K:$K,"Аренда")</f>
        <v/>
      </c>
      <c r="C25" s="8">
        <f>SUMIFS('Реестр операций'!$F:$F,'Реестр операций'!$D:$D,$A25,'Реестр операций'!$I:$I,"REVENUE",'Реестр операций'!$K:$K,"ТЭО")</f>
        <v/>
      </c>
      <c r="D25" s="8">
        <f>B25+C25</f>
        <v/>
      </c>
      <c r="E25" s="9">
        <f>IFERROR($E$34*B25/$B$34,0)</f>
        <v/>
      </c>
      <c r="F25" s="9">
        <f>IFERROR($F$34*C25/$C$34,0)</f>
        <v/>
      </c>
      <c r="G25" s="9">
        <f>E25+F25</f>
        <v/>
      </c>
      <c r="H25" s="8">
        <f>D25-G25</f>
        <v/>
      </c>
      <c r="I25" s="13">
        <f>IFERROR(H25/D25,0)</f>
        <v/>
      </c>
      <c r="J25" s="9">
        <f>IFERROR($J$34*D25/$D$34,0)</f>
        <v/>
      </c>
      <c r="K25" s="26">
        <f>H25-J25</f>
        <v/>
      </c>
    </row>
    <row r="26">
      <c r="A26" s="7" t="inlineStr">
        <is>
          <t>EASY BOX</t>
        </is>
      </c>
      <c r="B26" s="8">
        <f>SUMIFS('Реестр операций'!$F:$F,'Реестр операций'!$D:$D,$A26,'Реестр операций'!$I:$I,"REVENUE",'Реестр операций'!$K:$K,"Аренда")</f>
        <v/>
      </c>
      <c r="C26" s="8">
        <f>SUMIFS('Реестр операций'!$F:$F,'Реестр операций'!$D:$D,$A26,'Реестр операций'!$I:$I,"REVENUE",'Реестр операций'!$K:$K,"ТЭО")</f>
        <v/>
      </c>
      <c r="D26" s="8">
        <f>B26+C26</f>
        <v/>
      </c>
      <c r="E26" s="9">
        <f>IFERROR($E$34*B26/$B$34,0)</f>
        <v/>
      </c>
      <c r="F26" s="9">
        <f>IFERROR($F$34*C26/$C$34,0)</f>
        <v/>
      </c>
      <c r="G26" s="9">
        <f>E26+F26</f>
        <v/>
      </c>
      <c r="H26" s="8">
        <f>D26-G26</f>
        <v/>
      </c>
      <c r="I26" s="13">
        <f>IFERROR(H26/D26,0)</f>
        <v/>
      </c>
      <c r="J26" s="9">
        <f>IFERROR($J$34*D26/$D$34,0)</f>
        <v/>
      </c>
      <c r="K26" s="26">
        <f>H26-J26</f>
        <v/>
      </c>
    </row>
    <row r="27">
      <c r="A27" s="7" t="inlineStr">
        <is>
          <t>Global A Group (Глобал А Групп)</t>
        </is>
      </c>
      <c r="B27" s="8">
        <f>SUMIFS('Реестр операций'!$F:$F,'Реестр операций'!$D:$D,$A27,'Реестр операций'!$I:$I,"REVENUE",'Реестр операций'!$K:$K,"Аренда")</f>
        <v/>
      </c>
      <c r="C27" s="8">
        <f>SUMIFS('Реестр операций'!$F:$F,'Реестр операций'!$D:$D,$A27,'Реестр операций'!$I:$I,"REVENUE",'Реестр операций'!$K:$K,"ТЭО")</f>
        <v/>
      </c>
      <c r="D27" s="8">
        <f>B27+C27</f>
        <v/>
      </c>
      <c r="E27" s="9">
        <f>IFERROR($E$34*B27/$B$34,0)</f>
        <v/>
      </c>
      <c r="F27" s="9">
        <f>IFERROR($F$34*C27/$C$34,0)</f>
        <v/>
      </c>
      <c r="G27" s="9">
        <f>E27+F27</f>
        <v/>
      </c>
      <c r="H27" s="8">
        <f>D27-G27</f>
        <v/>
      </c>
      <c r="I27" s="13">
        <f>IFERROR(H27/D27,0)</f>
        <v/>
      </c>
      <c r="J27" s="9">
        <f>IFERROR($J$34*D27/$D$34,0)</f>
        <v/>
      </c>
      <c r="K27" s="26">
        <f>H27-J27</f>
        <v/>
      </c>
    </row>
    <row r="28">
      <c r="A28" s="7" t="inlineStr">
        <is>
          <t>AsstrА Almaty" (АсстрА Алматы)</t>
        </is>
      </c>
      <c r="B28" s="8">
        <f>SUMIFS('Реестр операций'!$F:$F,'Реестр операций'!$D:$D,$A28,'Реестр операций'!$I:$I,"REVENUE",'Реестр операций'!$K:$K,"Аренда")</f>
        <v/>
      </c>
      <c r="C28" s="8">
        <f>SUMIFS('Реестр операций'!$F:$F,'Реестр операций'!$D:$D,$A28,'Реестр операций'!$I:$I,"REVENUE",'Реестр операций'!$K:$K,"ТЭО")</f>
        <v/>
      </c>
      <c r="D28" s="8">
        <f>B28+C28</f>
        <v/>
      </c>
      <c r="E28" s="9">
        <f>IFERROR($E$34*B28/$B$34,0)</f>
        <v/>
      </c>
      <c r="F28" s="9">
        <f>IFERROR($F$34*C28/$C$34,0)</f>
        <v/>
      </c>
      <c r="G28" s="9">
        <f>E28+F28</f>
        <v/>
      </c>
      <c r="H28" s="8">
        <f>D28-G28</f>
        <v/>
      </c>
      <c r="I28" s="13">
        <f>IFERROR(H28/D28,0)</f>
        <v/>
      </c>
      <c r="J28" s="9">
        <f>IFERROR($J$34*D28/$D$34,0)</f>
        <v/>
      </c>
      <c r="K28" s="26">
        <f>H28-J28</f>
        <v/>
      </c>
    </row>
    <row r="29">
      <c r="A29" s="7" t="inlineStr">
        <is>
          <t>Kaz-Smart Logistics</t>
        </is>
      </c>
      <c r="B29" s="8">
        <f>SUMIFS('Реестр операций'!$F:$F,'Реестр операций'!$D:$D,$A29,'Реестр операций'!$I:$I,"REVENUE",'Реестр операций'!$K:$K,"Аренда")</f>
        <v/>
      </c>
      <c r="C29" s="8">
        <f>SUMIFS('Реестр операций'!$F:$F,'Реестр операций'!$D:$D,$A29,'Реестр операций'!$I:$I,"REVENUE",'Реестр операций'!$K:$K,"ТЭО")</f>
        <v/>
      </c>
      <c r="D29" s="8">
        <f>B29+C29</f>
        <v/>
      </c>
      <c r="E29" s="9">
        <f>IFERROR($E$34*B29/$B$34,0)</f>
        <v/>
      </c>
      <c r="F29" s="9">
        <f>IFERROR($F$34*C29/$C$34,0)</f>
        <v/>
      </c>
      <c r="G29" s="9">
        <f>E29+F29</f>
        <v/>
      </c>
      <c r="H29" s="8">
        <f>D29-G29</f>
        <v/>
      </c>
      <c r="I29" s="13">
        <f>IFERROR(H29/D29,0)</f>
        <v/>
      </c>
      <c r="J29" s="9">
        <f>IFERROR($J$34*D29/$D$34,0)</f>
        <v/>
      </c>
      <c r="K29" s="26">
        <f>H29-J29</f>
        <v/>
      </c>
    </row>
    <row r="30">
      <c r="A30" s="7" t="inlineStr">
        <is>
          <t>Максат-2030</t>
        </is>
      </c>
      <c r="B30" s="8">
        <f>SUMIFS('Реестр операций'!$F:$F,'Реестр операций'!$D:$D,$A30,'Реестр операций'!$I:$I,"REVENUE",'Реестр операций'!$K:$K,"Аренда")</f>
        <v/>
      </c>
      <c r="C30" s="8">
        <f>SUMIFS('Реестр операций'!$F:$F,'Реестр операций'!$D:$D,$A30,'Реестр операций'!$I:$I,"REVENUE",'Реестр операций'!$K:$K,"ТЭО")</f>
        <v/>
      </c>
      <c r="D30" s="8">
        <f>B30+C30</f>
        <v/>
      </c>
      <c r="E30" s="9">
        <f>IFERROR($E$34*B30/$B$34,0)</f>
        <v/>
      </c>
      <c r="F30" s="9">
        <f>IFERROR($F$34*C30/$C$34,0)</f>
        <v/>
      </c>
      <c r="G30" s="9">
        <f>E30+F30</f>
        <v/>
      </c>
      <c r="H30" s="8">
        <f>D30-G30</f>
        <v/>
      </c>
      <c r="I30" s="13">
        <f>IFERROR(H30/D30,0)</f>
        <v/>
      </c>
      <c r="J30" s="9">
        <f>IFERROR($J$34*D30/$D$34,0)</f>
        <v/>
      </c>
      <c r="K30" s="26">
        <f>H30-J30</f>
        <v/>
      </c>
    </row>
    <row r="31">
      <c r="A31" s="7" t="inlineStr">
        <is>
          <t>TN-TRANS GROUP</t>
        </is>
      </c>
      <c r="B31" s="8">
        <f>SUMIFS('Реестр операций'!$F:$F,'Реестр операций'!$D:$D,$A31,'Реестр операций'!$I:$I,"REVENUE",'Реестр операций'!$K:$K,"Аренда")</f>
        <v/>
      </c>
      <c r="C31" s="8">
        <f>SUMIFS('Реестр операций'!$F:$F,'Реестр операций'!$D:$D,$A31,'Реестр операций'!$I:$I,"REVENUE",'Реестр операций'!$K:$K,"ТЭО")</f>
        <v/>
      </c>
      <c r="D31" s="8">
        <f>B31+C31</f>
        <v/>
      </c>
      <c r="E31" s="9">
        <f>IFERROR($E$34*B31/$B$34,0)</f>
        <v/>
      </c>
      <c r="F31" s="9">
        <f>IFERROR($F$34*C31/$C$34,0)</f>
        <v/>
      </c>
      <c r="G31" s="9">
        <f>E31+F31</f>
        <v/>
      </c>
      <c r="H31" s="8">
        <f>D31-G31</f>
        <v/>
      </c>
      <c r="I31" s="13">
        <f>IFERROR(H31/D31,0)</f>
        <v/>
      </c>
      <c r="J31" s="9">
        <f>IFERROR($J$34*D31/$D$34,0)</f>
        <v/>
      </c>
      <c r="K31" s="26">
        <f>H31-J31</f>
        <v/>
      </c>
    </row>
    <row r="32">
      <c r="A32" s="7" t="inlineStr">
        <is>
          <t>UE LOGISTIC</t>
        </is>
      </c>
      <c r="B32" s="8">
        <f>SUMIFS('Реестр операций'!$F:$F,'Реестр операций'!$D:$D,$A32,'Реестр операций'!$I:$I,"REVENUE",'Реестр операций'!$K:$K,"Аренда")</f>
        <v/>
      </c>
      <c r="C32" s="8">
        <f>SUMIFS('Реестр операций'!$F:$F,'Реестр операций'!$D:$D,$A32,'Реестр операций'!$I:$I,"REVENUE",'Реестр операций'!$K:$K,"ТЭО")</f>
        <v/>
      </c>
      <c r="D32" s="8">
        <f>B32+C32</f>
        <v/>
      </c>
      <c r="E32" s="9">
        <f>IFERROR($E$34*B32/$B$34,0)</f>
        <v/>
      </c>
      <c r="F32" s="9">
        <f>IFERROR($F$34*C32/$C$34,0)</f>
        <v/>
      </c>
      <c r="G32" s="9">
        <f>E32+F32</f>
        <v/>
      </c>
      <c r="H32" s="8">
        <f>D32-G32</f>
        <v/>
      </c>
      <c r="I32" s="13">
        <f>IFERROR(H32/D32,0)</f>
        <v/>
      </c>
      <c r="J32" s="9">
        <f>IFERROR($J$34*D32/$D$34,0)</f>
        <v/>
      </c>
      <c r="K32" s="26">
        <f>H32-J32</f>
        <v/>
      </c>
    </row>
    <row r="33">
      <c r="A33" s="7" t="inlineStr">
        <is>
          <t>ALTYN EXPO</t>
        </is>
      </c>
      <c r="B33" s="8">
        <f>SUMIFS('Реестр операций'!$F:$F,'Реестр операций'!$D:$D,$A33,'Реестр операций'!$I:$I,"REVENUE",'Реестр операций'!$K:$K,"Аренда")</f>
        <v/>
      </c>
      <c r="C33" s="8">
        <f>SUMIFS('Реестр операций'!$F:$F,'Реестр операций'!$D:$D,$A33,'Реестр операций'!$I:$I,"REVENUE",'Реестр операций'!$K:$K,"ТЭО")</f>
        <v/>
      </c>
      <c r="D33" s="8">
        <f>B33+C33</f>
        <v/>
      </c>
      <c r="E33" s="9">
        <f>IFERROR($E$34*B33/$B$34,0)</f>
        <v/>
      </c>
      <c r="F33" s="9">
        <f>IFERROR($F$34*C33/$C$34,0)</f>
        <v/>
      </c>
      <c r="G33" s="9">
        <f>E33+F33</f>
        <v/>
      </c>
      <c r="H33" s="8">
        <f>D33-G33</f>
        <v/>
      </c>
      <c r="I33" s="13">
        <f>IFERROR(H33/D33,0)</f>
        <v/>
      </c>
      <c r="J33" s="9">
        <f>IFERROR($J$34*D33/$D$34,0)</f>
        <v/>
      </c>
      <c r="K33" s="26">
        <f>H33-J33</f>
        <v/>
      </c>
    </row>
    <row r="34">
      <c r="A34" s="14" t="inlineStr">
        <is>
          <t>ИТОГО</t>
        </is>
      </c>
      <c r="B34" s="22">
        <f>SUMIFS('Реестр операций'!$F:$F,'Реестр операций'!$I:$I,"REVENUE",'Реестр операций'!$K:$K,"Аренда")</f>
        <v/>
      </c>
      <c r="C34" s="22">
        <f>SUMIFS('Реестр операций'!$F:$F,'Реестр операций'!$I:$I,"REVENUE",'Реестр операций'!$K:$K,"ТЭО")</f>
        <v/>
      </c>
      <c r="D34" s="22">
        <f>B34+C34</f>
        <v/>
      </c>
      <c r="E34" s="24">
        <f>SUMIFS('Реестр операций'!$G:$G,'Реестр операций'!$I:$I,"COGS",'Реестр операций'!$K:$K,"Аренда")</f>
        <v/>
      </c>
      <c r="F34" s="24">
        <f>SUMIFS('Реестр операций'!$G:$G,'Реестр операций'!$I:$I,"COGS",'Реестр операций'!$K:$K,"ТЭО")</f>
        <v/>
      </c>
      <c r="G34" s="24">
        <f>E34+F34</f>
        <v/>
      </c>
      <c r="H34" s="15">
        <f>D34-G34</f>
        <v/>
      </c>
      <c r="I34" s="23">
        <f>IFERROR(H34/D34,0)</f>
        <v/>
      </c>
      <c r="J34" s="24">
        <f>SUMIFS('Реестр операций'!$G:$G,'Реестр операций'!$I:$I,"OPEX")+SUMIFS('Реестр операций'!$G:$G,'Реестр операций'!$I:$I,"TAX")+SUMIFS('Реестр операций'!$G:$G,'Реестр операций'!$I:$I,"FIN_COST")+SUMIFS('Реестр операций'!$G:$G,'Реестр операций'!$I:$I,"CONTRA")-SUMIFS('Реестр операций'!$F:$F,'Реестр операций'!$I:$I,"FIN_INCOME")-SUMIFS('Реестр операций'!$F:$F,'Реестр операций'!$I:$I,"FIN_COST")</f>
        <v/>
      </c>
      <c r="K34" s="15">
        <f>H34-J34</f>
        <v/>
      </c>
    </row>
  </sheetData>
  <mergeCells count="1">
    <mergeCell ref="A3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8" customWidth="1" min="3" max="3"/>
    <col width="18" customWidth="1" min="4" max="4"/>
  </cols>
  <sheetData>
    <row r="1">
      <c r="A1" s="21" t="inlineStr">
        <is>
          <t>ОТЧЁТ О ДВИЖЕНИИ ДЕНЕЖНЫХ СРЕДСТВ (прямой метод)</t>
        </is>
      </c>
    </row>
    <row r="2">
      <c r="A2" s="3" t="inlineStr">
        <is>
          <t>ТОО «WayStar Group» (БИН 240340014287)  ·  15.06.2026 – 15.07.2026  ·  ₸</t>
        </is>
      </c>
    </row>
    <row r="4">
      <c r="A4" s="17" t="inlineStr">
        <is>
          <t>Статья</t>
        </is>
      </c>
      <c r="B4" s="17" t="inlineStr">
        <is>
          <t>Поступления</t>
        </is>
      </c>
      <c r="C4" s="17" t="inlineStr">
        <is>
          <t>Выплаты</t>
        </is>
      </c>
      <c r="D4" s="17" t="inlineStr">
        <is>
          <t>Итого</t>
        </is>
      </c>
    </row>
    <row r="5">
      <c r="A5" s="14" t="inlineStr">
        <is>
          <t>Остаток денежных средств на начало периода</t>
        </is>
      </c>
      <c r="B5" s="27">
        <f>297933.26</f>
        <v/>
      </c>
      <c r="C5" s="28" t="n"/>
      <c r="D5" s="22">
        <f>IFERROR(B5,0)+IFERROR(C5,0)</f>
        <v/>
      </c>
    </row>
    <row r="6">
      <c r="A6" s="29" t="inlineStr">
        <is>
          <t>ОПЕРАЦИОННАЯ ДЕЯТЕЛЬНОСТЬ</t>
        </is>
      </c>
      <c r="B6" s="30" t="inlineStr"/>
      <c r="C6" s="30" t="inlineStr"/>
      <c r="D6" s="30" t="inlineStr"/>
    </row>
    <row r="7">
      <c r="A7" s="7" t="inlineStr">
        <is>
          <t xml:space="preserve">      Поступления от клиентов</t>
        </is>
      </c>
      <c r="B7" s="8">
        <f>SUMIFS('Реестр операций'!$F:$F,'Реестр операций'!$I:$I,"REVENUE")</f>
        <v/>
      </c>
      <c r="C7" s="9" t="n"/>
      <c r="D7" s="8">
        <f>IFERROR(B7,0)+IFERROR(C7,0)</f>
        <v/>
      </c>
    </row>
    <row r="8">
      <c r="A8" s="7" t="inlineStr">
        <is>
          <t xml:space="preserve">      Возврат средств клиентам</t>
        </is>
      </c>
      <c r="B8" s="8" t="n"/>
      <c r="C8" s="9">
        <f>-SUMIFS('Реестр операций'!$G:$G,'Реестр операций'!$I:$I,"CONTRA")</f>
        <v/>
      </c>
      <c r="D8" s="8">
        <f>IFERROR(B8,0)+IFERROR(C8,0)</f>
        <v/>
      </c>
    </row>
    <row r="9">
      <c r="A9" s="7" t="inlineStr">
        <is>
          <t xml:space="preserve">      Оплата перевозчикам / ж/д тариф / вагоны (COGS)</t>
        </is>
      </c>
      <c r="B9" s="8" t="n"/>
      <c r="C9" s="9">
        <f>-SUMIFS('Реестр операций'!$G:$G,'Реестр операций'!$I:$I,"COGS")</f>
        <v/>
      </c>
      <c r="D9" s="8">
        <f>IFERROR(B9,0)+IFERROR(C9,0)</f>
        <v/>
      </c>
    </row>
    <row r="10">
      <c r="A10" s="7" t="inlineStr">
        <is>
          <t xml:space="preserve">      Операционные расходы (ЗП, аренда, банк, связь)</t>
        </is>
      </c>
      <c r="B10" s="8" t="n"/>
      <c r="C10" s="9">
        <f>-SUMIFS('Реестр операций'!$G:$G,'Реестр операций'!$I:$I,"OPEX")</f>
        <v/>
      </c>
      <c r="D10" s="8">
        <f>IFERROR(B10,0)+IFERROR(C10,0)</f>
        <v/>
      </c>
    </row>
    <row r="11">
      <c r="A11" s="7" t="inlineStr">
        <is>
          <t xml:space="preserve">      Налоги и социальные платежи</t>
        </is>
      </c>
      <c r="B11" s="8" t="n"/>
      <c r="C11" s="9">
        <f>-SUMIFS('Реестр операций'!$G:$G,'Реестр операций'!$I:$I,"TAX")</f>
        <v/>
      </c>
      <c r="D11" s="8">
        <f>IFERROR(B11,0)+IFERROR(C11,0)</f>
        <v/>
      </c>
    </row>
    <row r="12">
      <c r="A12" s="7" t="inlineStr">
        <is>
          <t xml:space="preserve">      Проценты и пени по кредитам</t>
        </is>
      </c>
      <c r="B12" s="8" t="n"/>
      <c r="C12" s="9">
        <f>-SUMIFS('Реестр операций'!$G:$G,'Реестр операций'!$I:$I,"FIN_COST")</f>
        <v/>
      </c>
      <c r="D12" s="8">
        <f>IFERROR(B12,0)+IFERROR(C12,0)</f>
        <v/>
      </c>
    </row>
    <row r="13">
      <c r="A13" s="7" t="inlineStr">
        <is>
          <t xml:space="preserve">      Проценты по депозитам</t>
        </is>
      </c>
      <c r="B13" s="8">
        <f>SUMIFS('Реестр операций'!$F:$F,'Реестр операций'!$I:$I,"FIN_INCOME")</f>
        <v/>
      </c>
      <c r="C13" s="9" t="n"/>
      <c r="D13" s="8">
        <f>IFERROR(B13,0)+IFERROR(C13,0)</f>
        <v/>
      </c>
    </row>
    <row r="14">
      <c r="A14" s="14" t="inlineStr">
        <is>
          <t>Итого по операционной деятельности</t>
        </is>
      </c>
      <c r="B14" s="27" t="n"/>
      <c r="C14" s="28" t="n"/>
      <c r="D14" s="15">
        <f>SUM(D7:D13)</f>
        <v/>
      </c>
    </row>
    <row r="15">
      <c r="A15" s="29" t="inlineStr">
        <is>
          <t>ИНВЕСТИЦИОННАЯ / КАЗНАЧЕЙСКАЯ ДЕЯТЕЛЬНОСТЬ</t>
        </is>
      </c>
      <c r="B15" s="30" t="inlineStr"/>
      <c r="C15" s="30" t="inlineStr"/>
      <c r="D15" s="30" t="inlineStr"/>
    </row>
    <row r="16">
      <c r="A16" s="7" t="inlineStr">
        <is>
          <t xml:space="preserve">      Снятие / возврат депозитов</t>
        </is>
      </c>
      <c r="B16" s="8">
        <f>SUMIFS('Реестр операций'!$F:$F,'Реестр операций'!$J:$J,"Снятие/возврат депозита")</f>
        <v/>
      </c>
      <c r="C16" s="9" t="n"/>
      <c r="D16" s="8">
        <f>IFERROR(B16,0)+IFERROR(C16,0)</f>
        <v/>
      </c>
    </row>
    <row r="17">
      <c r="A17" s="7" t="inlineStr">
        <is>
          <t xml:space="preserve">      Размещение депозитов</t>
        </is>
      </c>
      <c r="B17" s="8" t="n"/>
      <c r="C17" s="9">
        <f>-SUMIFS('Реестр операций'!$G:$G,'Реестр операций'!$J:$J,"Размещение депозита")</f>
        <v/>
      </c>
      <c r="D17" s="8">
        <f>IFERROR(B17,0)+IFERROR(C17,0)</f>
        <v/>
      </c>
    </row>
    <row r="18">
      <c r="A18" s="7" t="inlineStr">
        <is>
          <t xml:space="preserve">      Покупка иностранной валюты (FX)</t>
        </is>
      </c>
      <c r="B18" s="8" t="n"/>
      <c r="C18" s="9">
        <f>-SUMIFS('Реестр операций'!$G:$G,'Реестр операций'!$J:$J,"Покупка валюты (FX)")</f>
        <v/>
      </c>
      <c r="D18" s="8">
        <f>IFERROR(B18,0)+IFERROR(C18,0)</f>
        <v/>
      </c>
    </row>
    <row r="19">
      <c r="A19" s="14" t="inlineStr">
        <is>
          <t>Итого по инвестиц./казнач. деятельности</t>
        </is>
      </c>
      <c r="B19" s="27" t="n"/>
      <c r="C19" s="28" t="n"/>
      <c r="D19" s="22">
        <f>SUM(D16:D18)</f>
        <v/>
      </c>
    </row>
    <row r="20">
      <c r="A20" s="29" t="inlineStr">
        <is>
          <t>ФИНАНСОВАЯ ДЕЯТЕЛЬНОСТЬ</t>
        </is>
      </c>
      <c r="B20" s="30" t="inlineStr"/>
      <c r="C20" s="30" t="inlineStr"/>
      <c r="D20" s="30" t="inlineStr"/>
    </row>
    <row r="21">
      <c r="A21" s="7" t="inlineStr">
        <is>
          <t xml:space="preserve">      Займы полученные / возврат выданных займов</t>
        </is>
      </c>
      <c r="B21" s="8">
        <f>SUMIFS('Реестр операций'!$F:$F,'Реестр операций'!$I:$I,"FINANCING")</f>
        <v/>
      </c>
      <c r="C21" s="9" t="n"/>
      <c r="D21" s="8">
        <f>IFERROR(B21,0)+IFERROR(C21,0)</f>
        <v/>
      </c>
    </row>
    <row r="22">
      <c r="A22" s="7" t="inlineStr">
        <is>
          <t xml:space="preserve">      Погашение и выдача займов</t>
        </is>
      </c>
      <c r="B22" s="8" t="n"/>
      <c r="C22" s="9">
        <f>-SUMIFS('Реестр операций'!$G:$G,'Реестр операций'!$I:$I,"FINANCING")</f>
        <v/>
      </c>
      <c r="D22" s="8">
        <f>IFERROR(B22,0)+IFERROR(C22,0)</f>
        <v/>
      </c>
    </row>
    <row r="23">
      <c r="A23" s="14" t="inlineStr">
        <is>
          <t>Итого по финансовой деятельности</t>
        </is>
      </c>
      <c r="B23" s="27" t="n"/>
      <c r="C23" s="28" t="n"/>
      <c r="D23" s="22">
        <f>SUM(D21:D22)</f>
        <v/>
      </c>
    </row>
    <row r="24">
      <c r="A24" s="29" t="inlineStr">
        <is>
          <t>ВНУТРЕННИЕ ПЕРЕВОДЫ И ПРОЧЕЕ</t>
        </is>
      </c>
      <c r="B24" s="30" t="inlineStr"/>
      <c r="C24" s="30" t="inlineStr"/>
      <c r="D24" s="30" t="inlineStr"/>
    </row>
    <row r="25">
      <c r="A25" s="7" t="inlineStr">
        <is>
          <t xml:space="preserve">      Переводы между собственными счетами (в т.ч. КЛС)</t>
        </is>
      </c>
      <c r="B25" s="8">
        <f>SUMIFS('Реестр операций'!$F:$F,'Реестр операций'!$I:$I,"INTERNAL")</f>
        <v/>
      </c>
      <c r="C25" s="9">
        <f>-SUMIFS('Реестр операций'!$G:$G,'Реестр операций'!$I:$I,"INTERNAL")</f>
        <v/>
      </c>
      <c r="D25" s="8">
        <f>IFERROR(B25,0)+IFERROR(C25,0)</f>
        <v/>
      </c>
    </row>
    <row r="26">
      <c r="A26" s="7" t="inlineStr">
        <is>
          <t xml:space="preserve">      Прочие поступления</t>
        </is>
      </c>
      <c r="B26" s="8">
        <f>SUMIFS('Реестр операций'!$F:$F,'Реестр операций'!$I:$I,"OTHER_IN")</f>
        <v/>
      </c>
      <c r="C26" s="9" t="n"/>
      <c r="D26" s="8">
        <f>IFERROR(B26,0)+IFERROR(C26,0)</f>
        <v/>
      </c>
    </row>
    <row r="27">
      <c r="A27" s="5" t="inlineStr">
        <is>
          <t>ЧИСТОЕ ИЗМЕНЕНИЕ ДЕНЕЖНЫХ СРЕДСТВ</t>
        </is>
      </c>
      <c r="B27" s="6" t="inlineStr"/>
      <c r="C27" s="6" t="inlineStr"/>
      <c r="D27" s="31">
        <f>D14+D19+D23+D25+D26</f>
        <v/>
      </c>
    </row>
    <row r="28">
      <c r="A28" s="14" t="inlineStr">
        <is>
          <t>Остаток денежных средств на конец периода</t>
        </is>
      </c>
      <c r="B28" s="22">
        <f>113411502.27</f>
        <v/>
      </c>
      <c r="C28" s="28" t="n"/>
      <c r="D28" s="15">
        <f>D5+D27</f>
        <v/>
      </c>
    </row>
    <row r="30">
      <c r="A30" s="32" t="inlineStr">
        <is>
          <t>Сверка по банковским счетам (контроль):</t>
        </is>
      </c>
    </row>
    <row r="31">
      <c r="A31" s="17" t="inlineStr">
        <is>
          <t>Банк / счёт</t>
        </is>
      </c>
      <c r="B31" s="17" t="inlineStr">
        <is>
          <t>Остаток на начало</t>
        </is>
      </c>
      <c r="C31" s="17" t="inlineStr">
        <is>
          <t>Остаток на конец</t>
        </is>
      </c>
      <c r="D31" s="6" t="inlineStr"/>
    </row>
    <row r="32">
      <c r="A32" s="7" t="inlineStr">
        <is>
          <t>АО «Банк ЦентрКредит»</t>
        </is>
      </c>
      <c r="B32" s="8" t="n">
        <v>75346.24000000001</v>
      </c>
      <c r="C32" s="8" t="n">
        <v>110840346.22</v>
      </c>
      <c r="D32" s="7" t="inlineStr"/>
    </row>
    <row r="33">
      <c r="A33" s="7" t="inlineStr">
        <is>
          <t>АО «Народный Банк»</t>
        </is>
      </c>
      <c r="B33" s="8" t="n">
        <v>222587.02</v>
      </c>
      <c r="C33" s="8" t="n">
        <v>2526900</v>
      </c>
      <c r="D33" s="7" t="inlineStr"/>
    </row>
    <row r="34">
      <c r="A34" s="7" t="inlineStr">
        <is>
          <t>АО «Bank RBK»</t>
        </is>
      </c>
      <c r="B34" s="8" t="n">
        <v>0</v>
      </c>
      <c r="C34" s="8" t="n">
        <v>44256.05</v>
      </c>
      <c r="D34" s="7" t="inlineStr"/>
    </row>
    <row r="35">
      <c r="A35" s="14" t="inlineStr">
        <is>
          <t>ИТОГО по 3 счетам</t>
        </is>
      </c>
      <c r="B35" s="22">
        <f>SUM(B32:B34)</f>
        <v/>
      </c>
      <c r="C35" s="22">
        <f>SUM(C32:C34)</f>
        <v/>
      </c>
      <c r="D3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0" customWidth="1" min="4" max="4"/>
    <col width="16" customWidth="1" min="5" max="5"/>
    <col width="9" customWidth="1" min="6" max="6"/>
  </cols>
  <sheetData>
    <row r="1">
      <c r="A1" s="21" t="inlineStr">
        <is>
          <t>ВЫРУЧКА ПО КЛИЕНТАМ</t>
        </is>
      </c>
    </row>
    <row r="2">
      <c r="A2" s="3" t="inlineStr">
        <is>
          <t>15.06.2026 – 15.07.2026  ·  ₸</t>
        </is>
      </c>
    </row>
    <row r="4">
      <c r="A4" s="17" t="inlineStr">
        <is>
          <t>Клиент</t>
        </is>
      </c>
      <c r="B4" s="17" t="inlineStr">
        <is>
          <t>Аренда</t>
        </is>
      </c>
      <c r="C4" s="17" t="inlineStr">
        <is>
          <t>ТЭО</t>
        </is>
      </c>
      <c r="D4" s="17" t="inlineStr">
        <is>
          <t>Операций</t>
        </is>
      </c>
      <c r="E4" s="17" t="inlineStr">
        <is>
          <t>Сумма ИТОГО</t>
        </is>
      </c>
      <c r="F4" s="17" t="inlineStr">
        <is>
          <t>Доля</t>
        </is>
      </c>
    </row>
    <row r="5">
      <c r="A5" s="7" t="inlineStr">
        <is>
          <t>QAZAQ-ASTYQ GROUP</t>
        </is>
      </c>
      <c r="B5" s="8">
        <f>SUMIFS('Реестр операций'!$F:$F,'Реестр операций'!$D:$D,$A5,'Реестр операций'!$I:$I,"REVENUE",'Реестр операций'!$K:$K,"Аренда")</f>
        <v/>
      </c>
      <c r="C5" s="8">
        <f>SUMIFS('Реестр операций'!$F:$F,'Реестр операций'!$D:$D,$A5,'Реестр операций'!$I:$I,"REVENUE",'Реестр операций'!$K:$K,"ТЭО")</f>
        <v/>
      </c>
      <c r="D5" s="33">
        <f>COUNTIFS('Реестр операций'!$D:$D,$A5,'Реестр операций'!$I:$I,"REVENUE")</f>
        <v/>
      </c>
      <c r="E5" s="8">
        <f>B5+C5</f>
        <v/>
      </c>
      <c r="F5" s="13">
        <f>IFERROR(E5/$E$33,0)</f>
        <v/>
      </c>
    </row>
    <row r="6">
      <c r="A6" s="7" t="inlineStr">
        <is>
          <t>Altyn Shyghys</t>
        </is>
      </c>
      <c r="B6" s="8">
        <f>SUMIFS('Реестр операций'!$F:$F,'Реестр операций'!$D:$D,$A6,'Реестр операций'!$I:$I,"REVENUE",'Реестр операций'!$K:$K,"Аренда")</f>
        <v/>
      </c>
      <c r="C6" s="8">
        <f>SUMIFS('Реестр операций'!$F:$F,'Реестр операций'!$D:$D,$A6,'Реестр операций'!$I:$I,"REVENUE",'Реестр операций'!$K:$K,"ТЭО")</f>
        <v/>
      </c>
      <c r="D6" s="33">
        <f>COUNTIFS('Реестр операций'!$D:$D,$A6,'Реестр операций'!$I:$I,"REVENUE")</f>
        <v/>
      </c>
      <c r="E6" s="8">
        <f>B6+C6</f>
        <v/>
      </c>
      <c r="F6" s="13">
        <f>IFERROR(E6/$E$33,0)</f>
        <v/>
      </c>
    </row>
    <row r="7">
      <c r="A7" s="7" t="inlineStr">
        <is>
          <t>East Agro Company</t>
        </is>
      </c>
      <c r="B7" s="8">
        <f>SUMIFS('Реестр операций'!$F:$F,'Реестр операций'!$D:$D,$A7,'Реестр операций'!$I:$I,"REVENUE",'Реестр операций'!$K:$K,"Аренда")</f>
        <v/>
      </c>
      <c r="C7" s="8">
        <f>SUMIFS('Реестр операций'!$F:$F,'Реестр операций'!$D:$D,$A7,'Реестр операций'!$I:$I,"REVENUE",'Реестр операций'!$K:$K,"ТЭО")</f>
        <v/>
      </c>
      <c r="D7" s="33">
        <f>COUNTIFS('Реестр операций'!$D:$D,$A7,'Реестр операций'!$I:$I,"REVENUE")</f>
        <v/>
      </c>
      <c r="E7" s="8">
        <f>B7+C7</f>
        <v/>
      </c>
      <c r="F7" s="13">
        <f>IFERROR(E7/$E$33,0)</f>
        <v/>
      </c>
    </row>
    <row r="8">
      <c r="A8" s="7" t="inlineStr">
        <is>
          <t>Экспорт-М</t>
        </is>
      </c>
      <c r="B8" s="8">
        <f>SUMIFS('Реестр операций'!$F:$F,'Реестр операций'!$D:$D,$A8,'Реестр операций'!$I:$I,"REVENUE",'Реестр операций'!$K:$K,"Аренда")</f>
        <v/>
      </c>
      <c r="C8" s="8">
        <f>SUMIFS('Реестр операций'!$F:$F,'Реестр операций'!$D:$D,$A8,'Реестр операций'!$I:$I,"REVENUE",'Реестр операций'!$K:$K,"ТЭО")</f>
        <v/>
      </c>
      <c r="D8" s="33">
        <f>COUNTIFS('Реестр операций'!$D:$D,$A8,'Реестр операций'!$I:$I,"REVENUE")</f>
        <v/>
      </c>
      <c r="E8" s="8">
        <f>B8+C8</f>
        <v/>
      </c>
      <c r="F8" s="13">
        <f>IFERROR(E8/$E$33,0)</f>
        <v/>
      </c>
    </row>
    <row r="9">
      <c r="A9" s="7" t="inlineStr">
        <is>
          <t>GREENLIGHTS (ГРИНЛАЙТС)</t>
        </is>
      </c>
      <c r="B9" s="8">
        <f>SUMIFS('Реестр операций'!$F:$F,'Реестр операций'!$D:$D,$A9,'Реестр операций'!$I:$I,"REVENUE",'Реестр операций'!$K:$K,"Аренда")</f>
        <v/>
      </c>
      <c r="C9" s="8">
        <f>SUMIFS('Реестр операций'!$F:$F,'Реестр операций'!$D:$D,$A9,'Реестр операций'!$I:$I,"REVENUE",'Реестр операций'!$K:$K,"ТЭО")</f>
        <v/>
      </c>
      <c r="D9" s="33">
        <f>COUNTIFS('Реестр операций'!$D:$D,$A9,'Реестр операций'!$I:$I,"REVENUE")</f>
        <v/>
      </c>
      <c r="E9" s="8">
        <f>B9+C9</f>
        <v/>
      </c>
      <c r="F9" s="13">
        <f>IFERROR(E9/$E$33,0)</f>
        <v/>
      </c>
    </row>
    <row r="10">
      <c r="A10" s="7" t="inlineStr">
        <is>
          <t>ResursLogistiс (РесурсЛогистик)</t>
        </is>
      </c>
      <c r="B10" s="8">
        <f>SUMIFS('Реестр операций'!$F:$F,'Реестр операций'!$D:$D,$A10,'Реестр операций'!$I:$I,"REVENUE",'Реестр операций'!$K:$K,"Аренда")</f>
        <v/>
      </c>
      <c r="C10" s="8">
        <f>SUMIFS('Реестр операций'!$F:$F,'Реестр операций'!$D:$D,$A10,'Реестр операций'!$I:$I,"REVENUE",'Реестр операций'!$K:$K,"ТЭО")</f>
        <v/>
      </c>
      <c r="D10" s="33">
        <f>COUNTIFS('Реестр операций'!$D:$D,$A10,'Реестр операций'!$I:$I,"REVENUE")</f>
        <v/>
      </c>
      <c r="E10" s="8">
        <f>B10+C10</f>
        <v/>
      </c>
      <c r="F10" s="13">
        <f>IFERROR(E10/$E$33,0)</f>
        <v/>
      </c>
    </row>
    <row r="11">
      <c r="A11" s="7" t="inlineStr">
        <is>
          <t>ШыгысАгроТорг</t>
        </is>
      </c>
      <c r="B11" s="8">
        <f>SUMIFS('Реестр операций'!$F:$F,'Реестр операций'!$D:$D,$A11,'Реестр операций'!$I:$I,"REVENUE",'Реестр операций'!$K:$K,"Аренда")</f>
        <v/>
      </c>
      <c r="C11" s="8">
        <f>SUMIFS('Реестр операций'!$F:$F,'Реестр операций'!$D:$D,$A11,'Реестр операций'!$I:$I,"REVENUE",'Реестр операций'!$K:$K,"ТЭО")</f>
        <v/>
      </c>
      <c r="D11" s="33">
        <f>COUNTIFS('Реестр операций'!$D:$D,$A11,'Реестр операций'!$I:$I,"REVENUE")</f>
        <v/>
      </c>
      <c r="E11" s="8">
        <f>B11+C11</f>
        <v/>
      </c>
      <c r="F11" s="13">
        <f>IFERROR(E11/$E$33,0)</f>
        <v/>
      </c>
    </row>
    <row r="12">
      <c r="A12" s="7" t="inlineStr">
        <is>
          <t>АРАЙ ТОО</t>
        </is>
      </c>
      <c r="B12" s="8">
        <f>SUMIFS('Реестр операций'!$F:$F,'Реестр операций'!$D:$D,$A12,'Реестр операций'!$I:$I,"REVENUE",'Реестр операций'!$K:$K,"Аренда")</f>
        <v/>
      </c>
      <c r="C12" s="8">
        <f>SUMIFS('Реестр операций'!$F:$F,'Реестр операций'!$D:$D,$A12,'Реестр операций'!$I:$I,"REVENUE",'Реестр операций'!$K:$K,"ТЭО")</f>
        <v/>
      </c>
      <c r="D12" s="33">
        <f>COUNTIFS('Реестр операций'!$D:$D,$A12,'Реестр операций'!$I:$I,"REVENUE")</f>
        <v/>
      </c>
      <c r="E12" s="8">
        <f>B12+C12</f>
        <v/>
      </c>
      <c r="F12" s="13">
        <f>IFERROR(E12/$E$33,0)</f>
        <v/>
      </c>
    </row>
    <row r="13">
      <c r="A13" s="7" t="inlineStr">
        <is>
          <t>ROYAL EXPORT</t>
        </is>
      </c>
      <c r="B13" s="8">
        <f>SUMIFS('Реестр операций'!$F:$F,'Реестр операций'!$D:$D,$A13,'Реестр операций'!$I:$I,"REVENUE",'Реестр операций'!$K:$K,"Аренда")</f>
        <v/>
      </c>
      <c r="C13" s="8">
        <f>SUMIFS('Реестр операций'!$F:$F,'Реестр операций'!$D:$D,$A13,'Реестр операций'!$I:$I,"REVENUE",'Реестр операций'!$K:$K,"ТЭО")</f>
        <v/>
      </c>
      <c r="D13" s="33">
        <f>COUNTIFS('Реестр операций'!$D:$D,$A13,'Реестр операций'!$I:$I,"REVENUE")</f>
        <v/>
      </c>
      <c r="E13" s="8">
        <f>B13+C13</f>
        <v/>
      </c>
      <c r="F13" s="13">
        <f>IFERROR(E13/$E$33,0)</f>
        <v/>
      </c>
    </row>
    <row r="14">
      <c r="A14" s="7" t="inlineStr">
        <is>
          <t>Темир Экспресс Логистик</t>
        </is>
      </c>
      <c r="B14" s="8">
        <f>SUMIFS('Реестр операций'!$F:$F,'Реестр операций'!$D:$D,$A14,'Реестр операций'!$I:$I,"REVENUE",'Реестр операций'!$K:$K,"Аренда")</f>
        <v/>
      </c>
      <c r="C14" s="8">
        <f>SUMIFS('Реестр операций'!$F:$F,'Реестр операций'!$D:$D,$A14,'Реестр операций'!$I:$I,"REVENUE",'Реестр операций'!$K:$K,"ТЭО")</f>
        <v/>
      </c>
      <c r="D14" s="33">
        <f>COUNTIFS('Реестр операций'!$D:$D,$A14,'Реестр операций'!$I:$I,"REVENUE")</f>
        <v/>
      </c>
      <c r="E14" s="8">
        <f>B14+C14</f>
        <v/>
      </c>
      <c r="F14" s="13">
        <f>IFERROR(E14/$E$33,0)</f>
        <v/>
      </c>
    </row>
    <row r="15">
      <c r="A15" s="7" t="inlineStr">
        <is>
          <t>Rhenus Intermodal Systems</t>
        </is>
      </c>
      <c r="B15" s="8">
        <f>SUMIFS('Реестр операций'!$F:$F,'Реестр операций'!$D:$D,$A15,'Реестр операций'!$I:$I,"REVENUE",'Реестр операций'!$K:$K,"Аренда")</f>
        <v/>
      </c>
      <c r="C15" s="8">
        <f>SUMIFS('Реестр операций'!$F:$F,'Реестр операций'!$D:$D,$A15,'Реестр операций'!$I:$I,"REVENUE",'Реестр операций'!$K:$K,"ТЭО")</f>
        <v/>
      </c>
      <c r="D15" s="33">
        <f>COUNTIFS('Реестр операций'!$D:$D,$A15,'Реестр операций'!$I:$I,"REVENUE")</f>
        <v/>
      </c>
      <c r="E15" s="8">
        <f>B15+C15</f>
        <v/>
      </c>
      <c r="F15" s="13">
        <f>IFERROR(E15/$E$33,0)</f>
        <v/>
      </c>
    </row>
    <row r="16">
      <c r="A16" s="7" t="inlineStr">
        <is>
          <t>SYSTEM LTD</t>
        </is>
      </c>
      <c r="B16" s="8">
        <f>SUMIFS('Реестр операций'!$F:$F,'Реестр операций'!$D:$D,$A16,'Реестр операций'!$I:$I,"REVENUE",'Реестр операций'!$K:$K,"Аренда")</f>
        <v/>
      </c>
      <c r="C16" s="8">
        <f>SUMIFS('Реестр операций'!$F:$F,'Реестр операций'!$D:$D,$A16,'Реестр операций'!$I:$I,"REVENUE",'Реестр операций'!$K:$K,"ТЭО")</f>
        <v/>
      </c>
      <c r="D16" s="33">
        <f>COUNTIFS('Реестр операций'!$D:$D,$A16,'Реестр операций'!$I:$I,"REVENUE")</f>
        <v/>
      </c>
      <c r="E16" s="8">
        <f>B16+C16</f>
        <v/>
      </c>
      <c r="F16" s="13">
        <f>IFERROR(E16/$E$33,0)</f>
        <v/>
      </c>
    </row>
    <row r="17">
      <c r="A17" s="7" t="inlineStr">
        <is>
          <t>Cargo Express PV</t>
        </is>
      </c>
      <c r="B17" s="8">
        <f>SUMIFS('Реестр операций'!$F:$F,'Реестр операций'!$D:$D,$A17,'Реестр операций'!$I:$I,"REVENUE",'Реестр операций'!$K:$K,"Аренда")</f>
        <v/>
      </c>
      <c r="C17" s="8">
        <f>SUMIFS('Реестр операций'!$F:$F,'Реестр операций'!$D:$D,$A17,'Реестр операций'!$I:$I,"REVENUE",'Реестр операций'!$K:$K,"ТЭО")</f>
        <v/>
      </c>
      <c r="D17" s="33">
        <f>COUNTIFS('Реестр операций'!$D:$D,$A17,'Реестр операций'!$I:$I,"REVENUE")</f>
        <v/>
      </c>
      <c r="E17" s="8">
        <f>B17+C17</f>
        <v/>
      </c>
      <c r="F17" s="13">
        <f>IFERROR(E17/$E$33,0)</f>
        <v/>
      </c>
    </row>
    <row r="18">
      <c r="A18" s="7" t="inlineStr">
        <is>
          <t>TimeAgro</t>
        </is>
      </c>
      <c r="B18" s="8">
        <f>SUMIFS('Реестр операций'!$F:$F,'Реестр операций'!$D:$D,$A18,'Реестр операций'!$I:$I,"REVENUE",'Реестр операций'!$K:$K,"Аренда")</f>
        <v/>
      </c>
      <c r="C18" s="8">
        <f>SUMIFS('Реестр операций'!$F:$F,'Реестр операций'!$D:$D,$A18,'Реестр операций'!$I:$I,"REVENUE",'Реестр операций'!$K:$K,"ТЭО")</f>
        <v/>
      </c>
      <c r="D18" s="33">
        <f>COUNTIFS('Реестр операций'!$D:$D,$A18,'Реестр операций'!$I:$I,"REVENUE")</f>
        <v/>
      </c>
      <c r="E18" s="8">
        <f>B18+C18</f>
        <v/>
      </c>
      <c r="F18" s="13">
        <f>IFERROR(E18/$E$33,0)</f>
        <v/>
      </c>
    </row>
    <row r="19">
      <c r="A19" s="7" t="inlineStr">
        <is>
          <t>Serpin Logistic</t>
        </is>
      </c>
      <c r="B19" s="8">
        <f>SUMIFS('Реестр операций'!$F:$F,'Реестр операций'!$D:$D,$A19,'Реестр операций'!$I:$I,"REVENUE",'Реестр операций'!$K:$K,"Аренда")</f>
        <v/>
      </c>
      <c r="C19" s="8">
        <f>SUMIFS('Реестр операций'!$F:$F,'Реестр операций'!$D:$D,$A19,'Реестр операций'!$I:$I,"REVENUE",'Реестр операций'!$K:$K,"ТЭО")</f>
        <v/>
      </c>
      <c r="D19" s="33">
        <f>COUNTIFS('Реестр операций'!$D:$D,$A19,'Реестр операций'!$I:$I,"REVENUE")</f>
        <v/>
      </c>
      <c r="E19" s="8">
        <f>B19+C19</f>
        <v/>
      </c>
      <c r="F19" s="13">
        <f>IFERROR(E19/$E$33,0)</f>
        <v/>
      </c>
    </row>
    <row r="20">
      <c r="A20" s="7" t="inlineStr">
        <is>
          <t>Atasu Global Trans</t>
        </is>
      </c>
      <c r="B20" s="8">
        <f>SUMIFS('Реестр операций'!$F:$F,'Реестр операций'!$D:$D,$A20,'Реестр операций'!$I:$I,"REVENUE",'Реестр операций'!$K:$K,"Аренда")</f>
        <v/>
      </c>
      <c r="C20" s="8">
        <f>SUMIFS('Реестр операций'!$F:$F,'Реестр операций'!$D:$D,$A20,'Реестр операций'!$I:$I,"REVENUE",'Реестр операций'!$K:$K,"ТЭО")</f>
        <v/>
      </c>
      <c r="D20" s="33">
        <f>COUNTIFS('Реестр операций'!$D:$D,$A20,'Реестр операций'!$I:$I,"REVENUE")</f>
        <v/>
      </c>
      <c r="E20" s="8">
        <f>B20+C20</f>
        <v/>
      </c>
      <c r="F20" s="13">
        <f>IFERROR(E20/$E$33,0)</f>
        <v/>
      </c>
    </row>
    <row r="21">
      <c r="A21" s="7" t="inlineStr">
        <is>
          <t>Каз Алтын Групп</t>
        </is>
      </c>
      <c r="B21" s="8">
        <f>SUMIFS('Реестр операций'!$F:$F,'Реестр операций'!$D:$D,$A21,'Реестр операций'!$I:$I,"REVENUE",'Реестр операций'!$K:$K,"Аренда")</f>
        <v/>
      </c>
      <c r="C21" s="8">
        <f>SUMIFS('Реестр операций'!$F:$F,'Реестр операций'!$D:$D,$A21,'Реестр операций'!$I:$I,"REVENUE",'Реестр операций'!$K:$K,"ТЭО")</f>
        <v/>
      </c>
      <c r="D21" s="33">
        <f>COUNTIFS('Реестр операций'!$D:$D,$A21,'Реестр операций'!$I:$I,"REVENUE")</f>
        <v/>
      </c>
      <c r="E21" s="8">
        <f>B21+C21</f>
        <v/>
      </c>
      <c r="F21" s="13">
        <f>IFERROR(E21/$E$33,0)</f>
        <v/>
      </c>
    </row>
    <row r="22">
      <c r="A22" s="7" t="inlineStr">
        <is>
          <t>STAR TRANS</t>
        </is>
      </c>
      <c r="B22" s="8">
        <f>SUMIFS('Реестр операций'!$F:$F,'Реестр операций'!$D:$D,$A22,'Реестр операций'!$I:$I,"REVENUE",'Реестр операций'!$K:$K,"Аренда")</f>
        <v/>
      </c>
      <c r="C22" s="8">
        <f>SUMIFS('Реестр операций'!$F:$F,'Реестр операций'!$D:$D,$A22,'Реестр операций'!$I:$I,"REVENUE",'Реестр операций'!$K:$K,"ТЭО")</f>
        <v/>
      </c>
      <c r="D22" s="33">
        <f>COUNTIFS('Реестр операций'!$D:$D,$A22,'Реестр операций'!$I:$I,"REVENUE")</f>
        <v/>
      </c>
      <c r="E22" s="8">
        <f>B22+C22</f>
        <v/>
      </c>
      <c r="F22" s="13">
        <f>IFERROR(E22/$E$33,0)</f>
        <v/>
      </c>
    </row>
    <row r="23">
      <c r="A23" s="7" t="inlineStr">
        <is>
          <t>K-Portal</t>
        </is>
      </c>
      <c r="B23" s="8">
        <f>SUMIFS('Реестр операций'!$F:$F,'Реестр операций'!$D:$D,$A23,'Реестр операций'!$I:$I,"REVENUE",'Реестр операций'!$K:$K,"Аренда")</f>
        <v/>
      </c>
      <c r="C23" s="8">
        <f>SUMIFS('Реестр операций'!$F:$F,'Реестр операций'!$D:$D,$A23,'Реестр операций'!$I:$I,"REVENUE",'Реестр операций'!$K:$K,"ТЭО")</f>
        <v/>
      </c>
      <c r="D23" s="33">
        <f>COUNTIFS('Реестр операций'!$D:$D,$A23,'Реестр операций'!$I:$I,"REVENUE")</f>
        <v/>
      </c>
      <c r="E23" s="8">
        <f>B23+C23</f>
        <v/>
      </c>
      <c r="F23" s="13">
        <f>IFERROR(E23/$E$33,0)</f>
        <v/>
      </c>
    </row>
    <row r="24">
      <c r="A24" s="7" t="inlineStr">
        <is>
          <t>FRS logistics</t>
        </is>
      </c>
      <c r="B24" s="8">
        <f>SUMIFS('Реестр операций'!$F:$F,'Реестр операций'!$D:$D,$A24,'Реестр операций'!$I:$I,"REVENUE",'Реестр операций'!$K:$K,"Аренда")</f>
        <v/>
      </c>
      <c r="C24" s="8">
        <f>SUMIFS('Реестр операций'!$F:$F,'Реестр операций'!$D:$D,$A24,'Реестр операций'!$I:$I,"REVENUE",'Реестр операций'!$K:$K,"ТЭО")</f>
        <v/>
      </c>
      <c r="D24" s="33">
        <f>COUNTIFS('Реестр операций'!$D:$D,$A24,'Реестр операций'!$I:$I,"REVENUE")</f>
        <v/>
      </c>
      <c r="E24" s="8">
        <f>B24+C24</f>
        <v/>
      </c>
      <c r="F24" s="13">
        <f>IFERROR(E24/$E$33,0)</f>
        <v/>
      </c>
    </row>
    <row r="25">
      <c r="A25" s="7" t="inlineStr">
        <is>
          <t>EASY BOX</t>
        </is>
      </c>
      <c r="B25" s="8">
        <f>SUMIFS('Реестр операций'!$F:$F,'Реестр операций'!$D:$D,$A25,'Реестр операций'!$I:$I,"REVENUE",'Реестр операций'!$K:$K,"Аренда")</f>
        <v/>
      </c>
      <c r="C25" s="8">
        <f>SUMIFS('Реестр операций'!$F:$F,'Реестр операций'!$D:$D,$A25,'Реестр операций'!$I:$I,"REVENUE",'Реестр операций'!$K:$K,"ТЭО")</f>
        <v/>
      </c>
      <c r="D25" s="33">
        <f>COUNTIFS('Реестр операций'!$D:$D,$A25,'Реестр операций'!$I:$I,"REVENUE")</f>
        <v/>
      </c>
      <c r="E25" s="8">
        <f>B25+C25</f>
        <v/>
      </c>
      <c r="F25" s="13">
        <f>IFERROR(E25/$E$33,0)</f>
        <v/>
      </c>
    </row>
    <row r="26">
      <c r="A26" s="7" t="inlineStr">
        <is>
          <t>Global A Group (Глобал А Групп)</t>
        </is>
      </c>
      <c r="B26" s="8">
        <f>SUMIFS('Реестр операций'!$F:$F,'Реестр операций'!$D:$D,$A26,'Реестр операций'!$I:$I,"REVENUE",'Реестр операций'!$K:$K,"Аренда")</f>
        <v/>
      </c>
      <c r="C26" s="8">
        <f>SUMIFS('Реестр операций'!$F:$F,'Реестр операций'!$D:$D,$A26,'Реестр операций'!$I:$I,"REVENUE",'Реестр операций'!$K:$K,"ТЭО")</f>
        <v/>
      </c>
      <c r="D26" s="33">
        <f>COUNTIFS('Реестр операций'!$D:$D,$A26,'Реестр операций'!$I:$I,"REVENUE")</f>
        <v/>
      </c>
      <c r="E26" s="8">
        <f>B26+C26</f>
        <v/>
      </c>
      <c r="F26" s="13">
        <f>IFERROR(E26/$E$33,0)</f>
        <v/>
      </c>
    </row>
    <row r="27">
      <c r="A27" s="7" t="inlineStr">
        <is>
          <t>AsstrА Almaty" (АсстрА Алматы)</t>
        </is>
      </c>
      <c r="B27" s="8">
        <f>SUMIFS('Реестр операций'!$F:$F,'Реестр операций'!$D:$D,$A27,'Реестр операций'!$I:$I,"REVENUE",'Реестр операций'!$K:$K,"Аренда")</f>
        <v/>
      </c>
      <c r="C27" s="8">
        <f>SUMIFS('Реестр операций'!$F:$F,'Реестр операций'!$D:$D,$A27,'Реестр операций'!$I:$I,"REVENUE",'Реестр операций'!$K:$K,"ТЭО")</f>
        <v/>
      </c>
      <c r="D27" s="33">
        <f>COUNTIFS('Реестр операций'!$D:$D,$A27,'Реестр операций'!$I:$I,"REVENUE")</f>
        <v/>
      </c>
      <c r="E27" s="8">
        <f>B27+C27</f>
        <v/>
      </c>
      <c r="F27" s="13">
        <f>IFERROR(E27/$E$33,0)</f>
        <v/>
      </c>
    </row>
    <row r="28">
      <c r="A28" s="7" t="inlineStr">
        <is>
          <t>Kaz-Smart Logistics</t>
        </is>
      </c>
      <c r="B28" s="8">
        <f>SUMIFS('Реестр операций'!$F:$F,'Реестр операций'!$D:$D,$A28,'Реестр операций'!$I:$I,"REVENUE",'Реестр операций'!$K:$K,"Аренда")</f>
        <v/>
      </c>
      <c r="C28" s="8">
        <f>SUMIFS('Реестр операций'!$F:$F,'Реестр операций'!$D:$D,$A28,'Реестр операций'!$I:$I,"REVENUE",'Реестр операций'!$K:$K,"ТЭО")</f>
        <v/>
      </c>
      <c r="D28" s="33">
        <f>COUNTIFS('Реестр операций'!$D:$D,$A28,'Реестр операций'!$I:$I,"REVENUE")</f>
        <v/>
      </c>
      <c r="E28" s="8">
        <f>B28+C28</f>
        <v/>
      </c>
      <c r="F28" s="13">
        <f>IFERROR(E28/$E$33,0)</f>
        <v/>
      </c>
    </row>
    <row r="29">
      <c r="A29" s="7" t="inlineStr">
        <is>
          <t>Максат-2030</t>
        </is>
      </c>
      <c r="B29" s="8">
        <f>SUMIFS('Реестр операций'!$F:$F,'Реестр операций'!$D:$D,$A29,'Реестр операций'!$I:$I,"REVENUE",'Реестр операций'!$K:$K,"Аренда")</f>
        <v/>
      </c>
      <c r="C29" s="8">
        <f>SUMIFS('Реестр операций'!$F:$F,'Реестр операций'!$D:$D,$A29,'Реестр операций'!$I:$I,"REVENUE",'Реестр операций'!$K:$K,"ТЭО")</f>
        <v/>
      </c>
      <c r="D29" s="33">
        <f>COUNTIFS('Реестр операций'!$D:$D,$A29,'Реестр операций'!$I:$I,"REVENUE")</f>
        <v/>
      </c>
      <c r="E29" s="8">
        <f>B29+C29</f>
        <v/>
      </c>
      <c r="F29" s="13">
        <f>IFERROR(E29/$E$33,0)</f>
        <v/>
      </c>
    </row>
    <row r="30">
      <c r="A30" s="7" t="inlineStr">
        <is>
          <t>TN-TRANS GROUP</t>
        </is>
      </c>
      <c r="B30" s="8">
        <f>SUMIFS('Реестр операций'!$F:$F,'Реестр операций'!$D:$D,$A30,'Реестр операций'!$I:$I,"REVENUE",'Реестр операций'!$K:$K,"Аренда")</f>
        <v/>
      </c>
      <c r="C30" s="8">
        <f>SUMIFS('Реестр операций'!$F:$F,'Реестр операций'!$D:$D,$A30,'Реестр операций'!$I:$I,"REVENUE",'Реестр операций'!$K:$K,"ТЭО")</f>
        <v/>
      </c>
      <c r="D30" s="33">
        <f>COUNTIFS('Реестр операций'!$D:$D,$A30,'Реестр операций'!$I:$I,"REVENUE")</f>
        <v/>
      </c>
      <c r="E30" s="8">
        <f>B30+C30</f>
        <v/>
      </c>
      <c r="F30" s="13">
        <f>IFERROR(E30/$E$33,0)</f>
        <v/>
      </c>
    </row>
    <row r="31">
      <c r="A31" s="7" t="inlineStr">
        <is>
          <t>UE LOGISTIC</t>
        </is>
      </c>
      <c r="B31" s="8">
        <f>SUMIFS('Реестр операций'!$F:$F,'Реестр операций'!$D:$D,$A31,'Реестр операций'!$I:$I,"REVENUE",'Реестр операций'!$K:$K,"Аренда")</f>
        <v/>
      </c>
      <c r="C31" s="8">
        <f>SUMIFS('Реестр операций'!$F:$F,'Реестр операций'!$D:$D,$A31,'Реестр операций'!$I:$I,"REVENUE",'Реестр операций'!$K:$K,"ТЭО")</f>
        <v/>
      </c>
      <c r="D31" s="33">
        <f>COUNTIFS('Реестр операций'!$D:$D,$A31,'Реестр операций'!$I:$I,"REVENUE")</f>
        <v/>
      </c>
      <c r="E31" s="8">
        <f>B31+C31</f>
        <v/>
      </c>
      <c r="F31" s="13">
        <f>IFERROR(E31/$E$33,0)</f>
        <v/>
      </c>
    </row>
    <row r="32">
      <c r="A32" s="7" t="inlineStr">
        <is>
          <t>ALTYN EXPO</t>
        </is>
      </c>
      <c r="B32" s="8">
        <f>SUMIFS('Реестр операций'!$F:$F,'Реестр операций'!$D:$D,$A32,'Реестр операций'!$I:$I,"REVENUE",'Реестр операций'!$K:$K,"Аренда")</f>
        <v/>
      </c>
      <c r="C32" s="8">
        <f>SUMIFS('Реестр операций'!$F:$F,'Реестр операций'!$D:$D,$A32,'Реестр операций'!$I:$I,"REVENUE",'Реестр операций'!$K:$K,"ТЭО")</f>
        <v/>
      </c>
      <c r="D32" s="33">
        <f>COUNTIFS('Реестр операций'!$D:$D,$A32,'Реестр операций'!$I:$I,"REVENUE")</f>
        <v/>
      </c>
      <c r="E32" s="8">
        <f>B32+C32</f>
        <v/>
      </c>
      <c r="F32" s="13">
        <f>IFERROR(E32/$E$33,0)</f>
        <v/>
      </c>
    </row>
    <row r="33">
      <c r="A33" s="14" t="inlineStr">
        <is>
          <t>ИТОГО</t>
        </is>
      </c>
      <c r="B33" s="22">
        <f>SUMIFS('Реестр операций'!$F:$F,'Реестр операций'!$I:$I,"REVENUE",'Реестр операций'!$K:$K,"Аренда")</f>
        <v/>
      </c>
      <c r="C33" s="22">
        <f>SUMIFS('Реестр операций'!$F:$F,'Реестр операций'!$I:$I,"REVENUE",'Реестр операций'!$K:$K,"ТЭО")</f>
        <v/>
      </c>
      <c r="D33" s="34">
        <f>COUNTIFS('Реестр операций'!$I:$I,"REVENUE")</f>
        <v/>
      </c>
      <c r="E33" s="22">
        <f>B33+C33</f>
        <v/>
      </c>
      <c r="F33" s="23">
        <f>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</cols>
  <sheetData>
    <row r="1">
      <c r="A1" s="21" t="inlineStr">
        <is>
          <t>РАСХОДЫ ПО КАТЕГОРИЯМ И ПОСТАВЩИКАМ</t>
        </is>
      </c>
    </row>
    <row r="2">
      <c r="A2" s="3" t="inlineStr">
        <is>
          <t>15.06.2026 – 15.07.2026  ·  ₸</t>
        </is>
      </c>
    </row>
    <row r="4">
      <c r="A4" s="29" t="inlineStr">
        <is>
          <t>По категориям</t>
        </is>
      </c>
      <c r="B4" s="30" t="inlineStr"/>
    </row>
    <row r="5">
      <c r="A5" s="17" t="inlineStr">
        <is>
          <t>Категория</t>
        </is>
      </c>
      <c r="B5" s="17" t="inlineStr">
        <is>
          <t>Сумма, ₸</t>
        </is>
      </c>
    </row>
    <row r="6">
      <c r="A6" s="7" t="inlineStr">
        <is>
          <t>COGS · Ж/д тариф, вагоны, услуги перевозчиков</t>
        </is>
      </c>
      <c r="B6" s="8">
        <f>SUMIFS('Реестр операций'!$G:$G,'Реестр операций'!$I:$I,"COGS",'Реестр операций'!$J:$J,"Ж/д тариф, вагоны, услуги перевозчиков")</f>
        <v/>
      </c>
    </row>
    <row r="7">
      <c r="A7" s="7" t="inlineStr">
        <is>
          <t>COGS · Ремонт и ТО вагонов</t>
        </is>
      </c>
      <c r="B7" s="8">
        <f>SUMIFS('Реестр операций'!$G:$G,'Реестр операций'!$I:$I,"COGS",'Реестр операций'!$J:$J,"Ремонт и ТО вагонов")</f>
        <v/>
      </c>
    </row>
    <row r="8">
      <c r="A8" s="7" t="inlineStr">
        <is>
          <t>OPEX · Оплата труда</t>
        </is>
      </c>
      <c r="B8" s="8">
        <f>SUMIFS('Реестр операций'!$G:$G,'Реестр операций'!$I:$I,"OPEX",'Реестр операций'!$J:$J,"Оплата труда")</f>
        <v/>
      </c>
    </row>
    <row r="9">
      <c r="A9" s="7" t="inlineStr">
        <is>
          <t>OPEX · Прочие услуги и расходы</t>
        </is>
      </c>
      <c r="B9" s="8">
        <f>SUMIFS('Реестр операций'!$G:$G,'Реестр операций'!$I:$I,"OPEX",'Реестр операций'!$J:$J,"Прочие услуги и расходы")</f>
        <v/>
      </c>
    </row>
    <row r="10">
      <c r="A10" s="7" t="inlineStr">
        <is>
          <t>OPEX · Аренда офиса</t>
        </is>
      </c>
      <c r="B10" s="8">
        <f>SUMIFS('Реестр операций'!$G:$G,'Реестр операций'!$I:$I,"OPEX",'Реестр операций'!$J:$J,"Аренда офиса")</f>
        <v/>
      </c>
    </row>
    <row r="11">
      <c r="A11" s="7" t="inlineStr">
        <is>
          <t>OPEX · Командировочные / поездки</t>
        </is>
      </c>
      <c r="B11" s="8">
        <f>SUMIFS('Реестр операций'!$G:$G,'Реестр операций'!$I:$I,"OPEX",'Реестр операций'!$J:$J,"Командировочные / поездки")</f>
        <v/>
      </c>
    </row>
    <row r="12">
      <c r="A12" s="7" t="inlineStr">
        <is>
          <t>OPEX · ТМЦ / офисные расходы</t>
        </is>
      </c>
      <c r="B12" s="8">
        <f>SUMIFS('Реестр операций'!$G:$G,'Реестр операций'!$I:$I,"OPEX",'Реестр операций'!$J:$J,"ТМЦ / офисные расходы")</f>
        <v/>
      </c>
    </row>
    <row r="13">
      <c r="A13" s="7" t="inlineStr">
        <is>
          <t>OPEX · Банковские услуги</t>
        </is>
      </c>
      <c r="B13" s="8">
        <f>SUMIFS('Реестр операций'!$G:$G,'Реестр операций'!$I:$I,"OPEX",'Реестр операций'!$J:$J,"Банковские услуги")</f>
        <v/>
      </c>
    </row>
    <row r="14">
      <c r="A14" s="7" t="inlineStr">
        <is>
          <t>OPEX · Страхование</t>
        </is>
      </c>
      <c r="B14" s="8">
        <f>SUMIFS('Реестр операций'!$G:$G,'Реестр операций'!$I:$I,"OPEX",'Реестр операций'!$J:$J,"Страхование")</f>
        <v/>
      </c>
    </row>
    <row r="15">
      <c r="A15" s="7" t="inlineStr">
        <is>
          <t>Налоги и соц. платежи</t>
        </is>
      </c>
      <c r="B15" s="8">
        <f>SUMIFS('Реестр операций'!$G:$G,'Реестр операций'!$I:$I,"TAX")</f>
        <v/>
      </c>
    </row>
    <row r="16">
      <c r="A16" s="7" t="inlineStr">
        <is>
          <t>Проценты и пени по кредитам</t>
        </is>
      </c>
      <c r="B16" s="8">
        <f>SUMIFS('Реестр операций'!$G:$G,'Реестр операций'!$I:$I,"FIN_COST")</f>
        <v/>
      </c>
    </row>
    <row r="17">
      <c r="A17" s="14" t="inlineStr">
        <is>
          <t>ИТОГО (без займов/депозитов/переводов)</t>
        </is>
      </c>
      <c r="B17" s="22">
        <f>SUM(B6:B16)</f>
        <v/>
      </c>
    </row>
    <row r="19">
      <c r="A19" s="29" t="inlineStr">
        <is>
          <t>Топ-20 поставщиков (COGS + OPEX)</t>
        </is>
      </c>
      <c r="B19" s="30" t="inlineStr"/>
    </row>
    <row r="20">
      <c r="A20" s="17" t="inlineStr">
        <is>
          <t>Поставщик</t>
        </is>
      </c>
      <c r="B20" s="17" t="inlineStr">
        <is>
          <t>Сумма, ₸</t>
        </is>
      </c>
    </row>
    <row r="21">
      <c r="A21" s="7" t="inlineStr">
        <is>
          <t>КТЖ-Грузовые перевозки</t>
        </is>
      </c>
      <c r="B21" s="8">
        <f>SUMIFS('Реестр операций'!$G:$G,'Реестр операций'!$D:$D,$A21,'Реестр операций'!$I:$I,"COGS")+SUMIFS('Реестр операций'!$G:$G,'Реестр операций'!$D:$D,$A21,'Реестр операций'!$I:$I,"OPEX")</f>
        <v/>
      </c>
    </row>
    <row r="22">
      <c r="A22" s="7" t="inlineStr">
        <is>
          <t>КТТ (ҚАЗТЕМІРТРАНС) АО</t>
        </is>
      </c>
      <c r="B22" s="8">
        <f>SUMIFS('Реестр операций'!$G:$G,'Реестр операций'!$D:$D,$A22,'Реестр операций'!$I:$I,"COGS")+SUMIFS('Реестр операций'!$G:$G,'Реестр операций'!$D:$D,$A22,'Реестр операций'!$I:$I,"OPEX")</f>
        <v/>
      </c>
    </row>
    <row r="23">
      <c r="A23" s="7" t="inlineStr">
        <is>
          <t>АРНА</t>
        </is>
      </c>
      <c r="B23" s="8">
        <f>SUMIFS('Реестр операций'!$G:$G,'Реестр операций'!$D:$D,$A23,'Реестр операций'!$I:$I,"COGS")+SUMIFS('Реестр операций'!$G:$G,'Реестр операций'!$D:$D,$A23,'Реестр операций'!$I:$I,"OPEX")</f>
        <v/>
      </c>
    </row>
    <row r="24">
      <c r="A24" s="7" t="inlineStr">
        <is>
          <t>Рейл Транспортейшн</t>
        </is>
      </c>
      <c r="B24" s="8">
        <f>SUMIFS('Реестр операций'!$G:$G,'Реестр операций'!$D:$D,$A24,'Реестр операций'!$I:$I,"COGS")+SUMIFS('Реестр операций'!$G:$G,'Реестр операций'!$D:$D,$A24,'Реестр операций'!$I:$I,"OPEX")</f>
        <v/>
      </c>
    </row>
    <row r="25">
      <c r="A25" s="7" t="inlineStr">
        <is>
          <t>InterLog Co</t>
        </is>
      </c>
      <c r="B25" s="8">
        <f>SUMIFS('Реестр операций'!$G:$G,'Реестр операций'!$D:$D,$A25,'Реестр операций'!$I:$I,"COGS")+SUMIFS('Реестр операций'!$G:$G,'Реестр операций'!$D:$D,$A25,'Реестр операций'!$I:$I,"OPEX")</f>
        <v/>
      </c>
    </row>
    <row r="26">
      <c r="A26" s="7" t="inlineStr">
        <is>
          <t>PRATA</t>
        </is>
      </c>
      <c r="B26" s="8">
        <f>SUMIFS('Реестр операций'!$G:$G,'Реестр операций'!$D:$D,$A26,'Реестр операций'!$I:$I,"COGS")+SUMIFS('Реестр операций'!$G:$G,'Реестр операций'!$D:$D,$A26,'Реестр операций'!$I:$I,"OPEX")</f>
        <v/>
      </c>
    </row>
    <row r="27">
      <c r="A27" s="7" t="inlineStr">
        <is>
          <t>Банк ЦентрКредит для ЗП</t>
        </is>
      </c>
      <c r="B27" s="8">
        <f>SUMIFS('Реестр операций'!$G:$G,'Реестр операций'!$D:$D,$A27,'Реестр операций'!$I:$I,"COGS")+SUMIFS('Реестр операций'!$G:$G,'Реестр операций'!$D:$D,$A27,'Реестр операций'!$I:$I,"OPEX")</f>
        <v/>
      </c>
    </row>
    <row r="28">
      <c r="A28" s="7" t="inlineStr">
        <is>
          <t>PetroComLogistics</t>
        </is>
      </c>
      <c r="B28" s="8">
        <f>SUMIFS('Реестр операций'!$G:$G,'Реестр операций'!$D:$D,$A28,'Реестр операций'!$I:$I,"COGS")+SUMIFS('Реестр операций'!$G:$G,'Реестр операций'!$D:$D,$A28,'Реестр операций'!$I:$I,"OPEX")</f>
        <v/>
      </c>
    </row>
    <row r="29">
      <c r="A29" s="7" t="inlineStr">
        <is>
          <t>ЭДЕМ ТРАНС</t>
        </is>
      </c>
      <c r="B29" s="8">
        <f>SUMIFS('Реестр операций'!$G:$G,'Реестр операций'!$D:$D,$A29,'Реестр операций'!$I:$I,"COGS")+SUMIFS('Реестр операций'!$G:$G,'Реестр операций'!$D:$D,$A29,'Реестр операций'!$I:$I,"OPEX")</f>
        <v/>
      </c>
    </row>
    <row r="30">
      <c r="A30" s="7" t="inlineStr">
        <is>
          <t>ЭРСАЛТ РЭЙЛ</t>
        </is>
      </c>
      <c r="B30" s="8">
        <f>SUMIFS('Реестр операций'!$G:$G,'Реестр операций'!$D:$D,$A30,'Реестр операций'!$I:$I,"COGS")+SUMIFS('Реестр операций'!$G:$G,'Реестр операций'!$D:$D,$A30,'Реестр операций'!$I:$I,"OPEX")</f>
        <v/>
      </c>
    </row>
    <row r="31">
      <c r="A31" s="7" t="inlineStr">
        <is>
          <t>КТЖ-ГРУЗОВЫЕ ПЕРЕВОЗКИ</t>
        </is>
      </c>
      <c r="B31" s="8">
        <f>SUMIFS('Реестр операций'!$G:$G,'Реестр операций'!$D:$D,$A31,'Реестр операций'!$I:$I,"COGS")+SUMIFS('Реестр операций'!$G:$G,'Реестр операций'!$D:$D,$A31,'Реестр операций'!$I:$I,"OPEX")</f>
        <v/>
      </c>
    </row>
    <row r="32">
      <c r="A32" s="7" t="inlineStr">
        <is>
          <t>Банк "Bank RBK</t>
        </is>
      </c>
      <c r="B32" s="8">
        <f>SUMIFS('Реестр операций'!$G:$G,'Реестр операций'!$D:$D,$A32,'Реестр операций'!$I:$I,"COGS")+SUMIFS('Реестр операций'!$G:$G,'Реестр операций'!$D:$D,$A32,'Реестр операций'!$I:$I,"OPEX")</f>
        <v/>
      </c>
    </row>
    <row r="33">
      <c r="A33" s="7" t="inlineStr">
        <is>
          <t>ResursLogistiс (РесурсЛогистик)</t>
        </is>
      </c>
      <c r="B33" s="8">
        <f>SUMIFS('Реестр операций'!$G:$G,'Реестр операций'!$D:$D,$A33,'Реестр операций'!$I:$I,"COGS")+SUMIFS('Реестр операций'!$G:$G,'Реестр операций'!$D:$D,$A33,'Реестр операций'!$I:$I,"OPEX")</f>
        <v/>
      </c>
    </row>
    <row r="34">
      <c r="A34" s="7" t="inlineStr">
        <is>
          <t>ALDAR EUROASIA PROPERTY MANAGEMENT</t>
        </is>
      </c>
      <c r="B34" s="8">
        <f>SUMIFS('Реестр операций'!$G:$G,'Реестр операций'!$D:$D,$A34,'Реестр операций'!$I:$I,"COGS")+SUMIFS('Реестр операций'!$G:$G,'Реестр операций'!$D:$D,$A34,'Реестр операций'!$I:$I,"OPEX")</f>
        <v/>
      </c>
    </row>
    <row r="35">
      <c r="A35" s="7" t="inlineStr">
        <is>
          <t>MAT Group</t>
        </is>
      </c>
      <c r="B35" s="8">
        <f>SUMIFS('Реестр операций'!$G:$G,'Реестр операций'!$D:$D,$A35,'Реестр операций'!$I:$I,"COGS")+SUMIFS('Реестр операций'!$G:$G,'Реестр операций'!$D:$D,$A35,'Реестр операций'!$I:$I,"OPEX")</f>
        <v/>
      </c>
    </row>
    <row r="36">
      <c r="A36" s="7" t="inlineStr">
        <is>
          <t>Нұр-Альфинур</t>
        </is>
      </c>
      <c r="B36" s="8">
        <f>SUMIFS('Реестр операций'!$G:$G,'Реестр операций'!$D:$D,$A36,'Реестр операций'!$I:$I,"COGS")+SUMIFS('Реестр операций'!$G:$G,'Реестр операций'!$D:$D,$A36,'Реестр операций'!$I:$I,"OPEX")</f>
        <v/>
      </c>
    </row>
    <row r="37">
      <c r="A37" s="7" t="inlineStr">
        <is>
          <t>Biznesplan.online</t>
        </is>
      </c>
      <c r="B37" s="8">
        <f>SUMIFS('Реестр операций'!$G:$G,'Реестр операций'!$D:$D,$A37,'Реестр операций'!$I:$I,"COGS")+SUMIFS('Реестр операций'!$G:$G,'Реестр операций'!$D:$D,$A37,'Реестр операций'!$I:$I,"OPEX")</f>
        <v/>
      </c>
    </row>
    <row r="38">
      <c r="A38" s="7" t="inlineStr">
        <is>
          <t>Asia Railways Tracking Service (Азия Рэилвейс Трекинг Сервис)</t>
        </is>
      </c>
      <c r="B38" s="8">
        <f>SUMIFS('Реестр операций'!$G:$G,'Реестр операций'!$D:$D,$A38,'Реестр операций'!$I:$I,"COGS")+SUMIFS('Реестр операций'!$G:$G,'Реестр операций'!$D:$D,$A38,'Реестр операций'!$I:$I,"OPEX")</f>
        <v/>
      </c>
    </row>
    <row r="39">
      <c r="A39" s="7" t="inlineStr">
        <is>
          <t>Алим</t>
        </is>
      </c>
      <c r="B39" s="8">
        <f>SUMIFS('Реестр операций'!$G:$G,'Реестр операций'!$D:$D,$A39,'Реестр операций'!$I:$I,"COGS")+SUMIFS('Реестр операций'!$G:$G,'Реестр операций'!$D:$D,$A39,'Реестр операций'!$I:$I,"OPEX")</f>
        <v/>
      </c>
    </row>
    <row r="40">
      <c r="A40" s="7" t="inlineStr">
        <is>
          <t>JOINMEDIA</t>
        </is>
      </c>
      <c r="B40" s="8">
        <f>SUMIFS('Реестр операций'!$G:$G,'Реестр операций'!$D:$D,$A40,'Реестр операций'!$I:$I,"COGS")+SUMIFS('Реестр операций'!$G:$G,'Реестр операций'!$D:$D,$A40,'Реестр операций'!$I:$I,"OPEX")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2026-07-15T07:25:33Z</dcterms:created>
  <dcterms:modified xsi:type="dcterms:W3CDTF">2026-07-15T07:25:33Z</dcterms:modified>
</cp:coreProperties>
</file>